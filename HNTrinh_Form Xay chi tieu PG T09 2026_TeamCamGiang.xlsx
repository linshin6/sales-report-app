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am 4\"/>
    </mc:Choice>
  </mc:AlternateContent>
  <xr:revisionPtr revIDLastSave="0" documentId="8_{87167456-AF8E-480E-947C-D5ACD430EECD}" xr6:coauthVersionLast="47" xr6:coauthVersionMax="47" xr10:uidLastSave="{00000000-0000-0000-0000-000000000000}"/>
  <bookViews>
    <workbookView xWindow="-110" yWindow="-110" windowWidth="19420" windowHeight="11500" activeTab="1" xr2:uid="{9A33AB14-2388-41BE-8599-74C1F657E03A}"/>
  </bookViews>
  <sheets>
    <sheet name="3.Data sent" sheetId="2" r:id="rId1"/>
    <sheet name="FORM CHI TIEU PG" sheetId="1" r:id="rId2"/>
  </sheets>
  <definedNames>
    <definedName name="________NSO2" localSheetId="0" hidden="1">{"'Sheet1'!$L$16"}</definedName>
    <definedName name="________NSO2" hidden="1">{"'Sheet1'!$L$16"}</definedName>
    <definedName name="_______NSO2" localSheetId="0" hidden="1">{"'Sheet1'!$L$16"}</definedName>
    <definedName name="_______NSO2" hidden="1">{"'Sheet1'!$L$16"}</definedName>
    <definedName name="______NSO2" localSheetId="0" hidden="1">{"'Sheet1'!$L$16"}</definedName>
    <definedName name="______NSO2" hidden="1">{"'Sheet1'!$L$16"}</definedName>
    <definedName name="_____NSO2" localSheetId="0" hidden="1">{"'Sheet1'!$L$16"}</definedName>
    <definedName name="_____NSO2" hidden="1">{"'Sheet1'!$L$16"}</definedName>
    <definedName name="____NSO2" localSheetId="0" hidden="1">{"'Sheet1'!$L$16"}</definedName>
    <definedName name="____NSO2" hidden="1">{"'Sheet1'!$L$16"}</definedName>
    <definedName name="___NSO2" localSheetId="0" hidden="1">{"'Sheet1'!$L$16"}</definedName>
    <definedName name="___NSO2" hidden="1">{"'Sheet1'!$L$16"}</definedName>
    <definedName name="__IntlFixup" hidden="1">TRUE</definedName>
    <definedName name="_Fill" hidden="1">#REF!</definedName>
    <definedName name="_xlnm._FilterDatabase" localSheetId="0" hidden="1">'3.Data sent'!$A$13:$YN$1097</definedName>
    <definedName name="_xlnm._FilterDatabase" localSheetId="1" hidden="1">'FORM CHI TIEU PG'!$A$9:$AV$386</definedName>
    <definedName name="_xlnm._FilterDatabase" hidden="1">#REF!</definedName>
    <definedName name="_Key1" hidden="1">#REF!</definedName>
    <definedName name="_Key2" hidden="1">#REF!</definedName>
    <definedName name="_NSO2" localSheetId="0" hidden="1">{"'Sheet1'!$L$16"}</definedName>
    <definedName name="_NSO2" hidden="1">{"'Sheet1'!$L$16"}</definedName>
    <definedName name="_Order1" hidden="1">255</definedName>
    <definedName name="_Order2" hidden="1">255</definedName>
    <definedName name="_Sort" hidden="1">#REF!</definedName>
    <definedName name="Bao" localSheetId="0" hidden="1">{#N/A,#N/A,FALSE,"Chi tiÆt"}</definedName>
    <definedName name="Bao" hidden="1">{#N/A,#N/A,FALSE,"Chi tiÆt"}</definedName>
    <definedName name="BEx3O85IKWARA6NCJOLRBRJFMEWW" hidden="1">#REF!</definedName>
    <definedName name="BEx5MLQZM68YQSKARVWTTPINFQ2C" hidden="1">#REF!</definedName>
    <definedName name="BExERWCEBKQRYWRQLYJ4UCMMKTHG" hidden="1">#REF!</definedName>
    <definedName name="BExMBYPQDG9AYDQ5E8IECVFREPO6" hidden="1">#REF!</definedName>
    <definedName name="BExQ9ZLYHWABXAA9NJDW8ZS0UQ9P" hidden="1">#REF!</definedName>
    <definedName name="BExTUY9WNSJ91GV8CP0SKJTEIV82" hidden="1">#REF!</definedName>
    <definedName name="Code" hidden="1">#REF!</definedName>
    <definedName name="data1" hidden="1">#REF!</definedName>
    <definedName name="data2" hidden="1">#REF!</definedName>
    <definedName name="data3" hidden="1">#REF!</definedName>
    <definedName name="Discount" hidden="1">#REF!</definedName>
    <definedName name="display_area_2" hidden="1">#REF!</definedName>
    <definedName name="ds" localSheetId="0" hidden="1">{#N/A,#N/A,FALSE,"Chi tiÆt"}</definedName>
    <definedName name="ds" hidden="1">{#N/A,#N/A,FALSE,"Chi tiÆt"}</definedName>
    <definedName name="FCode" hidden="1">#REF!</definedName>
    <definedName name="h" localSheetId="0" hidden="1">{"'Sheet1'!$L$16"}</definedName>
    <definedName name="h" hidden="1">{"'Sheet1'!$L$16"}</definedName>
    <definedName name="HiddenRows" hidden="1">#REF!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KHSX" localSheetId="0" hidden="1">{"'Sheet1'!$L$16"}</definedName>
    <definedName name="KHSX" hidden="1">{"'Sheet1'!$L$16"}</definedName>
    <definedName name="lan" localSheetId="0" hidden="1">{#N/A,#N/A,TRUE,"BT M200 da 10x20"}</definedName>
    <definedName name="lan" hidden="1">{#N/A,#N/A,TRUE,"BT M200 da 10x20"}</definedName>
    <definedName name="M.XLVP" hidden="1">OFFSET(#REF!,0,0,COUNTA(#REF!),1)</definedName>
    <definedName name="ngay23" localSheetId="0" hidden="1">{"'Sheet1'!$L$16"}</definedName>
    <definedName name="ngay23" hidden="1">{"'Sheet1'!$L$16"}</definedName>
    <definedName name="OrderTable" hidden="1">#REF!</definedName>
    <definedName name="ProdForm" hidden="1">#REF!</definedName>
    <definedName name="Product" hidden="1">#REF!</definedName>
    <definedName name="RCArea" hidden="1">#REF!</definedName>
    <definedName name="SAPBEXhrIndnt" hidden="1">"Wide"</definedName>
    <definedName name="SAPsysID" hidden="1">"708C5W7SBKP804JT78WJ0JNKI"</definedName>
    <definedName name="SAPwbID" hidden="1">"ARS"</definedName>
    <definedName name="sff" localSheetId="0" hidden="1">{"'Sheet1'!$L$16"}</definedName>
    <definedName name="sff" hidden="1">{"'Sheet1'!$L$16"}</definedName>
    <definedName name="SpecialPrice" hidden="1">#REF!</definedName>
    <definedName name="tbl_ProdInfo" hidden="1">#REF!</definedName>
    <definedName name="THAN" localSheetId="0" hidden="1">{"'Sheet1'!$L$16"}</definedName>
    <definedName name="THAN" hidden="1">{"'Sheet1'!$L$16"}</definedName>
    <definedName name="thanhthao" localSheetId="0" hidden="1">{#N/A,#N/A,FALSE,"Chi tiÆt"}</definedName>
    <definedName name="thanhthao" hidden="1">{#N/A,#N/A,FALSE,"Chi tiÆt"}</definedName>
    <definedName name="truc" localSheetId="0" hidden="1">{"'Sheet1'!$L$16"}</definedName>
    <definedName name="truc" hidden="1">{"'Sheet1'!$L$16"}</definedName>
    <definedName name="U" localSheetId="0" hidden="1">{"'Sheet1'!$L$16"}</definedName>
    <definedName name="U" hidden="1">{"'Sheet1'!$L$16"}</definedName>
    <definedName name="uyen" localSheetId="0" hidden="1">{#N/A,#N/A,TRUE,"BT M200 da 10x20"}</definedName>
    <definedName name="uyen" hidden="1">{#N/A,#N/A,TRUE,"BT M200 da 10x20"}</definedName>
    <definedName name="vhuong" localSheetId="0" hidden="1">{"'Sheet1'!$L$16"}</definedName>
    <definedName name="vhuong" hidden="1">{"'Sheet1'!$L$16"}</definedName>
    <definedName name="wrn.chi._.tiÆt." localSheetId="0" hidden="1">{#N/A,#N/A,FALSE,"Chi tiÆt"}</definedName>
    <definedName name="wrn.chi._.tiÆt." hidden="1">{#N/A,#N/A,FALSE,"Chi tiÆt"}</definedName>
    <definedName name="wrn.vd." localSheetId="0" hidden="1">{#N/A,#N/A,TRUE,"BT M200 da 10x20"}</definedName>
    <definedName name="wrn.vd." hidden="1">{#N/A,#N/A,TRUE,"BT M200 da 10x20"}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40" i="1" l="1"/>
  <c r="X353" i="1"/>
  <c r="W370" i="1"/>
  <c r="AK10" i="1" l="1"/>
  <c r="AL10" i="1" s="1"/>
  <c r="AK11" i="1"/>
  <c r="AL11" i="1" s="1"/>
  <c r="AK12" i="1"/>
  <c r="AL12" i="1" s="1"/>
  <c r="AK13" i="1"/>
  <c r="AL13" i="1" s="1"/>
  <c r="AK14" i="1"/>
  <c r="AL14" i="1" s="1"/>
  <c r="AK15" i="1"/>
  <c r="AL15" i="1" s="1"/>
  <c r="AK16" i="1"/>
  <c r="AL16" i="1" s="1"/>
  <c r="AK17" i="1"/>
  <c r="AL17" i="1" s="1"/>
  <c r="AK18" i="1"/>
  <c r="AL18" i="1" s="1"/>
  <c r="AK19" i="1"/>
  <c r="AL19" i="1" s="1"/>
  <c r="AK20" i="1"/>
  <c r="AL20" i="1" s="1"/>
  <c r="AK21" i="1"/>
  <c r="AL21" i="1" s="1"/>
  <c r="AK22" i="1"/>
  <c r="AL22" i="1" s="1"/>
  <c r="AK23" i="1"/>
  <c r="AL23" i="1" s="1"/>
  <c r="AK24" i="1"/>
  <c r="AL24" i="1" s="1"/>
  <c r="AK25" i="1"/>
  <c r="AL25" i="1" s="1"/>
  <c r="AK26" i="1"/>
  <c r="AL26" i="1" s="1"/>
  <c r="AK27" i="1"/>
  <c r="AL27" i="1" s="1"/>
  <c r="AK28" i="1"/>
  <c r="AL28" i="1" s="1"/>
  <c r="AK29" i="1"/>
  <c r="AL29" i="1" s="1"/>
  <c r="AK30" i="1"/>
  <c r="AL30" i="1" s="1"/>
  <c r="AK31" i="1"/>
  <c r="AL31" i="1" s="1"/>
  <c r="AK32" i="1"/>
  <c r="AL32" i="1" s="1"/>
  <c r="AK33" i="1"/>
  <c r="AL33" i="1" s="1"/>
  <c r="AK34" i="1"/>
  <c r="AL34" i="1" s="1"/>
  <c r="AK35" i="1"/>
  <c r="AL35" i="1" s="1"/>
  <c r="AK36" i="1"/>
  <c r="AL36" i="1" s="1"/>
  <c r="AK37" i="1"/>
  <c r="AL37" i="1" s="1"/>
  <c r="AK38" i="1"/>
  <c r="AL38" i="1" s="1"/>
  <c r="AK39" i="1"/>
  <c r="AL39" i="1" s="1"/>
  <c r="AK40" i="1"/>
  <c r="AL40" i="1" s="1"/>
  <c r="AK41" i="1"/>
  <c r="AL41" i="1" s="1"/>
  <c r="AK42" i="1"/>
  <c r="AL42" i="1" s="1"/>
  <c r="AK43" i="1"/>
  <c r="AL43" i="1" s="1"/>
  <c r="AK44" i="1"/>
  <c r="AL44" i="1" s="1"/>
  <c r="AK45" i="1"/>
  <c r="AL45" i="1" s="1"/>
  <c r="AK46" i="1"/>
  <c r="AL46" i="1" s="1"/>
  <c r="AK47" i="1"/>
  <c r="AL47" i="1" s="1"/>
  <c r="AK48" i="1"/>
  <c r="AL48" i="1" s="1"/>
  <c r="AK49" i="1"/>
  <c r="AL49" i="1" s="1"/>
  <c r="AK50" i="1"/>
  <c r="AL50" i="1" s="1"/>
  <c r="AK51" i="1"/>
  <c r="AL51" i="1" s="1"/>
  <c r="AK52" i="1"/>
  <c r="AL52" i="1" s="1"/>
  <c r="AK53" i="1"/>
  <c r="AL53" i="1" s="1"/>
  <c r="AK54" i="1"/>
  <c r="AL54" i="1" s="1"/>
  <c r="AK55" i="1"/>
  <c r="AL55" i="1" s="1"/>
  <c r="AK56" i="1"/>
  <c r="AL56" i="1" s="1"/>
  <c r="AK57" i="1"/>
  <c r="AL57" i="1" s="1"/>
  <c r="AK58" i="1"/>
  <c r="AL58" i="1" s="1"/>
  <c r="AK59" i="1"/>
  <c r="AL59" i="1" s="1"/>
  <c r="AK60" i="1"/>
  <c r="AL60" i="1" s="1"/>
  <c r="AK61" i="1"/>
  <c r="AL61" i="1" s="1"/>
  <c r="AK62" i="1"/>
  <c r="AL62" i="1" s="1"/>
  <c r="AK63" i="1"/>
  <c r="AL63" i="1" s="1"/>
  <c r="AK64" i="1"/>
  <c r="AL64" i="1" s="1"/>
  <c r="AK65" i="1"/>
  <c r="AL65" i="1" s="1"/>
  <c r="AK66" i="1"/>
  <c r="AL66" i="1" s="1"/>
  <c r="AK67" i="1"/>
  <c r="AL67" i="1" s="1"/>
  <c r="AK68" i="1"/>
  <c r="AL68" i="1" s="1"/>
  <c r="AK69" i="1"/>
  <c r="AL69" i="1" s="1"/>
  <c r="AK70" i="1"/>
  <c r="AL70" i="1" s="1"/>
  <c r="AK71" i="1"/>
  <c r="AL71" i="1" s="1"/>
  <c r="AK72" i="1"/>
  <c r="AL72" i="1" s="1"/>
  <c r="AK73" i="1"/>
  <c r="AL73" i="1" s="1"/>
  <c r="AK74" i="1"/>
  <c r="AL74" i="1" s="1"/>
  <c r="AK75" i="1"/>
  <c r="AL75" i="1" s="1"/>
  <c r="AK76" i="1"/>
  <c r="AL76" i="1" s="1"/>
  <c r="AK77" i="1"/>
  <c r="AL77" i="1" s="1"/>
  <c r="AK78" i="1"/>
  <c r="AL78" i="1" s="1"/>
  <c r="AK79" i="1"/>
  <c r="AL79" i="1" s="1"/>
  <c r="AK80" i="1"/>
  <c r="AL80" i="1" s="1"/>
  <c r="AK81" i="1"/>
  <c r="AL81" i="1" s="1"/>
  <c r="AK82" i="1"/>
  <c r="AL82" i="1" s="1"/>
  <c r="AK83" i="1"/>
  <c r="AL83" i="1" s="1"/>
  <c r="AK84" i="1"/>
  <c r="AL84" i="1" s="1"/>
  <c r="AK85" i="1"/>
  <c r="AL85" i="1" s="1"/>
  <c r="AK86" i="1"/>
  <c r="AL86" i="1" s="1"/>
  <c r="AK87" i="1"/>
  <c r="AL87" i="1" s="1"/>
  <c r="AK88" i="1"/>
  <c r="AL88" i="1" s="1"/>
  <c r="AK89" i="1"/>
  <c r="AL89" i="1" s="1"/>
  <c r="AK90" i="1"/>
  <c r="AL90" i="1" s="1"/>
  <c r="AK91" i="1"/>
  <c r="AL91" i="1" s="1"/>
  <c r="AK92" i="1"/>
  <c r="AL92" i="1" s="1"/>
  <c r="AK93" i="1"/>
  <c r="AL93" i="1" s="1"/>
  <c r="AK94" i="1"/>
  <c r="AL94" i="1" s="1"/>
  <c r="AK95" i="1"/>
  <c r="AL95" i="1" s="1"/>
  <c r="AK96" i="1"/>
  <c r="AL96" i="1" s="1"/>
  <c r="AK97" i="1"/>
  <c r="AL97" i="1" s="1"/>
  <c r="AK98" i="1"/>
  <c r="AL98" i="1" s="1"/>
  <c r="AK99" i="1"/>
  <c r="AL99" i="1" s="1"/>
  <c r="AK100" i="1"/>
  <c r="AL100" i="1" s="1"/>
  <c r="AK101" i="1"/>
  <c r="AL101" i="1" s="1"/>
  <c r="AK102" i="1"/>
  <c r="AL102" i="1" s="1"/>
  <c r="AK103" i="1"/>
  <c r="AL103" i="1" s="1"/>
  <c r="AK104" i="1"/>
  <c r="AL104" i="1" s="1"/>
  <c r="AK105" i="1"/>
  <c r="AL105" i="1" s="1"/>
  <c r="AK106" i="1"/>
  <c r="AL106" i="1" s="1"/>
  <c r="AK107" i="1"/>
  <c r="AL107" i="1" s="1"/>
  <c r="AK108" i="1"/>
  <c r="AL108" i="1" s="1"/>
  <c r="AK109" i="1"/>
  <c r="AL109" i="1" s="1"/>
  <c r="AK110" i="1"/>
  <c r="AL110" i="1" s="1"/>
  <c r="AK111" i="1"/>
  <c r="AL111" i="1" s="1"/>
  <c r="AK112" i="1"/>
  <c r="AL112" i="1" s="1"/>
  <c r="AK113" i="1"/>
  <c r="AL113" i="1" s="1"/>
  <c r="AK114" i="1"/>
  <c r="AL114" i="1" s="1"/>
  <c r="AK115" i="1"/>
  <c r="AL115" i="1" s="1"/>
  <c r="AK116" i="1"/>
  <c r="AL116" i="1" s="1"/>
  <c r="AK117" i="1"/>
  <c r="AL117" i="1" s="1"/>
  <c r="AK118" i="1"/>
  <c r="AL118" i="1" s="1"/>
  <c r="AK119" i="1"/>
  <c r="AL119" i="1" s="1"/>
  <c r="AK120" i="1"/>
  <c r="AL120" i="1" s="1"/>
  <c r="AK121" i="1"/>
  <c r="AL121" i="1" s="1"/>
  <c r="AK122" i="1"/>
  <c r="AL122" i="1" s="1"/>
  <c r="AK123" i="1"/>
  <c r="AL123" i="1" s="1"/>
  <c r="AK124" i="1"/>
  <c r="AL124" i="1" s="1"/>
  <c r="AK125" i="1"/>
  <c r="AL125" i="1" s="1"/>
  <c r="AK126" i="1"/>
  <c r="AL126" i="1" s="1"/>
  <c r="AK127" i="1"/>
  <c r="AL127" i="1" s="1"/>
  <c r="AK128" i="1"/>
  <c r="AL128" i="1" s="1"/>
  <c r="AK129" i="1"/>
  <c r="AL129" i="1" s="1"/>
  <c r="AK130" i="1"/>
  <c r="AL130" i="1" s="1"/>
  <c r="AK131" i="1"/>
  <c r="AL131" i="1" s="1"/>
  <c r="AK132" i="1"/>
  <c r="AL132" i="1" s="1"/>
  <c r="AK133" i="1"/>
  <c r="AL133" i="1" s="1"/>
  <c r="AK134" i="1"/>
  <c r="AL134" i="1" s="1"/>
  <c r="AK135" i="1"/>
  <c r="AL135" i="1" s="1"/>
  <c r="AK136" i="1"/>
  <c r="AL136" i="1" s="1"/>
  <c r="AK137" i="1"/>
  <c r="AL137" i="1" s="1"/>
  <c r="AK138" i="1"/>
  <c r="AL138" i="1" s="1"/>
  <c r="AK139" i="1"/>
  <c r="AL139" i="1" s="1"/>
  <c r="AK140" i="1"/>
  <c r="AL140" i="1" s="1"/>
  <c r="AK141" i="1"/>
  <c r="AL141" i="1" s="1"/>
  <c r="AK142" i="1"/>
  <c r="AL142" i="1" s="1"/>
  <c r="AK143" i="1"/>
  <c r="AL143" i="1" s="1"/>
  <c r="AK144" i="1"/>
  <c r="AL144" i="1" s="1"/>
  <c r="AK145" i="1"/>
  <c r="AL145" i="1" s="1"/>
  <c r="AK146" i="1"/>
  <c r="AL146" i="1" s="1"/>
  <c r="AK147" i="1"/>
  <c r="AL147" i="1" s="1"/>
  <c r="AK148" i="1"/>
  <c r="AL148" i="1" s="1"/>
  <c r="AK149" i="1"/>
  <c r="AL149" i="1" s="1"/>
  <c r="AK150" i="1"/>
  <c r="AL150" i="1" s="1"/>
  <c r="AK151" i="1"/>
  <c r="AL151" i="1" s="1"/>
  <c r="AK152" i="1"/>
  <c r="AL152" i="1" s="1"/>
  <c r="AK153" i="1"/>
  <c r="AL153" i="1" s="1"/>
  <c r="AK154" i="1"/>
  <c r="AL154" i="1" s="1"/>
  <c r="AK155" i="1"/>
  <c r="AL155" i="1" s="1"/>
  <c r="AK156" i="1"/>
  <c r="AL156" i="1" s="1"/>
  <c r="AK157" i="1"/>
  <c r="AL157" i="1" s="1"/>
  <c r="AK158" i="1"/>
  <c r="AL158" i="1" s="1"/>
  <c r="AK159" i="1"/>
  <c r="AL159" i="1" s="1"/>
  <c r="AK160" i="1"/>
  <c r="AL160" i="1" s="1"/>
  <c r="AK161" i="1"/>
  <c r="AL161" i="1" s="1"/>
  <c r="AK162" i="1"/>
  <c r="AL162" i="1" s="1"/>
  <c r="AK163" i="1"/>
  <c r="AL163" i="1" s="1"/>
  <c r="AK164" i="1"/>
  <c r="AL164" i="1" s="1"/>
  <c r="AK165" i="1"/>
  <c r="AL165" i="1" s="1"/>
  <c r="AK166" i="1"/>
  <c r="AL166" i="1" s="1"/>
  <c r="AK167" i="1"/>
  <c r="AL167" i="1" s="1"/>
  <c r="AK168" i="1"/>
  <c r="AL168" i="1" s="1"/>
  <c r="AK169" i="1"/>
  <c r="AL169" i="1" s="1"/>
  <c r="AK170" i="1"/>
  <c r="AL170" i="1" s="1"/>
  <c r="AK171" i="1"/>
  <c r="AL171" i="1" s="1"/>
  <c r="AK172" i="1"/>
  <c r="AL172" i="1" s="1"/>
  <c r="AK173" i="1"/>
  <c r="AL173" i="1" s="1"/>
  <c r="AK174" i="1"/>
  <c r="AL174" i="1" s="1"/>
  <c r="AK175" i="1"/>
  <c r="AL175" i="1" s="1"/>
  <c r="AK176" i="1"/>
  <c r="AL176" i="1" s="1"/>
  <c r="AK177" i="1"/>
  <c r="AL177" i="1" s="1"/>
  <c r="AK178" i="1"/>
  <c r="AL178" i="1" s="1"/>
  <c r="AK179" i="1"/>
  <c r="AL179" i="1" s="1"/>
  <c r="AK180" i="1"/>
  <c r="AL180" i="1" s="1"/>
  <c r="AK181" i="1"/>
  <c r="AL181" i="1" s="1"/>
  <c r="AK182" i="1"/>
  <c r="AL182" i="1" s="1"/>
  <c r="AK183" i="1"/>
  <c r="AL183" i="1" s="1"/>
  <c r="AK184" i="1"/>
  <c r="AL184" i="1" s="1"/>
  <c r="AK185" i="1"/>
  <c r="AL185" i="1" s="1"/>
  <c r="AK186" i="1"/>
  <c r="AL186" i="1" s="1"/>
  <c r="AK187" i="1"/>
  <c r="AL187" i="1" s="1"/>
  <c r="AK188" i="1"/>
  <c r="AL188" i="1" s="1"/>
  <c r="AK189" i="1"/>
  <c r="AL189" i="1" s="1"/>
  <c r="AK190" i="1"/>
  <c r="AL190" i="1" s="1"/>
  <c r="AK191" i="1"/>
  <c r="AL191" i="1" s="1"/>
  <c r="AK192" i="1"/>
  <c r="AL192" i="1" s="1"/>
  <c r="AK193" i="1"/>
  <c r="AL193" i="1" s="1"/>
  <c r="AK194" i="1"/>
  <c r="AL194" i="1" s="1"/>
  <c r="AK195" i="1"/>
  <c r="AL195" i="1" s="1"/>
  <c r="AK196" i="1"/>
  <c r="AL196" i="1" s="1"/>
  <c r="AK197" i="1"/>
  <c r="AL197" i="1" s="1"/>
  <c r="AK198" i="1"/>
  <c r="AL198" i="1" s="1"/>
  <c r="AK199" i="1"/>
  <c r="AL199" i="1" s="1"/>
  <c r="AK200" i="1"/>
  <c r="AL200" i="1" s="1"/>
  <c r="AK201" i="1"/>
  <c r="AL201" i="1" s="1"/>
  <c r="AK202" i="1"/>
  <c r="AL202" i="1" s="1"/>
  <c r="AK203" i="1"/>
  <c r="AL203" i="1" s="1"/>
  <c r="AK204" i="1"/>
  <c r="AL204" i="1" s="1"/>
  <c r="AK205" i="1"/>
  <c r="AL205" i="1" s="1"/>
  <c r="AK206" i="1"/>
  <c r="AL206" i="1" s="1"/>
  <c r="AK207" i="1"/>
  <c r="AL207" i="1" s="1"/>
  <c r="AK208" i="1"/>
  <c r="AL208" i="1" s="1"/>
  <c r="AK209" i="1"/>
  <c r="AL209" i="1" s="1"/>
  <c r="AK210" i="1"/>
  <c r="AL210" i="1" s="1"/>
  <c r="AK211" i="1"/>
  <c r="AL211" i="1" s="1"/>
  <c r="AK212" i="1"/>
  <c r="AL212" i="1" s="1"/>
  <c r="AK213" i="1"/>
  <c r="AL213" i="1" s="1"/>
  <c r="AK214" i="1"/>
  <c r="AL214" i="1" s="1"/>
  <c r="AK215" i="1"/>
  <c r="AL215" i="1" s="1"/>
  <c r="AK216" i="1"/>
  <c r="AL216" i="1" s="1"/>
  <c r="AK217" i="1"/>
  <c r="AL217" i="1" s="1"/>
  <c r="AK218" i="1"/>
  <c r="AL218" i="1" s="1"/>
  <c r="AK219" i="1"/>
  <c r="AL219" i="1" s="1"/>
  <c r="AK220" i="1"/>
  <c r="AL220" i="1" s="1"/>
  <c r="AK221" i="1"/>
  <c r="AL221" i="1" s="1"/>
  <c r="AK222" i="1"/>
  <c r="AL222" i="1" s="1"/>
  <c r="AK223" i="1"/>
  <c r="AL223" i="1" s="1"/>
  <c r="AK224" i="1"/>
  <c r="AL224" i="1" s="1"/>
  <c r="AK225" i="1"/>
  <c r="AL225" i="1" s="1"/>
  <c r="AK226" i="1"/>
  <c r="AL226" i="1" s="1"/>
  <c r="AK227" i="1"/>
  <c r="AL227" i="1" s="1"/>
  <c r="AK228" i="1"/>
  <c r="AL228" i="1" s="1"/>
  <c r="AK229" i="1"/>
  <c r="AL229" i="1" s="1"/>
  <c r="AK230" i="1"/>
  <c r="AL230" i="1" s="1"/>
  <c r="AK231" i="1"/>
  <c r="AL231" i="1" s="1"/>
  <c r="AK232" i="1"/>
  <c r="AL232" i="1" s="1"/>
  <c r="AK233" i="1"/>
  <c r="AL233" i="1" s="1"/>
  <c r="AK234" i="1"/>
  <c r="AL234" i="1" s="1"/>
  <c r="AK235" i="1"/>
  <c r="AL235" i="1" s="1"/>
  <c r="AK236" i="1"/>
  <c r="AL236" i="1" s="1"/>
  <c r="AK237" i="1"/>
  <c r="AL237" i="1" s="1"/>
  <c r="AK238" i="1"/>
  <c r="AL238" i="1" s="1"/>
  <c r="AK239" i="1"/>
  <c r="AL239" i="1" s="1"/>
  <c r="AK240" i="1"/>
  <c r="AL240" i="1" s="1"/>
  <c r="AK241" i="1"/>
  <c r="AL241" i="1" s="1"/>
  <c r="AK242" i="1"/>
  <c r="AL242" i="1" s="1"/>
  <c r="AK243" i="1"/>
  <c r="AL243" i="1" s="1"/>
  <c r="AK244" i="1"/>
  <c r="AL244" i="1" s="1"/>
  <c r="AK245" i="1"/>
  <c r="AL245" i="1" s="1"/>
  <c r="AK246" i="1"/>
  <c r="AL246" i="1" s="1"/>
  <c r="AK247" i="1"/>
  <c r="AL247" i="1" s="1"/>
  <c r="AK248" i="1"/>
  <c r="AL248" i="1" s="1"/>
  <c r="AK249" i="1"/>
  <c r="AL249" i="1" s="1"/>
  <c r="AK250" i="1"/>
  <c r="AL250" i="1" s="1"/>
  <c r="AK251" i="1"/>
  <c r="AL251" i="1" s="1"/>
  <c r="AK252" i="1"/>
  <c r="AL252" i="1" s="1"/>
  <c r="AK253" i="1"/>
  <c r="AL253" i="1" s="1"/>
  <c r="AK254" i="1"/>
  <c r="AL254" i="1" s="1"/>
  <c r="AK255" i="1"/>
  <c r="AL255" i="1" s="1"/>
  <c r="AK256" i="1"/>
  <c r="AL256" i="1" s="1"/>
  <c r="AK257" i="1"/>
  <c r="AL257" i="1" s="1"/>
  <c r="AK258" i="1"/>
  <c r="AL258" i="1" s="1"/>
  <c r="AK259" i="1"/>
  <c r="AL259" i="1" s="1"/>
  <c r="AK260" i="1"/>
  <c r="AL260" i="1" s="1"/>
  <c r="AK261" i="1"/>
  <c r="AL261" i="1" s="1"/>
  <c r="AK262" i="1"/>
  <c r="AL262" i="1" s="1"/>
  <c r="AK263" i="1"/>
  <c r="AL263" i="1" s="1"/>
  <c r="AK264" i="1"/>
  <c r="AL264" i="1" s="1"/>
  <c r="AK265" i="1"/>
  <c r="AL265" i="1" s="1"/>
  <c r="AK266" i="1"/>
  <c r="AL266" i="1" s="1"/>
  <c r="AK267" i="1"/>
  <c r="AL267" i="1" s="1"/>
  <c r="AK268" i="1"/>
  <c r="AL268" i="1" s="1"/>
  <c r="AK269" i="1"/>
  <c r="AL269" i="1" s="1"/>
  <c r="AK270" i="1"/>
  <c r="AL270" i="1" s="1"/>
  <c r="AK271" i="1"/>
  <c r="AL271" i="1" s="1"/>
  <c r="AK272" i="1"/>
  <c r="AL272" i="1" s="1"/>
  <c r="AK273" i="1"/>
  <c r="AL273" i="1" s="1"/>
  <c r="AK274" i="1"/>
  <c r="AL274" i="1" s="1"/>
  <c r="AK275" i="1"/>
  <c r="AL275" i="1" s="1"/>
  <c r="AK276" i="1"/>
  <c r="AL276" i="1" s="1"/>
  <c r="AK277" i="1"/>
  <c r="AL277" i="1" s="1"/>
  <c r="AK278" i="1"/>
  <c r="AL278" i="1" s="1"/>
  <c r="AK279" i="1"/>
  <c r="AL279" i="1" s="1"/>
  <c r="AK280" i="1"/>
  <c r="AL280" i="1" s="1"/>
  <c r="AK281" i="1"/>
  <c r="AL281" i="1" s="1"/>
  <c r="AK282" i="1"/>
  <c r="AL282" i="1" s="1"/>
  <c r="AK283" i="1"/>
  <c r="AL283" i="1" s="1"/>
  <c r="AK284" i="1"/>
  <c r="AL284" i="1" s="1"/>
  <c r="AK285" i="1"/>
  <c r="AL285" i="1" s="1"/>
  <c r="AK286" i="1"/>
  <c r="AL286" i="1" s="1"/>
  <c r="AK287" i="1"/>
  <c r="AL287" i="1" s="1"/>
  <c r="AK288" i="1"/>
  <c r="AL288" i="1" s="1"/>
  <c r="AK289" i="1"/>
  <c r="AL289" i="1" s="1"/>
  <c r="AK290" i="1"/>
  <c r="AL290" i="1" s="1"/>
  <c r="AK291" i="1"/>
  <c r="AL291" i="1" s="1"/>
  <c r="AK292" i="1"/>
  <c r="AL292" i="1" s="1"/>
  <c r="AK293" i="1"/>
  <c r="AL293" i="1" s="1"/>
  <c r="AK294" i="1"/>
  <c r="AL294" i="1" s="1"/>
  <c r="AK295" i="1"/>
  <c r="AL295" i="1" s="1"/>
  <c r="AK296" i="1"/>
  <c r="AL296" i="1" s="1"/>
  <c r="AK297" i="1"/>
  <c r="AL297" i="1" s="1"/>
  <c r="AK298" i="1"/>
  <c r="AL298" i="1" s="1"/>
  <c r="AK299" i="1"/>
  <c r="AL299" i="1" s="1"/>
  <c r="AK300" i="1"/>
  <c r="AL300" i="1" s="1"/>
  <c r="AK301" i="1"/>
  <c r="AL301" i="1" s="1"/>
  <c r="AK302" i="1"/>
  <c r="AL302" i="1" s="1"/>
  <c r="AK303" i="1"/>
  <c r="AL303" i="1" s="1"/>
  <c r="AK304" i="1"/>
  <c r="AL304" i="1" s="1"/>
  <c r="AK305" i="1"/>
  <c r="AL305" i="1" s="1"/>
  <c r="AK306" i="1"/>
  <c r="AL306" i="1" s="1"/>
  <c r="AK307" i="1"/>
  <c r="AL307" i="1" s="1"/>
  <c r="AK308" i="1"/>
  <c r="AL308" i="1" s="1"/>
  <c r="AK309" i="1"/>
  <c r="AL309" i="1" s="1"/>
  <c r="AK310" i="1"/>
  <c r="AL310" i="1" s="1"/>
  <c r="AK311" i="1"/>
  <c r="AL311" i="1" s="1"/>
  <c r="AK312" i="1"/>
  <c r="AL312" i="1" s="1"/>
  <c r="AK313" i="1"/>
  <c r="AL313" i="1" s="1"/>
  <c r="AK314" i="1"/>
  <c r="AL314" i="1" s="1"/>
  <c r="AK315" i="1"/>
  <c r="AL315" i="1" s="1"/>
  <c r="AK316" i="1"/>
  <c r="AL316" i="1" s="1"/>
  <c r="AK317" i="1"/>
  <c r="AL317" i="1" s="1"/>
  <c r="AK318" i="1"/>
  <c r="AL318" i="1" s="1"/>
  <c r="AK319" i="1"/>
  <c r="AL319" i="1" s="1"/>
  <c r="AK320" i="1"/>
  <c r="AL320" i="1" s="1"/>
  <c r="AK321" i="1"/>
  <c r="AL321" i="1" s="1"/>
  <c r="AK322" i="1"/>
  <c r="AL322" i="1" s="1"/>
  <c r="AK323" i="1"/>
  <c r="AL323" i="1" s="1"/>
  <c r="AK324" i="1"/>
  <c r="AL324" i="1" s="1"/>
  <c r="AK325" i="1"/>
  <c r="AL325" i="1" s="1"/>
  <c r="AK326" i="1"/>
  <c r="AL326" i="1" s="1"/>
  <c r="AK327" i="1"/>
  <c r="AL327" i="1" s="1"/>
  <c r="AK328" i="1"/>
  <c r="AL328" i="1" s="1"/>
  <c r="AK329" i="1"/>
  <c r="AL329" i="1" s="1"/>
  <c r="AK330" i="1"/>
  <c r="AL330" i="1" s="1"/>
  <c r="AK331" i="1"/>
  <c r="AL331" i="1" s="1"/>
  <c r="AK332" i="1"/>
  <c r="AL332" i="1" s="1"/>
  <c r="AK333" i="1"/>
  <c r="AL333" i="1" s="1"/>
  <c r="AK334" i="1"/>
  <c r="AL334" i="1" s="1"/>
  <c r="AK335" i="1"/>
  <c r="AL335" i="1" s="1"/>
  <c r="AK336" i="1"/>
  <c r="AL336" i="1" s="1"/>
  <c r="AK337" i="1"/>
  <c r="AL337" i="1" s="1"/>
  <c r="AK338" i="1"/>
  <c r="AL338" i="1" s="1"/>
  <c r="AK339" i="1"/>
  <c r="AL339" i="1" s="1"/>
  <c r="AK340" i="1"/>
  <c r="AL340" i="1" s="1"/>
  <c r="AK341" i="1"/>
  <c r="AL341" i="1" s="1"/>
  <c r="AK342" i="1"/>
  <c r="AL342" i="1" s="1"/>
  <c r="AK343" i="1"/>
  <c r="AL343" i="1" s="1"/>
  <c r="AK344" i="1"/>
  <c r="AL344" i="1" s="1"/>
  <c r="AK345" i="1"/>
  <c r="AL345" i="1" s="1"/>
  <c r="AK346" i="1"/>
  <c r="AL346" i="1" s="1"/>
  <c r="AK347" i="1"/>
  <c r="AL347" i="1" s="1"/>
  <c r="AK348" i="1"/>
  <c r="AL348" i="1" s="1"/>
  <c r="AK349" i="1"/>
  <c r="AL349" i="1" s="1"/>
  <c r="AK350" i="1"/>
  <c r="AL350" i="1" s="1"/>
  <c r="AK351" i="1"/>
  <c r="AL351" i="1" s="1"/>
  <c r="AK352" i="1"/>
  <c r="AL352" i="1" s="1"/>
  <c r="AK353" i="1"/>
  <c r="AL353" i="1" s="1"/>
  <c r="AK354" i="1"/>
  <c r="AL354" i="1" s="1"/>
  <c r="AK355" i="1"/>
  <c r="AL355" i="1" s="1"/>
  <c r="AK356" i="1"/>
  <c r="AL356" i="1" s="1"/>
  <c r="AK357" i="1"/>
  <c r="AL357" i="1" s="1"/>
  <c r="AK358" i="1"/>
  <c r="AL358" i="1" s="1"/>
  <c r="AK359" i="1"/>
  <c r="AL359" i="1" s="1"/>
  <c r="AK360" i="1"/>
  <c r="AL360" i="1" s="1"/>
  <c r="AK361" i="1"/>
  <c r="AL361" i="1" s="1"/>
  <c r="AK362" i="1"/>
  <c r="AL362" i="1" s="1"/>
  <c r="AK363" i="1"/>
  <c r="AL363" i="1" s="1"/>
  <c r="AK364" i="1"/>
  <c r="AL364" i="1" s="1"/>
  <c r="AK365" i="1"/>
  <c r="AL365" i="1" s="1"/>
  <c r="AK366" i="1"/>
  <c r="AL366" i="1" s="1"/>
  <c r="AK367" i="1"/>
  <c r="AL367" i="1" s="1"/>
  <c r="AK368" i="1"/>
  <c r="AL368" i="1" s="1"/>
  <c r="AK369" i="1"/>
  <c r="AL369" i="1" s="1"/>
  <c r="AK370" i="1"/>
  <c r="AL370" i="1" s="1"/>
  <c r="AK371" i="1"/>
  <c r="AL371" i="1" s="1"/>
  <c r="AK372" i="1"/>
  <c r="AL372" i="1" s="1"/>
  <c r="AK373" i="1"/>
  <c r="AL373" i="1" s="1"/>
  <c r="AK374" i="1"/>
  <c r="AL374" i="1" s="1"/>
  <c r="AK375" i="1"/>
  <c r="AL375" i="1" s="1"/>
  <c r="AK376" i="1"/>
  <c r="AL376" i="1" s="1"/>
  <c r="AK377" i="1"/>
  <c r="AL377" i="1" s="1"/>
  <c r="AK378" i="1"/>
  <c r="AL378" i="1" s="1"/>
  <c r="AK379" i="1"/>
  <c r="AL379" i="1" s="1"/>
  <c r="AK380" i="1"/>
  <c r="AL380" i="1" s="1"/>
  <c r="AK381" i="1"/>
  <c r="AL381" i="1" s="1"/>
  <c r="AK382" i="1"/>
  <c r="AL382" i="1" s="1"/>
  <c r="AK383" i="1"/>
  <c r="AL383" i="1" s="1"/>
  <c r="AK384" i="1"/>
  <c r="AL384" i="1" s="1"/>
  <c r="AK385" i="1"/>
  <c r="AL385" i="1" s="1"/>
  <c r="AK386" i="1"/>
  <c r="AL386" i="1" s="1"/>
  <c r="AG11" i="1" l="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10" i="1"/>
  <c r="U4" i="1"/>
  <c r="V4" i="1"/>
  <c r="W4" i="1"/>
  <c r="X4" i="1"/>
  <c r="Y4" i="1"/>
  <c r="Z4" i="1"/>
  <c r="Z3" i="1" s="1"/>
  <c r="AA4" i="1"/>
  <c r="AA3" i="1" s="1"/>
  <c r="AB4" i="1"/>
  <c r="AB3" i="1" s="1"/>
  <c r="AC4" i="1"/>
  <c r="AC3" i="1" s="1"/>
  <c r="AD4" i="1"/>
  <c r="AD3" i="1" s="1"/>
  <c r="AE4" i="1"/>
  <c r="AF4" i="1"/>
  <c r="T4" i="1" l="1"/>
</calcChain>
</file>

<file path=xl/sharedStrings.xml><?xml version="1.0" encoding="utf-8"?>
<sst xmlns="http://schemas.openxmlformats.org/spreadsheetml/2006/main" count="19032" uniqueCount="3025">
  <si>
    <t>y/c Nhập</t>
  </si>
  <si>
    <t>y/c Nhập nếu có code (10 Ký tự)</t>
  </si>
  <si>
    <t>Code</t>
  </si>
  <si>
    <t>TT5</t>
  </si>
  <si>
    <t>TT4</t>
  </si>
  <si>
    <t>STT</t>
  </si>
  <si>
    <t>Miền</t>
  </si>
  <si>
    <t>Tên GSST</t>
  </si>
  <si>
    <t>Tên TBVH</t>
  </si>
  <si>
    <t>Mã ST</t>
  </si>
  <si>
    <t>Tên ST</t>
  </si>
  <si>
    <t>Mã 10 ký tự (CVS lấy hàng từ NPP)</t>
  </si>
  <si>
    <t>Mã store</t>
  </si>
  <si>
    <t>Loại Stote</t>
  </si>
  <si>
    <t>Tình trạng Store</t>
  </si>
  <si>
    <t>Địa chỉ Store (ship to)</t>
  </si>
  <si>
    <t>Tên Store
(Location)</t>
  </si>
  <si>
    <t>Mã PG</t>
  </si>
  <si>
    <t>Họ Tên PG</t>
  </si>
  <si>
    <t>VTCV</t>
  </si>
  <si>
    <t>Số Điện Thoại Của PG</t>
  </si>
  <si>
    <t>Tình Trạng Làm Việc</t>
  </si>
  <si>
    <t>Mã PG Leader</t>
  </si>
  <si>
    <t>Họ và Tên PG Leader</t>
  </si>
  <si>
    <t>Chỉ tiêu Tổng</t>
  </si>
  <si>
    <t>CHỈ TIÊU MHTT</t>
  </si>
  <si>
    <t>Thông tin PG thay đổi trong tháng</t>
  </si>
  <si>
    <t>Thông tin store thay đổi trong tháng</t>
  </si>
  <si>
    <t>Chỉ tiêu Doanh Số Tổng (-Vat)</t>
  </si>
  <si>
    <t>ST Chuỗi Lớn</t>
  </si>
  <si>
    <t>CHTL (Trừ Mẹ &amp; Bé)</t>
  </si>
  <si>
    <t>CHTL (Mẹ &amp; Bé)</t>
  </si>
  <si>
    <t>Check Doanh Số Tổng</t>
  </si>
  <si>
    <t>Vị trí tuyển dụng thay thế</t>
  </si>
  <si>
    <t>PG đã nghỉ</t>
  </si>
  <si>
    <t>Vị trí store mới</t>
  </si>
  <si>
    <t>Store ngưng hỗ trợ</t>
  </si>
  <si>
    <t>BQ3T</t>
  </si>
  <si>
    <t>Tăng trưởng</t>
  </si>
  <si>
    <t>Giải thích Tăng / Giảm +/- 25%</t>
  </si>
  <si>
    <t>Họ tên PG</t>
  </si>
  <si>
    <t>Lý do</t>
  </si>
  <si>
    <t>SR</t>
  </si>
  <si>
    <t>CHỈ TIÊU PG VẬN HÀNH THÁNG : T09 / 2026</t>
  </si>
  <si>
    <t>TT1</t>
  </si>
  <si>
    <t>TT2</t>
  </si>
  <si>
    <t>TT3</t>
  </si>
  <si>
    <t>TT6</t>
  </si>
  <si>
    <t>TT7</t>
  </si>
  <si>
    <t>SCA các loại (trừ Green Farm)</t>
  </si>
  <si>
    <t>SCU Probi &amp; Star các loại</t>
  </si>
  <si>
    <t>SN Green Farm (Sữa tươi, Cao đạm, Organic, Tổ yến, Thanh trùng)</t>
  </si>
  <si>
    <t>SC Green Farm( SCU, SCA)</t>
  </si>
  <si>
    <t>FM 180ml các loại (trừ CD/ID/KD) &amp; FM 240ml</t>
  </si>
  <si>
    <t>SBTE các loại</t>
  </si>
  <si>
    <t>SBPS TE các loại</t>
  </si>
  <si>
    <t>Nhập vào Tháng</t>
  </si>
  <si>
    <t>N-3</t>
  </si>
  <si>
    <t>N-2</t>
  </si>
  <si>
    <t>N-1</t>
  </si>
  <si>
    <t>Cùng Kỳ</t>
  </si>
  <si>
    <t>Tháng</t>
  </si>
  <si>
    <t>Phân Loại MHTT của PG thuộc Kênh</t>
  </si>
  <si>
    <t>Nhóm MHTT</t>
  </si>
  <si>
    <t>Sum of Amount</t>
  </si>
  <si>
    <t>Month</t>
  </si>
  <si>
    <t>KenhCty</t>
  </si>
  <si>
    <t>Nhan_MHTT</t>
  </si>
  <si>
    <t>6 Total</t>
  </si>
  <si>
    <t>7 Total</t>
  </si>
  <si>
    <t>8 Total</t>
  </si>
  <si>
    <t>Grand Total</t>
  </si>
  <si>
    <t>CVS</t>
  </si>
  <si>
    <t>MeBe</t>
  </si>
  <si>
    <t>STC</t>
  </si>
  <si>
    <t>RegionCode</t>
  </si>
  <si>
    <t>SalesSubChannel</t>
  </si>
  <si>
    <t>CustomerCode</t>
  </si>
  <si>
    <t>CustomerName</t>
  </si>
  <si>
    <t>OutletCode</t>
  </si>
  <si>
    <t>OutletName</t>
  </si>
  <si>
    <t>OutletAddress</t>
  </si>
  <si>
    <t>LocationCode</t>
  </si>
  <si>
    <t>OutletType</t>
  </si>
  <si>
    <t>GSCode</t>
  </si>
  <si>
    <t>TBBHCode</t>
  </si>
  <si>
    <t>TBHVCode</t>
  </si>
  <si>
    <t>(blank)</t>
  </si>
  <si>
    <t>LTQTHUY</t>
  </si>
  <si>
    <t>ST_AE_MAX</t>
  </si>
  <si>
    <t>ST-BC</t>
  </si>
  <si>
    <t>EB4001</t>
  </si>
  <si>
    <t>Công ty TNHH Dịch Vụ EB</t>
  </si>
  <si>
    <t>PTTHIEN2</t>
  </si>
  <si>
    <t>ST-BHX</t>
  </si>
  <si>
    <t>XH4001</t>
  </si>
  <si>
    <t>CÔNG TY CỔ PHẦN THƯƠNG MẠI BÁCH HOÁ XANH</t>
  </si>
  <si>
    <t>DTKVAN</t>
  </si>
  <si>
    <t>Liên Hiệp HTX Thương Mại TP.Hồ Chí Minh</t>
  </si>
  <si>
    <t>DDQUANG</t>
  </si>
  <si>
    <t>ST-CO</t>
  </si>
  <si>
    <t>CO4001</t>
  </si>
  <si>
    <t>ST-CVS_GS25</t>
  </si>
  <si>
    <t>LNTLAN</t>
  </si>
  <si>
    <t>ST-LO</t>
  </si>
  <si>
    <t>ST-MT</t>
  </si>
  <si>
    <t>ST-VC</t>
  </si>
  <si>
    <t>ST-VI</t>
  </si>
  <si>
    <t>TT-ST</t>
  </si>
  <si>
    <t>ST00_MM</t>
  </si>
  <si>
    <t>ST_CK</t>
  </si>
  <si>
    <t>ST_FAMI</t>
  </si>
  <si>
    <t>ST-CVS_SSV</t>
  </si>
  <si>
    <t>ST-TGS</t>
  </si>
  <si>
    <t>MD00</t>
  </si>
  <si>
    <t>Khu Dịch vụ, khu công nghiệp Nhơn Trạch 3, Đường Tôn Đức Thắng, Thị Trấn Hiệp Phước, Huyện Nhơn Trạch, Tỉnh Đồng Nai</t>
  </si>
  <si>
    <t>EB400141534</t>
  </si>
  <si>
    <t>NDTRINH</t>
  </si>
  <si>
    <t>HNTRINH</t>
  </si>
  <si>
    <t>Trung tâm thương mại Tân Thành, Phường Phú Mỹ, Thị xã Phú Mỹ, Tỉnh Bà Rịa - Vũng Tàu</t>
  </si>
  <si>
    <t>EB400139813</t>
  </si>
  <si>
    <t>Tầng 1, TTTM GO! Bà Rịa, Số 2A, Đường Nguyễn Đình Chiểu, Khu phố 1, Phường Bà Rịa, TP. Hồ Chí Minh, Việt Nam</t>
  </si>
  <si>
    <t>EB400148903</t>
  </si>
  <si>
    <t>Hub - Đường Phan Huy Chú, tổ 6, khu phố 1, Phường Phú Bình, Thành phố Long Khánh, Tỉnh Đồng Nai</t>
  </si>
  <si>
    <t>XH400144570</t>
  </si>
  <si>
    <t>G243 Bùi Văn Hòa, Khu Phố 7, Phường Long Bình, Tỉnh Đồng Nai, Việt Nam</t>
  </si>
  <si>
    <t>XH400150250</t>
  </si>
  <si>
    <t>Ấp 4, Xã Châu Pha, Thành phố Hồ Chí Minh, Việt Nam</t>
  </si>
  <si>
    <t>XH400150248</t>
  </si>
  <si>
    <t>Hub - Ấp 4, Xã Châu Pha, Thành phố Hồ Chí Minh, Việt Nam</t>
  </si>
  <si>
    <t>XH400150253</t>
  </si>
  <si>
    <t>Hub - G243 Bùi Văn Hòa, Khu Phố 7, Phường Long Bình, Tỉnh Đồng Nai, Việt Nam</t>
  </si>
  <si>
    <t>XH400150257</t>
  </si>
  <si>
    <t>ST-BLUE_KIDS</t>
  </si>
  <si>
    <t>AV4006</t>
  </si>
  <si>
    <t>Công Ty TNHH Thương Mại Avakids</t>
  </si>
  <si>
    <t>406 Đường Nguyễn Tri Phương, khu phố Bình Đường 1, Phường Dĩ An, Thành phố Hồ Chí Minh, Việt Nam</t>
  </si>
  <si>
    <t>AV400653230</t>
  </si>
  <si>
    <t>DMTIEN</t>
  </si>
  <si>
    <t>Số 102/3 ấp Tân Yên, Xã Gia Kiệm, Tỉnh Đồng Nai, Việt Nam</t>
  </si>
  <si>
    <t>AV400653251</t>
  </si>
  <si>
    <t>Thửa đất số 18, tờ bản đồ số 43, khu phố 2, Phường Tân Ninh, Tỉnh Tây Ninh, Việt Nam</t>
  </si>
  <si>
    <t>AV400653255</t>
  </si>
  <si>
    <t>268 đường Phú Lợi, Khu 05, Phường Phú Lợi, Thành phố Hồ Chí Minh, Việt Nam</t>
  </si>
  <si>
    <t>AV400653222</t>
  </si>
  <si>
    <t>Thửa đất số 830, tờ bản đồ 6, đường N5, khu phố 6, Phường Thới Hòa, Thành phố Hồ Chí Minh, Việt Nam</t>
  </si>
  <si>
    <t>AV400653257</t>
  </si>
  <si>
    <t>Thửa số Ô 52 lô J56, tờ bản đồ 1-KTDC Mỹ Phước III, đường NE8, Khu Phố 3B, Phường Thới Hòa, Thành phố Hồ Chí Minh, Việt Nam</t>
  </si>
  <si>
    <t>AV400653258</t>
  </si>
  <si>
    <t>Đường Quốc lộ 13, khu phố 1, Phường Chơn Thành, Tỉnh Đồng Nai, Việt Nam</t>
  </si>
  <si>
    <t>AV400653247</t>
  </si>
  <si>
    <t>397/11B Đường Lê Hồng Phong, Khu phố Đông Chiêu, Phường Tân Đông Hiệp, Thành phố Hồ Chí Minh, Việt Nam</t>
  </si>
  <si>
    <t>AV400653229</t>
  </si>
  <si>
    <t>288A Võ Thị Sáu, khu phố 2, Phường Trấn Biên, Tỉnh Đồng Nai, Việt Nam</t>
  </si>
  <si>
    <t>AV400653224</t>
  </si>
  <si>
    <t>Số 01 Nguvễn Văn Tiên, khu phố 9, Phường Tân Triều, Tỉnh Đồng Nai, Việt Nam</t>
  </si>
  <si>
    <t>AV400653250</t>
  </si>
  <si>
    <t>Số 458 Đường 30/4, Phường Rạch Dừa, Thành phố Hồ Chí Minh, Việt Nam</t>
  </si>
  <si>
    <t>AV400653253</t>
  </si>
  <si>
    <t>Ô 118, DC30, đường D1, khu dân cư Việt Sing, khu phố 4, Phường An Phú, Thành phố Hồ Chí Minh, Việt Nam</t>
  </si>
  <si>
    <t>AV400653248</t>
  </si>
  <si>
    <t>258 Cách mạng Tháng Tám, Phường Trấn Biên, Tỉnh Đồng Nai, Việt Nam</t>
  </si>
  <si>
    <t>AV400653221</t>
  </si>
  <si>
    <t>60 Nguyễn Văn Tiết, tổ 3, khu phố Đông Tư, Phường Lái Thiêu, Thành phố Hồ Chí Minh, Việt Nam</t>
  </si>
  <si>
    <t>AV400653238</t>
  </si>
  <si>
    <t>15 Phùng Hưng, khu phố Long Đức 1, Phường Tam Phước, tỉnh Đồng Nai, Việt Nam</t>
  </si>
  <si>
    <t>AV400653213</t>
  </si>
  <si>
    <t>Số 01 Nguvễn Văn Tiên, khu phố Tân Thành, Phường Tân Triều, Thành phố Đồng Nai</t>
  </si>
  <si>
    <t>AV400692003</t>
  </si>
  <si>
    <t>288A Võ Thị Sáu, khu phố Thống Nhất, Phường Trấn Biên, Thành phố Đồng Nai, Việt Nam</t>
  </si>
  <si>
    <t>AV400692002</t>
  </si>
  <si>
    <t>Số 272 đường Ba Cu, Phường Vũng Tàu, Thành phố Hồ Chí Minh, Việt Nam</t>
  </si>
  <si>
    <t>AV400653252</t>
  </si>
  <si>
    <t>15 Phùng Hưng, khu phố Long Đức, Phường Tam Phước, Thành phố Đồng Nai, Việt Nam</t>
  </si>
  <si>
    <t>AV400692000</t>
  </si>
  <si>
    <t>Số 186 Đường Quốc lộ 13, khu phố Suối Đôi, Phường Chơn Thành, Thành phố Đồng Nai, Việt Nam</t>
  </si>
  <si>
    <t>AV400692005</t>
  </si>
  <si>
    <t>258 Cách Mạng Tháng Tám, Khu phố Quang Vinh, Phường Trấn Biên, Thành phố Đồng Nai, Việt Nam</t>
  </si>
  <si>
    <t>AV400692001</t>
  </si>
  <si>
    <t>Số 102/3 ấp Phúc Nhạc, Xã Gia Kiệm, Thành phố Đồng Nai, Việt Nam</t>
  </si>
  <si>
    <t>AV400692004</t>
  </si>
  <si>
    <t>Số 1469 đường Độc Lập, Phường Phú Mỹ, TP Hồ Chí Minh, VN</t>
  </si>
  <si>
    <t>CO400149236</t>
  </si>
  <si>
    <t>Số 36 Nguyễn Thái Học, Phường Tam Thắng, TP Hồ Chí Minh, VN</t>
  </si>
  <si>
    <t>CO400149558</t>
  </si>
  <si>
    <t>Số 6 Nguyễn Hữu Thọ, KP 2, Phường Bà Rịa, TP Hồ Chí Minh, VN</t>
  </si>
  <si>
    <t>CO400149147</t>
  </si>
  <si>
    <t>ST-CON_CUNG</t>
  </si>
  <si>
    <t>CC4017</t>
  </si>
  <si>
    <t>Công ty Cổ phần Con Cưng</t>
  </si>
  <si>
    <t>01 Đường NC, Khu phố Đồng Sổ, Thị trấn Lai Uyên, Huyện Bàu Bàng, Tỉnh Bình Dương</t>
  </si>
  <si>
    <t>CC401741094</t>
  </si>
  <si>
    <t>07 Lê Lợi, Phường Xuân An, Thành phố Long Khánh, Tỉnh Đồng Nai</t>
  </si>
  <si>
    <t>CC401741184</t>
  </si>
  <si>
    <t>1-1/1 đường Hai Bà Trưng, Khu Phước Hải, Thị Trấn Long Thành, Huyện Long Thành, Tỉnh Đồng Nai,</t>
  </si>
  <si>
    <t>CC401741003</t>
  </si>
  <si>
    <t>1108 Phú Riềng Đỏ, Khu Phố 2,  P. Tân Đồng, TX Đồng Xoài, Bình Phước</t>
  </si>
  <si>
    <t>CC401739719</t>
  </si>
  <si>
    <t>129 Tôn Đức Thắng, Khu phố 1, thị trấn Tân Châu, Huyện Tân Châu, tỉnh Tây Ninh.</t>
  </si>
  <si>
    <t>CC401738886</t>
  </si>
  <si>
    <t>180 Quốc Lộ 22, khu phố Lộc Du, thị trấn Trảng Bảng, tỉnh Tây Ninh</t>
  </si>
  <si>
    <t>CC401741241</t>
  </si>
  <si>
    <t>283 Nguyễn An Ninh, P. Dĩ An, Thành phố Dĩ An, Bình Dương</t>
  </si>
  <si>
    <t>CC401741009</t>
  </si>
  <si>
    <t>410 Quốc lộ 22B, Khu phố Nội ô A, Thị trấn Gò Dầu, Huyện Gò Dầu, Tỉnh Tây Ninh</t>
  </si>
  <si>
    <t>CC401738255</t>
  </si>
  <si>
    <t>49F đường 30/4, thị trấn Trảng Bom, huyện Trảng Bom, tỉnh Đồng Nai</t>
  </si>
  <si>
    <t>CC401741176</t>
  </si>
  <si>
    <t>518 Cách Mạng Tháng Tám, P3, Tây Ninh</t>
  </si>
  <si>
    <t>CC401738891</t>
  </si>
  <si>
    <t>771 Hùng Vương, tổ 10, ấp 1, xã Long Thọ, huyện Nhơn Trạch, tỉnh Đồng Nai.</t>
  </si>
  <si>
    <t>CC401741439</t>
  </si>
  <si>
    <t>Cửa hàng 129 Phùng Hưng, khu 4, ấp 8, huyện Long Thành, Đồng Nai</t>
  </si>
  <si>
    <t>CC401741178</t>
  </si>
  <si>
    <t>Số 18, đường Thống Nhất, Khu Công Nghiệp Sóng Thần 2, Thành phố Dĩ An, Tỉnh Bình Dương</t>
  </si>
  <si>
    <t>CC401736862</t>
  </si>
  <si>
    <t>Thửa đất số Ô 33, Ô 34, Ô 35, Ô 36 - Lô B1; tờ bản đồ số: 1DH2, đường Hai Bà Trưng, khu phố Đông B, Phường Đông Hòa, Thành phố Dĩ An, Tỉnh Bình Dương</t>
  </si>
  <si>
    <t>CC401742311</t>
  </si>
  <si>
    <t>7A Đường Thống Nhất, KCN Sóng Thần 2, phường Dĩ An, tỉnh Bình Dương</t>
  </si>
  <si>
    <t>CC401746155</t>
  </si>
  <si>
    <t>6 – 8 đường Huỳnh Minh Thạnh, Thị trấn Phước Bửu, Huyện Xuyên Mộc, Tỉnh Bà Rịa – Vũng Tàu</t>
  </si>
  <si>
    <t>CC401741036</t>
  </si>
  <si>
    <t>Số 301 Quốc Lộ 22, Khu phố Chánh, Phường Gia Bình, Thị xã Trảng Bàng, Tỉnh Tây Ninh</t>
  </si>
  <si>
    <t>CC401746315</t>
  </si>
  <si>
    <t>ST-CVS_MINISTOP</t>
  </si>
  <si>
    <t>G74003</t>
  </si>
  <si>
    <t>Công ty TNHH Ministop Việt Nam</t>
  </si>
  <si>
    <t>Kho New Land VJ LA- Lô 14 -14A, đường Tân Đức, KCN Tân Đức, xã Đức Hòa, tỉnh Tây Ninh, Việt Nam</t>
  </si>
  <si>
    <t>G7400348642</t>
  </si>
  <si>
    <t>PNTU</t>
  </si>
  <si>
    <t>KhoNewLandVJ–Lô A2-A3 Đường Số 6,KCN Dệt May Bình An,X.Bình Thắng,H.Dĩ An,T.Bình Dương</t>
  </si>
  <si>
    <t>G7400311815</t>
  </si>
  <si>
    <t>LT3009</t>
  </si>
  <si>
    <t>Công Ty Cổ Phần Trung Tâm Thương Mại Lotte Việt Nam-Chi Nhánh Bà Rịa Vũng Tàu</t>
  </si>
  <si>
    <t>Góc đường 3 tháng 2 và đường Thi Sách, Phường Tam Thắng, Thành phố Hồ Chí Minh, Việt Nam</t>
  </si>
  <si>
    <t>LT300948662</t>
  </si>
  <si>
    <t>MT3006</t>
  </si>
  <si>
    <t>Chi Nhánh Công ty TNHH MM Mega Market (Việt Nam) Tại Tỉnh Bà Rịa Vũng Tàu</t>
  </si>
  <si>
    <t>Đường 2 tháng 9 (Quốc Lộ 51B), khu phố 1, Phường 11, Thành phố Vũng Tàu, Tỉnh Bà Rịa - Vũng Tàu</t>
  </si>
  <si>
    <t>MT300642225</t>
  </si>
  <si>
    <t>MT300642226</t>
  </si>
  <si>
    <t>MT300642232</t>
  </si>
  <si>
    <t>ST-SATRAFOODS</t>
  </si>
  <si>
    <t>SG4040</t>
  </si>
  <si>
    <t>Trung Tâm Điều Hành Satrafoods</t>
  </si>
  <si>
    <t>VC3002</t>
  </si>
  <si>
    <t>Chi nhánh Đồng Nai-Công ty Cổ Phần Dịch Vụ Thương Mại Tổng Hợp Wincommerce</t>
  </si>
  <si>
    <t>251 Khu Phước Hải,Đường Lê Duẫn,Thị trấn Long Thành,H.Long Thành,tỉnh Đồng Nai</t>
  </si>
  <si>
    <t>VC300212876</t>
  </si>
  <si>
    <t>Trung Tâm Thương Mại Vincom Biên Hòa – Đồng Nai, 1096 Phạm Văn Thuận, Phường Tam Hiệp, Thành phố Đồng Nai, Việt Nam</t>
  </si>
  <si>
    <t>VC300261638</t>
  </si>
  <si>
    <t>VC3006</t>
  </si>
  <si>
    <t>Chi nhánh Bà Rịa-Vũng Tàu - Công ty Cổ phần Dịch Vụ Thương Mại Tổng Hợp Wincommerce</t>
  </si>
  <si>
    <t>TM1 tầng 1, Khu Dịch Vụ Thương Mại, Block A, Chung cư Vũng Tàu Gateway, Trung Tâm Đô Thị Chí Linh, Phường Nguyễn An Ninh, Thành Phố Vũng Tàu, Tỉnh Bà Rịa - Vũng Tàu</t>
  </si>
  <si>
    <t>VC300639298</t>
  </si>
  <si>
    <t>VI3002</t>
  </si>
  <si>
    <t>02 Khu dân cư 4, Ấp Chợ, X. Phú Túc, H. Định Quán, T. Đồng Nai</t>
  </si>
  <si>
    <t>VI300239257</t>
  </si>
  <si>
    <t>042 tổ 2,khu phố 3, phường Long Bình Tân, Biên Hòa, Đồng Nai</t>
  </si>
  <si>
    <t>VI300212256</t>
  </si>
  <si>
    <t>08 Lưu Văn Viết, P. Tân Tiến, TP. Biên Hòa, T. Đồng Nai</t>
  </si>
  <si>
    <t>VI300241509</t>
  </si>
  <si>
    <t>106 Hồ Hòa, KP. 6, P. Tân Phong, TP. Biên Hòa, T. Đồng Nai</t>
  </si>
  <si>
    <t>VI300240076</t>
  </si>
  <si>
    <t>1062 Tỉnh lộ 768, Ấp 1, X. Thạnh Phú, H.Vĩnh Cửu, T. Đồng Nai</t>
  </si>
  <si>
    <t>VI300238219</t>
  </si>
  <si>
    <t>1111 Bùi Văn Hòa, P. Long Bình, TP. Biên Hòa, T. Đồng Nai</t>
  </si>
  <si>
    <t>VI300239138</t>
  </si>
  <si>
    <t>119-121 Vũ Hồng Phô, Khu Phố 2, P. Bình Đa, TP. Biên Hòa, Tỉnh Đồng Nai</t>
  </si>
  <si>
    <t>VI300243252</t>
  </si>
  <si>
    <t>123 đường Bình Minh – Quảng Tiến, ấp Quảng Hòa, xã Quảng Tiến, huyện Trảng Bom, tỉnh Đồng Nai.</t>
  </si>
  <si>
    <t>VI300235439</t>
  </si>
  <si>
    <t>1461 Quốc Lộ 20, X. Phú Xuân, H. Tân Phú, T. Đồng Nai</t>
  </si>
  <si>
    <t>VI300240139</t>
  </si>
  <si>
    <t>152 Đinh Quang Ân, Xã Phước Tân, Thành phố Biên Hoà, Tỉnh Đồng Nai</t>
  </si>
  <si>
    <t>VI300221292</t>
  </si>
  <si>
    <t>155 Trương Định, Khu phố 2, Phường Tân Mai, Biên Hòa, Đồng Nai</t>
  </si>
  <si>
    <t>VI300221293</t>
  </si>
  <si>
    <t>157-159 Phan Đình Phùng, P.Quang Vinh, TP Biên Hoà, T.Đồng Nai</t>
  </si>
  <si>
    <t>VI300216923</t>
  </si>
  <si>
    <t>164 Phan Trung, KP. 7, P. Tân Tiến, TP. Biên Hòa, T. Đồng Nai</t>
  </si>
  <si>
    <t>VI300237924</t>
  </si>
  <si>
    <t>167 Ngô Quyền, P. An Hòa, TP. Biên Hòa, T. Đồng Nai</t>
  </si>
  <si>
    <t>VI300239841</t>
  </si>
  <si>
    <t>17/15A – 15/15B Huỳnh Văn Nghệ, KP2, P.Bửu Long, TP. Biên Hòa, Tỉnh Đồng Nai</t>
  </si>
  <si>
    <t>VI300227740</t>
  </si>
  <si>
    <t>170 Đường Hoàng Minh Chánh, ấp An Hòa, xã Hóa An, TP. Biên Hòa, Tỉnh Đồng Nai (128/26 Ấp An Hòa)</t>
  </si>
  <si>
    <t>VI300227552</t>
  </si>
  <si>
    <t>1706 Ấp Vườn Dừa, Phước Tân, Biên Hòa, Đồng Nai</t>
  </si>
  <si>
    <t>VI300237963</t>
  </si>
  <si>
    <t>175-177 đường N16, KDC đường Võ Thị Sáu, KP7, phường Thống Nhất, TP. Biên Hòa, Tỉnh Đồng Nai</t>
  </si>
  <si>
    <t>VI300223818</t>
  </si>
  <si>
    <t>18/30A Tổ 24, Khu Phố 5,Phường Trảng Dài, TP Biên Hoà, Tỉnh Đồng Nai</t>
  </si>
  <si>
    <t>VI300213832</t>
  </si>
  <si>
    <t>1825 DT763, X. Suối Nho, H. Định Quán, T. Đồng Nai</t>
  </si>
  <si>
    <t>VI300239800</t>
  </si>
  <si>
    <t>18I, KP. 4,  P. Tân Phong, TP. Biên Hòa, T. Đồng Nai</t>
  </si>
  <si>
    <t>VI300240045</t>
  </si>
  <si>
    <t>19 Phan Bội Châu, Khu Phố 4, P. Xuân An, TX. Long Khánh, T. Đồng Nai</t>
  </si>
  <si>
    <t>VI300241777</t>
  </si>
  <si>
    <t>19/5 đường Cách Mạng Tháng 8, Phường Quang Vinh, Thành Phố Biên Hoà, Tỉnh Đồng Nai (19/5  Hồ Văn Đại )</t>
  </si>
  <si>
    <t>VI300216924</t>
  </si>
  <si>
    <t>198 Nguyễn Tri Phương, Bửu Hòa, Biên Hòa, Đồng Nai</t>
  </si>
  <si>
    <t>VI300237964</t>
  </si>
  <si>
    <t>2/11 Khu Phố 4, Phường Trảng Dài, TP Biên Hoà, Tỉnh Đồng Nai</t>
  </si>
  <si>
    <t>VI300213925</t>
  </si>
  <si>
    <t>20A12-21A12 Khu dân cư An Bình, Phường An Bình, TP Biên Hòa, tỉnh Đồng Nai</t>
  </si>
  <si>
    <t>VI300213643</t>
  </si>
  <si>
    <t>21 Khổng Tử, P. Xuân Trung, TX. Long Khánh, T. Đồng Nai</t>
  </si>
  <si>
    <t>VI300239299</t>
  </si>
  <si>
    <t>249 đường Cách Mạng Tháng Tám, KP1, Phường Hòa Bình, TP.Biên Hòa, Đồng Nai</t>
  </si>
  <si>
    <t>VI300236517</t>
  </si>
  <si>
    <t>249 Hà Huy Giáp, Phường Quyết Thắng, Thành Phố Biên Hòa, Đồng Nai</t>
  </si>
  <si>
    <t>VI300214179</t>
  </si>
  <si>
    <t>258 Hoàng Diệu, P. Xuân Thanh, TP Long Khánh, T. Đồng Nai</t>
  </si>
  <si>
    <t>VI300238446</t>
  </si>
  <si>
    <t>26/90 KP13, Phường Hố Nai, TP Biên Hòa, Tỉnh Đồng Nai</t>
  </si>
  <si>
    <t>VI300227966</t>
  </si>
  <si>
    <t>266/5 Phan Trung, khu phố 2, phường Tân Mai, thành phố Biên Hòa, tỉnh Đồng Nai.</t>
  </si>
  <si>
    <t>VI300210870</t>
  </si>
  <si>
    <t>27 Đường 643 khu phố 2, Phường Long Bình, Thành phố Biên Hòa, Đồng Nai</t>
  </si>
  <si>
    <t>VI300213796</t>
  </si>
  <si>
    <t>27 Lê Duẩn, Tổ 7, Khu 12, Xã Long Đức, H. Long Thành, T. Đồng Nai.</t>
  </si>
  <si>
    <t>VI300238059</t>
  </si>
  <si>
    <t>27 Lý Văn Sâm, Khu Phố 6, Phường Tam Hiệp, TP Biên Hòa, Tỉnh Đồng Nai</t>
  </si>
  <si>
    <t>VI300213797</t>
  </si>
  <si>
    <t>27 Phùng Hưng, Tổ 4, Ấp Long Đức 3, Phường Tam Phước, TP. Biên Hòa, Tỉnh Đồng Nai</t>
  </si>
  <si>
    <t>VI300223628</t>
  </si>
  <si>
    <t>27 Tổ 1, Khu phố 4, Phường Quang Vinh, Biên Hòa, Đồng Nai</t>
  </si>
  <si>
    <t>VI300222284</t>
  </si>
  <si>
    <t>289/4 Nguyễn Ái Quốc, KP. 7, P. Tân Biên, TP. Biên Hòa, T. Đồng Nai</t>
  </si>
  <si>
    <t>VI300240010</t>
  </si>
  <si>
    <t>291 Lý Thái Tổ, X. Phước Thiền, H. Nhơn Trạch, T. Đồng Nai</t>
  </si>
  <si>
    <t>VI300239139</t>
  </si>
  <si>
    <t>3/9 Nguyễn Văn Tỏ, KPLong Điềm, p Long Bình Tân, TP Biên Hòa, T.Đồng Nai</t>
  </si>
  <si>
    <t>VI300216926</t>
  </si>
  <si>
    <t>301 Bắc Sơn - Long Thành, X. Bắc Sơn, H. Trảng Bom</t>
  </si>
  <si>
    <t>VI300240096</t>
  </si>
  <si>
    <t>31 Lô B5, P. Tân Phong, TP.Biên Hòa, Tỉnh Đồng Nai</t>
  </si>
  <si>
    <t>VI300226960</t>
  </si>
  <si>
    <t>322 Tỉnh lộ 768, Ấp Bình Phước, X. Tân Bình, H. Vĩnh Cửu</t>
  </si>
  <si>
    <t>VI300240815</t>
  </si>
  <si>
    <t>340 Bùi Trọng Nghĩa, KP3, Phường Trảng Dài, TP Biên Hòa, Tình Đồng Nai</t>
  </si>
  <si>
    <t>VI300218854</t>
  </si>
  <si>
    <t>36-38 A13 Nguyễn Văn Tiên, KP 11, Phường Tân Phong, TP Biên Hoà, Tỉnh Đồng Nai</t>
  </si>
  <si>
    <t>VI300214360</t>
  </si>
  <si>
    <t>38 Đặng Văn Trơn, Nhị Hoà, Xã Hiệp Hoà, Biên Hoà, Đồng Nai</t>
  </si>
  <si>
    <t>VI300215793</t>
  </si>
  <si>
    <t>389 đường N6, KDC KP 2,3, KP3, P.Long Bình Tân, TP Biên Hoà, Đồng Nai ( B5-Phú Thịnh )</t>
  </si>
  <si>
    <t>VI300216077</t>
  </si>
  <si>
    <t>4/4 Tổ 6, Khu Phố 10, Phường Tân Biên, TP Biên Hoà, Tỉnh Đồng Nai</t>
  </si>
  <si>
    <t>VI300213798</t>
  </si>
  <si>
    <t>408 Đường số 4, KP. 12, P An Bình, TP. Biên Hòa</t>
  </si>
  <si>
    <t>VI300240097</t>
  </si>
  <si>
    <t>420 Phạm Văn Thuận, KP. 3, P. Tam Hiệp, TP. Biên Hòa, T. Đồng Nai</t>
  </si>
  <si>
    <t>VI300240816</t>
  </si>
  <si>
    <t>468 đường Huỳnh Văn Nghệ,KP.9,P.Bửu Long,TP.Biên Hòa,Đồng Nai</t>
  </si>
  <si>
    <t>VI300210030</t>
  </si>
  <si>
    <t>507 Phùng Hưng, Phường Tam Phước, TP Biên Hòa, Đồng Nai (Đc cũ 674 Phùng Hưng)</t>
  </si>
  <si>
    <t>VI300236683</t>
  </si>
  <si>
    <t>518 Bình Minh, Quảng Tiến, huyện Trảng Bom, tỉnh Đồng Nai</t>
  </si>
  <si>
    <t>VI300236441</t>
  </si>
  <si>
    <t>53 Đường 88, Hoàng Bá Bích, KP 5A, Phường Long Bình, TP Biên Hoà, Tình Đồng Nai</t>
  </si>
  <si>
    <t>VI300214681</t>
  </si>
  <si>
    <t>55/7 Phạm Văn Đồng, X. Phước Thiền, H. Nhơn Trạch, T. Đồng Nai</t>
  </si>
  <si>
    <t>VI300238397</t>
  </si>
  <si>
    <t>6 Nguyễn Bảo Đức, KP6, P.Tam Hiệp,TP.Biên Hòa, Tỉnh Đồng Nai</t>
  </si>
  <si>
    <t>VI300223955</t>
  </si>
  <si>
    <t>6/3 tổ 10B Nguyễn Thị Tồn, KP.Đồng Nai, Phường Hóa An, TP.Biên Hòa, Tỉnh Đồng Nai</t>
  </si>
  <si>
    <t>VI300230532</t>
  </si>
  <si>
    <t>60 Yên Thế, X. Hố Nai 3, H. Trảng Bom, T. Đồng Nai</t>
  </si>
  <si>
    <t>VI300238620</t>
  </si>
  <si>
    <t>77/2 Đồng Khởi, khu phố 3, phường Tam Hòa, thành phố Biên Hòa, Tỉnh Đồng Nai</t>
  </si>
  <si>
    <t>VI300221633</t>
  </si>
  <si>
    <t>81 Nguyễn Hoàng, ấp Long Đức 1, xã Tam Phước, TP Biên Hoà, Tỉnh Đồng Nai</t>
  </si>
  <si>
    <t>VI300221819</t>
  </si>
  <si>
    <t>86 Lê Đại Hành, P. Hố Nai, TP. Biên Hòa, T. Đồng Nai</t>
  </si>
  <si>
    <t>VI300239310</t>
  </si>
  <si>
    <t>86 Võ Thị Sáu, Phường Quyết Thắng, Thành Phố Biên Hòa, Tỉnh Đồng Nai</t>
  </si>
  <si>
    <t>VI30029264</t>
  </si>
  <si>
    <t>869 Hoàng Tam Kỳ, Tổ 34, KP 5A, P.Long Bình, TP Biên Hoà, T.Đồng Nai</t>
  </si>
  <si>
    <t>VI300220367</t>
  </si>
  <si>
    <t>89 Tổ 9, KP1, P.Tân Hiệp, TP.Biên Hoà, T.Đồng Nai</t>
  </si>
  <si>
    <t>VI300216927</t>
  </si>
  <si>
    <t>8F2-9F2 đường N4, phường Bửu Long, thành phố Biên Hòa, Tỉnh Đồng Nai.</t>
  </si>
  <si>
    <t>VI300223956</t>
  </si>
  <si>
    <t>9/8 Nguyễn Khuyến, Tổ 44, P. Trảng Dài, TP. Biên Hòa, T. Đồng Nai</t>
  </si>
  <si>
    <t>VI300240046</t>
  </si>
  <si>
    <t>93B/2 Lê Ngô Cát, Khu phố 5, P. Tân Hòa, TP. Biên Hòa, Tỉnh Đồng Nai</t>
  </si>
  <si>
    <t>VI300244205</t>
  </si>
  <si>
    <t>A32 đường D5, P. Thống Nhất, TP Biên Hoà, Đồng Nai Việt Nam</t>
  </si>
  <si>
    <t>VI300221720</t>
  </si>
  <si>
    <t>A4/183 Bùi Hữu Nghĩa, Tân Vạn, Biên Hòa, Đồng Nai</t>
  </si>
  <si>
    <t>VI300238401</t>
  </si>
  <si>
    <t>G1, Khu 94, ấp Long Đức 1, P.Tam Phước, TP.Biên Hoà,T. Đồng Nai</t>
  </si>
  <si>
    <t>VI300221818</t>
  </si>
  <si>
    <t>G1/20 Tổ 19, P. Long Bình Tân, TP. Biên Hòa, T. Đồng Nai (Thửa 136 - 93, TBĐ 33)</t>
  </si>
  <si>
    <t>VI300236729</t>
  </si>
  <si>
    <t>H1/1 Nguyễn Ái Quốc, P. Trung Dũng, TP Biên Hoà, tỉnh Đồng Nai</t>
  </si>
  <si>
    <t>VI300221291</t>
  </si>
  <si>
    <t>H2/4 Tổ 34 Đường KDC Tân Phong, KP7, Phường Tân Phong, TP Biên Hòa, Đồng Nai ( Thửa 361-362 )</t>
  </si>
  <si>
    <t>VI300221068</t>
  </si>
  <si>
    <t>Kiosk số 14, Chung cư Thanh Bình, 05 Cách Mạch Tháng Tám, P. Thanh Bình, TP. Biên Hòa, T. Đồng Nai</t>
  </si>
  <si>
    <t>VI300241789</t>
  </si>
  <si>
    <t>LK1-32 KDC Long Châu, Lý Văn Sâm, P. Tam Hiệp, TP. Biên Hòa, T. Đồng Nai</t>
  </si>
  <si>
    <t>VI300238719</t>
  </si>
  <si>
    <t>LK230-LK231 Đường Nguyễn Văn Hoa, KP. 2, P. Thống Nhất, TP. Biên Hòa, T. Đồng Nai</t>
  </si>
  <si>
    <t>VI300241451</t>
  </si>
  <si>
    <t>Số 18 đường Hùng Vương, Tổ 1, KP. Mỹ Khoan, TT Hiệp Phước, Huyện Nhơn Trạch, Tỉnh Đồng Nai</t>
  </si>
  <si>
    <t>VI300235715</t>
  </si>
  <si>
    <t>Số 79, Khu 3, ấp 7, xã An Phước, Huyện Long Thành, Tỉnh Đồng Nai</t>
  </si>
  <si>
    <t>VI300235716</t>
  </si>
  <si>
    <t>Số 8, Đường Đồng Khởi, Tổ 32, KP3, Phường Trảng Dài, Biên Hòa, Đồng Nai</t>
  </si>
  <si>
    <t>VI300217264</t>
  </si>
  <si>
    <t>921 Đường Nguyễn Ái Quốc, Khu Phố 2, P. Tân Hiệp, TP. Biên Hòa, T. Đồng Nai</t>
  </si>
  <si>
    <t>VI300247359</t>
  </si>
  <si>
    <t>Lô 17-18 KDC Bình Dương, Châu Văn Lồng, Phường Long Hưng, Tỉnh Đồng Nai</t>
  </si>
  <si>
    <t>VI300250467</t>
  </si>
  <si>
    <t>49 Nguyễn Trãi, Tổ 13, Khu Phố 22, Phường Long Khánh, Tỉnh Đồng Nai</t>
  </si>
  <si>
    <t>VI300251347</t>
  </si>
  <si>
    <t>65 Hà Huy Giáp, Khu phố Phước Lư, Phường Trấn Biên, Tỉnh Đồng Nai</t>
  </si>
  <si>
    <t>VI300252979</t>
  </si>
  <si>
    <t>881 Phạm Văn Thuận, Phường Tam Hiệp, Tỉnh Đồng Nai</t>
  </si>
  <si>
    <t>VI300252893</t>
  </si>
  <si>
    <t>A01-04, Chung cư Topaz Twins, đường số 7, KP. Vinh Thạnh, P. Trấn Biên, T. Đồng Nai</t>
  </si>
  <si>
    <t>VI300254991</t>
  </si>
  <si>
    <t>Thửa đất số 58, TBĐ số 54, KP. Trung Tâm, P. Xuân Lập, Thành phố Đồng Nai</t>
  </si>
  <si>
    <t>VI300281457</t>
  </si>
  <si>
    <t>285-287 Cách Mạng Tháng Tám, Phường Trấn Biên, Thành phố Đồng Nai</t>
  </si>
  <si>
    <t>VI300291829</t>
  </si>
  <si>
    <t>VI3004</t>
  </si>
  <si>
    <t>09 Nguyễn Hữu Cảnh, Phường Thắng Nhất, Thành phố Vũng Tàu, Tỉnh Bà Rịa Vũng Tàu (Thửa 131, tờ bản đồ số 11)</t>
  </si>
  <si>
    <t>VI300414989</t>
  </si>
  <si>
    <t>1003/56 Đường Bình Gĩa, Khu Phố 8, Phường Rạch Dừa, TP. Vũng Tàu.</t>
  </si>
  <si>
    <t>VI300413124</t>
  </si>
  <si>
    <t>11-11A Lê Văn Lộc, Phường Thắng Nhì, TP Vũng Tàu, Tỉnh Bà Rịa - Vũng Tàu</t>
  </si>
  <si>
    <t>VI300413931</t>
  </si>
  <si>
    <t>117 - 119 Hoàng Văn Thụ, P. 7, TP. Vũng Tàu, T. Bà Rịa Vũng Tàu</t>
  </si>
  <si>
    <t>VI300441182</t>
  </si>
  <si>
    <t>117 Nguyễn Thị Minh Khai, Phường 8, TP Vũng Tàu, Tỉnh Bà Rịa – Vũng Tàu</t>
  </si>
  <si>
    <t>VI300435417</t>
  </si>
  <si>
    <t>134B Nam Kỳ Khởi Nghĩa, Phường Tam Thắng, TP. Vũng Tàu, Tỉnh Bà Rịa - Vũng Tàu</t>
  </si>
  <si>
    <t>VI300413750</t>
  </si>
  <si>
    <t>146 Nguyễn Thanh Đằng, P. Phước Hưng, TP. Bà Rịa, T. Bà Rịa - Vũng Tàu</t>
  </si>
  <si>
    <t>VI300439683</t>
  </si>
  <si>
    <t>1481 đường 30/4, P.12, TP Vũng Tàu</t>
  </si>
  <si>
    <t>VI300417265</t>
  </si>
  <si>
    <t>152A Xô Viết Nghệ Tĩnh, Phường Thắng Tam, TP Vũng Tàu</t>
  </si>
  <si>
    <t>VI300413558</t>
  </si>
  <si>
    <t>159 Lê Quang Định , P.Thắng Nhất, TP. Vũng Tàu, Tỉnh Bà Rịa Vũng Tàu</t>
  </si>
  <si>
    <t>VI300425613</t>
  </si>
  <si>
    <t>168 Nguyễn Văn Cừ, P. Long Toàn,  TP. Bà Rịa, T. Bà Rịa - Vũng Tàu</t>
  </si>
  <si>
    <t>VI300441281</t>
  </si>
  <si>
    <t>171 Nguyễn Tất Thành, Tổ 2, Kp 3, P. Phước Nguyên, Tp. Bà Rịa, T. Bà Rịa-Vũng Tàu</t>
  </si>
  <si>
    <t>VI300438934</t>
  </si>
  <si>
    <t>172A Trương Công Định, P. 3, TP. Vũng Tàu, T. Bà Rịa Vũng Tàu</t>
  </si>
  <si>
    <t>VI300439957</t>
  </si>
  <si>
    <t>180-182 Võ Thị Sáu, TT. Long Điền, H. Long Điền, T. Bà Rịa - Vũng Tàu</t>
  </si>
  <si>
    <t>VI300440100</t>
  </si>
  <si>
    <t>192 - 194 Lê Lai, Phường 4, Thành Phố Vũng Tàu , Tỉnh Bà Rịa – Vũng Tàu</t>
  </si>
  <si>
    <t>VI300413390</t>
  </si>
  <si>
    <t>193 Bình Giã, Phường 8, TP Vũng Tàu, TP Vũng Tàu</t>
  </si>
  <si>
    <t>VI300419581</t>
  </si>
  <si>
    <t>209 Nguyễn Hữu Cảnh, Phường Thắng Nhất, TP Vũng Tàu, Tỉnh Bà Rịa - Vũng Tàu</t>
  </si>
  <si>
    <t>VI300414084</t>
  </si>
  <si>
    <t>21A Lê Lợi, Phường 4, TP Vũng Tàu, Tỉnh Bà Rịa Vũng Tàu</t>
  </si>
  <si>
    <t>VI300413127</t>
  </si>
  <si>
    <t>221 Trần Phú, P. 5, TP. Vũng Tàu, T. Bà Rịa Vũng Tàu</t>
  </si>
  <si>
    <t>VI300439802</t>
  </si>
  <si>
    <t>238 Đường 30/4, P. Rạch Dừa, TP. Vũng Tàu, T. Bà Rịa - Vũng Tàu</t>
  </si>
  <si>
    <t>VI300441445</t>
  </si>
  <si>
    <t>270A Bình Giã, P.Nguyễn An Ninh, TP Vũng Tàu, T.Bà Rịa Vũng Tàu</t>
  </si>
  <si>
    <t>VI300420950</t>
  </si>
  <si>
    <t>286 Lê Lợi, Phường 7,Thành Phố Vũng Tàu, Tỉnh Bà Rịa – Vũng Tàu</t>
  </si>
  <si>
    <t>VI300413128</t>
  </si>
  <si>
    <t>28D1.28 KDT Chí Linh, Tỉnh Bà Rịa – Vũng Tàu</t>
  </si>
  <si>
    <t>VI300427741</t>
  </si>
  <si>
    <t>2B Lương Thế Vinh, P. 9, TP. Vũng Tàu, T. Bà Rịa Vũng Tàu</t>
  </si>
  <si>
    <t>VI300441252</t>
  </si>
  <si>
    <t>31/3 Hương Lộ 5, X. Phước Tỉnh, H. Long Điền, T. Bà Rịa - Vũng Tàu</t>
  </si>
  <si>
    <t>VI300439114</t>
  </si>
  <si>
    <t>32 Trần Đồng, Phường 3, Thành Phố Vũng Tàu</t>
  </si>
  <si>
    <t>VI300413752</t>
  </si>
  <si>
    <t>40 Đô Lương, phường 11, TP Vũng Tàu</t>
  </si>
  <si>
    <t>VI300420905</t>
  </si>
  <si>
    <t>41 Hai Bà Trưng, Phường Phước Hiệp,  Thành phố Bà Rịa, Tỉnh Bà Rịa-Vũng Tàu</t>
  </si>
  <si>
    <t>VI300438221</t>
  </si>
  <si>
    <t>410- 412 Trương Công Định, Phường 8 , TP. Vũng Tàu</t>
  </si>
  <si>
    <t>VI300413461</t>
  </si>
  <si>
    <t>55 Võ Trường Toản, Phường 9, TP. Vũng Tàu, Tỉnh Bà Rịa – Vũng Tàu</t>
  </si>
  <si>
    <t>VI300438222</t>
  </si>
  <si>
    <t>639 Võ Thị Sáu, TT. Long Hải, H. Long Điền, BRVT</t>
  </si>
  <si>
    <t>VI300438733</t>
  </si>
  <si>
    <t>66 Nguyễn An Ninh P. 7, TP. Vũng Tàu. T. Bà Rịa - Vũng Tàu</t>
  </si>
  <si>
    <t>VI300439905</t>
  </si>
  <si>
    <t>72A -72B Võ Thị Sáu, Phường Thắng Tam, TP. Vũng Tàu, Tỉnh Bà Rịa – Vũng Tàu</t>
  </si>
  <si>
    <t>VI300413132</t>
  </si>
  <si>
    <t>764 Đường 30/4, P. Rạch Dừa, TP. Vũng Tàu, T. Bà Rịa Vũng Tàu</t>
  </si>
  <si>
    <t>VI300439803</t>
  </si>
  <si>
    <t>79 Nơ Trang Long, P. Rạch Dừa, TP. Vũng Tàu, T. Bà Rịa - Vũng Tàu</t>
  </si>
  <si>
    <t>VI300439115</t>
  </si>
  <si>
    <t>797 Bình Giã, P. 10, TP. Vũng Tàu, T. Bà Rịa Vũng Tàu</t>
  </si>
  <si>
    <t>VI300440047</t>
  </si>
  <si>
    <t>83 Nguyễn Cư Trinh, TX. Phú Mỹ, Tỉnh Bà Rịa – Vũng Tàu</t>
  </si>
  <si>
    <t>VI300427555</t>
  </si>
  <si>
    <t>85 Hai Bà Trưng, TT. Long Hải, H. Long Điền, T. BRVT</t>
  </si>
  <si>
    <t>VI300438734</t>
  </si>
  <si>
    <t>890 Đường 30 tháng 4, Phường 11, TP Vũng Tàu</t>
  </si>
  <si>
    <t>VI300413134</t>
  </si>
  <si>
    <t>921 Bình Gĩa , Phường 10, TP. Vũng Tàu</t>
  </si>
  <si>
    <t>VI300413135</t>
  </si>
  <si>
    <t>928 Phạm Hùng, P. Long Toàn, TP. Bà Rịa, T. Bà Rịa - Vũng Tàu</t>
  </si>
  <si>
    <t>VI300438224</t>
  </si>
  <si>
    <t>93 Lê Lợi, Phường Thắng Nhì, TP Vũng Tàu (CC Vung Tau Center)</t>
  </si>
  <si>
    <t>VI300413136</t>
  </si>
  <si>
    <t>A7-10/7 Trung Tâm Chí Linh, Phường Nguyễn An Ninh, TP Vũng Tàu, Tỉnh Bà Rịa - Vũng Tàu</t>
  </si>
  <si>
    <t>VI300413934</t>
  </si>
  <si>
    <t>C.002 234 Nguyễn Văn Linh, P. Phước Nguyên, TP. Bà Rịa, T. Bà Rịa - Vũng Tàu</t>
  </si>
  <si>
    <t>VI300438220</t>
  </si>
  <si>
    <t>Căn hộ PB.01.08, TM thuộc Block A CC Dic Phoenix Khu TT Chí Linh, Phường Nguyễn An Ninh, TP Vũng Tàu</t>
  </si>
  <si>
    <t>VI300413138</t>
  </si>
  <si>
    <t>Đất trống Võ Văn Kiệt , P.Long Bình Tâm, Tỉnh Bà Rịa – Vũng Tàu</t>
  </si>
  <si>
    <t>VI300427556</t>
  </si>
  <si>
    <t>LK8-16 Huỳnh Văn Hớn, P. 10, TP. Vũng Tàu, T. Bà Rịa – Vũng Tàu</t>
  </si>
  <si>
    <t>VI300439141</t>
  </si>
  <si>
    <t>Thửa 491 và thửa 56, Phường 7, Thành phố Vũng Tàu ( số 7- 8G1 Ngô Đức Kế )</t>
  </si>
  <si>
    <t>VI300416936</t>
  </si>
  <si>
    <t>Tổ 3, Ấp Mỹ Xuân, huyện Tân Thành, Tỉnh Bà Rịa - Vũng Tàu</t>
  </si>
  <si>
    <t>VI300427074</t>
  </si>
  <si>
    <t>TR4, Tầng Trệt, Chung cư 18 Tầng Lô A, 199 Nam Kỳ Khởi Nghĩa, P. 3, TP. Vũng Tàu, T. Bà Rịa - Vũng Tàu</t>
  </si>
  <si>
    <t>VI300439142</t>
  </si>
  <si>
    <t>758 Trần Phú, P. Thắng Nhì, TP. Vũng Tàu, T. Bà Rịa - Vũng Tàu</t>
  </si>
  <si>
    <t>VI300446260</t>
  </si>
  <si>
    <t>VI4005</t>
  </si>
  <si>
    <t>Công ty Cổ phần Dịch vụ Thương mại Tổng hợp Wincommerce</t>
  </si>
  <si>
    <t>A2-2/12 Hà Thị Cầu, Phường Tam Thắng, Khu Đô Thị Chí Linh, TP. Hồ Chí Minh</t>
  </si>
  <si>
    <t>VI400550468</t>
  </si>
  <si>
    <t>741 Đường 30 tháng 4, Phường Rạch Dừa, TP. Hồ Chí Minh</t>
  </si>
  <si>
    <t>VI400550946</t>
  </si>
  <si>
    <t>TM-VP4-04, đường D1, Khu nhà ở cao cấp Vườn Xuân, Phường Phước Thắng, Thành phố Hồ Chí Minh</t>
  </si>
  <si>
    <t>VI400553475</t>
  </si>
  <si>
    <t>90A-92 Phan Chu Trinh, Phường Vũng Tàu, TP. Hồ Chí Minh</t>
  </si>
  <si>
    <t>VI400591927</t>
  </si>
  <si>
    <t>DP30071</t>
  </si>
  <si>
    <t>Công ty TNHH MTV Đồng Thiên Phú</t>
  </si>
  <si>
    <t>DP3007126N</t>
  </si>
  <si>
    <t>Family Mart 26/13</t>
  </si>
  <si>
    <t>26/13, 1, KP Hòa Long, , P.Bình Hòa, Hồ Chí Minh</t>
  </si>
  <si>
    <t>ST00_CVS_FM</t>
  </si>
  <si>
    <t>DP3007126P</t>
  </si>
  <si>
    <t>Family Mart 30/3</t>
  </si>
  <si>
    <t>30/3, Nguyễn Văn Tiết, , P.Lái Thiêu, Hồ Chí Minh</t>
  </si>
  <si>
    <t>DP3007126Q</t>
  </si>
  <si>
    <t>Family Mart G05</t>
  </si>
  <si>
    <t>G05, Tầng trệt, Block CT2, ĐL Bình Dương, KP Hưng Lộc, , P.Thuận An, Hồ Chí Minh</t>
  </si>
  <si>
    <t>DP3007127G</t>
  </si>
  <si>
    <t>Family Mart 2</t>
  </si>
  <si>
    <t>2, Nguyễn An Ninh, , P.Dĩ An, Hồ Chí Minh</t>
  </si>
  <si>
    <t>KT30061</t>
  </si>
  <si>
    <t>Công ty TNHH Kim Diệu Thành</t>
  </si>
  <si>
    <t>KT30061228</t>
  </si>
  <si>
    <t>FamilyMart</t>
  </si>
  <si>
    <t>201, Nguyễn Khuyến, , P.Trảng Dài, Đồng Nai</t>
  </si>
  <si>
    <t>KT3006122N</t>
  </si>
  <si>
    <t>198-198A, Phan Đình Phùng, , P.Trấn Biên, Đồng Nai</t>
  </si>
  <si>
    <t>KT30061227</t>
  </si>
  <si>
    <t>258, Cách Mạng Tháng 8, , P.Trấn Biên, Đồng Nai</t>
  </si>
  <si>
    <t>LK30011</t>
  </si>
  <si>
    <t>Công ty TNHH Một Thành Viên Thực Phẩm Anh Kiệt</t>
  </si>
  <si>
    <t>LK3001132R</t>
  </si>
  <si>
    <t>Family Mart -DC37</t>
  </si>
  <si>
    <t>Ô 1 và ô 2, lô DC37, Khu dân cư Vietsing, , P.An Phú, Hồ Chí Minh</t>
  </si>
  <si>
    <t>LK300113MI</t>
  </si>
  <si>
    <t>Family Mart</t>
  </si>
  <si>
    <t>Số 62/2, Đường 745, KP. Thạnh Lợi, , P.Thuận An, Hồ Chí Minh</t>
  </si>
  <si>
    <t>LK300113MJ</t>
  </si>
  <si>
    <t>Số 356,, Đường 30/4,, , P.Thủ Dầu Một, Hồ Chí Minh</t>
  </si>
  <si>
    <t>LK300113MK</t>
  </si>
  <si>
    <t>Lô C18, Đại lộ Hùng Vương, , P.Bình Dương, Hồ Chí Minh</t>
  </si>
  <si>
    <t>LK300113ML</t>
  </si>
  <si>
    <t>Tầng trệt, Block D, KDC Hiệp Thành III, Tổ 105, KP.7, , P.Phú Lợi, Hồ Chí Minh</t>
  </si>
  <si>
    <t>LK300113MN</t>
  </si>
  <si>
    <t>L6 A11, A12, A16, Lý Thái Tổ, , P.Bình Dương, Hồ Chí Minh</t>
  </si>
  <si>
    <t>LK300113MO</t>
  </si>
  <si>
    <t>Số 490, ĐL Bình Dương, , P.Phú Lợi, Hồ Chí Minh</t>
  </si>
  <si>
    <t>LK300113MP</t>
  </si>
  <si>
    <t>Khu đô thị vườn Tokyu BD, Lô H8,, Đường Tạo Lực 5, H. Phú, , P.Bình Dương, Hồ Chí Minh</t>
  </si>
  <si>
    <t>LK300113MQ</t>
  </si>
  <si>
    <t>B2,, Đường Hùng Vương, , P.Bình Dương, Hồ Chí Minh</t>
  </si>
  <si>
    <t>LK300113MR</t>
  </si>
  <si>
    <t>126, Hoàng Hoa Thám, , P.Phú Lợi, Hồ Chí Minh</t>
  </si>
  <si>
    <t>LK300113MS</t>
  </si>
  <si>
    <t>7, Phú Lợi, , P.Phú Lợi, Hồ Chí Minh</t>
  </si>
  <si>
    <t>LK300113MU</t>
  </si>
  <si>
    <t>CÔNG TY TNHH CỬA HÀNG TIỆN LỢI GIA ĐÌNH VIỆT NAM</t>
  </si>
  <si>
    <t>111, Hoàng Văn Thụ, , P.Thủ Dầu Một, Hồ Chí Minh</t>
  </si>
  <si>
    <t>LK300113MV</t>
  </si>
  <si>
    <t>239, Hoàng Văn Thụ, , P.Thủ Dầu Một, Hồ Chí Minh</t>
  </si>
  <si>
    <t>LK300113MW</t>
  </si>
  <si>
    <t>Số 203, Lê Hồng Phong, KP8,, , P.Phú Lợi, Hồ Chí Minh</t>
  </si>
  <si>
    <t>LK300113MX</t>
  </si>
  <si>
    <t>102 Tầng 1+2 Tòa nhà Phú Hòa,, Số 117, Đ.D1, Khu 7, , P.Phú Lợi, Hồ Chí Minh</t>
  </si>
  <si>
    <t>LK300113O5</t>
  </si>
  <si>
    <t>Ô 18 Khu Đô Thị Becamex, 30/04, , P.Phú Lợi, Hồ Chí Minh</t>
  </si>
  <si>
    <t>LK300113T1</t>
  </si>
  <si>
    <t>166, Trần Văn Ơn, , P.Phú Lợi, Hồ Chí Minh</t>
  </si>
  <si>
    <t>LK300113UB</t>
  </si>
  <si>
    <t>Ô R4, JF1A Khu đô thị mới, , P.Bình Dương, Hồ Chí Minh</t>
  </si>
  <si>
    <t>LK300113X3</t>
  </si>
  <si>
    <t>29-33, Trần Hưng Đạo, , P.Thủ Dầu Một, Hồ Chí Minh</t>
  </si>
  <si>
    <t>RV30011</t>
  </si>
  <si>
    <t>Công ty TNHH Rồng Việt</t>
  </si>
  <si>
    <t>RV300111XM</t>
  </si>
  <si>
    <t>Số 816, Trần Phú, , P.Vũng Tàu, Hồ Chí Minh</t>
  </si>
  <si>
    <t>RV300111XO</t>
  </si>
  <si>
    <t>148, Hoàng Hoa Thám, , P.Vũng Tàu, Hồ Chí Minh</t>
  </si>
  <si>
    <t>RV300111XP</t>
  </si>
  <si>
    <t>171, Nam Kỳ Khởi Nghĩa, , P.Vũng Tàu, Hồ Chí Minh</t>
  </si>
  <si>
    <t>RV300111XR</t>
  </si>
  <si>
    <t>48, Đồ Chiểu, , P.Vũng Tàu, Hồ Chí Minh</t>
  </si>
  <si>
    <t>RV300111Y2</t>
  </si>
  <si>
    <t>06, Hoàng Hoa Thám, , P.Vũng Tàu, Hồ Chí Minh</t>
  </si>
  <si>
    <t>RV300112KH</t>
  </si>
  <si>
    <t>58, Trương Công Định, , P.Vũng Tàu, Hồ Chí Minh</t>
  </si>
  <si>
    <t>RV300112OI</t>
  </si>
  <si>
    <t>26D, Lê Hồng Phong, , P.Tam Thắng, Hồ Chí Minh</t>
  </si>
  <si>
    <t>TD30011</t>
  </si>
  <si>
    <t>Công ty TNHH Thúy Diệu</t>
  </si>
  <si>
    <t>TD3001141L</t>
  </si>
  <si>
    <t>Căn 03 Marina Retails, Phân khu 8 thuộc dự án Hoa Sen Đại Phước, , X.Đại Phước, Đồng Nai</t>
  </si>
  <si>
    <t>TY30011</t>
  </si>
  <si>
    <t>Công ty TNHH Một Thành Viên Thiên Y</t>
  </si>
  <si>
    <t>TY3001147D</t>
  </si>
  <si>
    <t>CHI NHÁNH BÌNH DƯƠNG-CÔNG TY TNHH CỬA HÀNG TIỆN LỢI GIA ĐÌNH VIỆT NAM</t>
  </si>
  <si>
    <t>19, Đường TC3-XC2, , P.Bến Cát, Hồ Chí Minh</t>
  </si>
  <si>
    <t>LP30041</t>
  </si>
  <si>
    <t>Công Ty Cổ Phần Phân Phối Liên Việt Phát</t>
  </si>
  <si>
    <t>LP3004134U</t>
  </si>
  <si>
    <t>A2, Trần Quốc Toản, , P.Tam Hiệp, Đồng Nai</t>
  </si>
  <si>
    <t>DD30141</t>
  </si>
  <si>
    <t>Công Ty TNHH Phân Phối Và Cung Ứng Duy Đức</t>
  </si>
  <si>
    <t>DD301413ML</t>
  </si>
  <si>
    <t>DD301413MO</t>
  </si>
  <si>
    <t>DD301413MP</t>
  </si>
  <si>
    <t>DD301413X3</t>
  </si>
  <si>
    <t>DD301413MU</t>
  </si>
  <si>
    <t>DD301413MN</t>
  </si>
  <si>
    <t>DD301413MX</t>
  </si>
  <si>
    <t>DD3014132R</t>
  </si>
  <si>
    <t>DD301413O5</t>
  </si>
  <si>
    <t>DD301413UB</t>
  </si>
  <si>
    <t>DD301413MK</t>
  </si>
  <si>
    <t>DD301413MI</t>
  </si>
  <si>
    <t>DD301413MJ</t>
  </si>
  <si>
    <t>DD301413MQ</t>
  </si>
  <si>
    <t>DD301413MR</t>
  </si>
  <si>
    <t>DD301413MS</t>
  </si>
  <si>
    <t>DD301413T1</t>
  </si>
  <si>
    <t>DD301413MW</t>
  </si>
  <si>
    <t>DD301413MV</t>
  </si>
  <si>
    <t>VT4050</t>
  </si>
  <si>
    <t>Công Ty TNHH Vòng Tròn Đỏ</t>
  </si>
  <si>
    <t>Lô G1-9, Đường N3, N4, D2, KCN Nam Tân Uyên, Phường Tân Hiệp,  TP. Hồ Chí Minh, Việt Nam</t>
  </si>
  <si>
    <t>VT405051451</t>
  </si>
  <si>
    <t>VT3014</t>
  </si>
  <si>
    <t>Chi Nhánh Công Ty TNHH Vòng Tròn Đỏ Tại Bà Rịa - Vũng Tàu</t>
  </si>
  <si>
    <t>126A1, Hoàng Hoa Thám, P.Vũng Tàu, TP.Hồ Chí Minh</t>
  </si>
  <si>
    <t>VT301451459</t>
  </si>
  <si>
    <t>152, Hoàng Hoa Thám, P.Vũng Tàu, TP.Hồ Chí Minh</t>
  </si>
  <si>
    <t>VT301451761</t>
  </si>
  <si>
    <t>205, Nam Kỳ Khởi Nghĩa, P.Vũng Tàu, TP.Hồ Chí Minh</t>
  </si>
  <si>
    <t>VT301451463</t>
  </si>
  <si>
    <t>4, Lê Lợi, P.Vũng Tàu, TP.Hồ Chí Minh</t>
  </si>
  <si>
    <t>VT301451465</t>
  </si>
  <si>
    <t>78, Trần Hưng Đạo, P.Vũng Tàu, TP.Hồ Chí Minh</t>
  </si>
  <si>
    <t>VT301451909</t>
  </si>
  <si>
    <t>1, Thùy Vân, P.Vũng Tàu, TP.Hồ Chí Minh</t>
  </si>
  <si>
    <t>VT301451458</t>
  </si>
  <si>
    <t>103, Thùy Vân, P.Vũng Tàu, TP.Hồ Chí Minh</t>
  </si>
  <si>
    <t>VT301451566</t>
  </si>
  <si>
    <t>15, La Văn Cầu, P.Vũng Tàu, TP.Hồ Chí Minh</t>
  </si>
  <si>
    <t>VT301451460</t>
  </si>
  <si>
    <t>18, Nguyễn Trường Tộ, P.Vũng Tàu, TP.Hồ Chí Minh</t>
  </si>
  <si>
    <t>VT301451908</t>
  </si>
  <si>
    <t>186, Hoàng Hoa Thám, P.Vũng Tàu, TP.Hồ Chí Minh</t>
  </si>
  <si>
    <t>VT301451462</t>
  </si>
  <si>
    <t>117/21, Thùy Vân, P.Vũng Tàu, TP.Hồ Chí Minh</t>
  </si>
  <si>
    <t>VT301451836</t>
  </si>
  <si>
    <t>26, Phan Văn Trị, P.Vũng Tàu, TP.Hồ Chí Minh</t>
  </si>
  <si>
    <t>VT301451567</t>
  </si>
  <si>
    <t>Số 12 Khu Nhà DV 15 Tầng, Nguyễn Thái Học, P.Tam Thắng, TP.Hồ Chí Minh</t>
  </si>
  <si>
    <t>VT301451910</t>
  </si>
  <si>
    <t>273, Lê Hồng Phong, P.Vũng Tàu, TP.Hồ Chí Minh</t>
  </si>
  <si>
    <t>VT301451464</t>
  </si>
  <si>
    <t>6, Quang Trung, P.Vũng Tàu, TP.Hồ Chí Minh</t>
  </si>
  <si>
    <t>VT301451466</t>
  </si>
  <si>
    <t>1001, Bình Giã, P.Rạch Dừa, TP.Hồ Chí Minh</t>
  </si>
  <si>
    <t>VT301451907</t>
  </si>
  <si>
    <t>43, Thuỳ Vân, P.Vũng Tàu, TP.Hồ Chí Minh</t>
  </si>
  <si>
    <t>VT301451568</t>
  </si>
  <si>
    <t>Tầng 1, Chung Cư Kim Ngân, 275 Lê Hồng Phong, Phường Vũng Tàu, Thành phố Hồ Chí Minh, Việt Nam.</t>
  </si>
  <si>
    <t>VT301454865</t>
  </si>
  <si>
    <t>VT3015</t>
  </si>
  <si>
    <t>Chi Nhánh Công Ty TNHH Vòng Tròn Đỏ Tại Đồng Nai</t>
  </si>
  <si>
    <t>144, Phan Trung, Khu phố 7, P.Tân Tiến, TP.Biên Hòa, T.Đồng Nai</t>
  </si>
  <si>
    <t>VT301551467</t>
  </si>
  <si>
    <t>373, Hồ Thị Hương, P.Xuân Thanh, TP.Long Khánh, T.Đồng Nai</t>
  </si>
  <si>
    <t>VT301551468</t>
  </si>
  <si>
    <t>Số 22, Cách Mạng Tháng Tám, P.Long Khánh, T.Đồng Nai</t>
  </si>
  <si>
    <t>VT301551469</t>
  </si>
  <si>
    <t>Số 78, Võ Thị Sáu, P.Quyết Thắng, TP.Biên Hòa, T.Đồng Nai</t>
  </si>
  <si>
    <t>VT301551762</t>
  </si>
  <si>
    <t>1347, Nguyễn Ái Quốc, P.Tân Tiến, TP.Biên Hòa, T.Đồng Nai</t>
  </si>
  <si>
    <t>VT301552289</t>
  </si>
  <si>
    <t>VT3013</t>
  </si>
  <si>
    <t>Chi Nhánh Tại Bình Dương Công Ty TNHH Vòng Tròn Đỏ</t>
  </si>
  <si>
    <t>105, Lê Trọng Tấn, P.Dĩ An, TP.Hồ Chí Minh</t>
  </si>
  <si>
    <t>VT301351565</t>
  </si>
  <si>
    <t>Số 508, Cách Mạng Tháng Tám, P.Thủ Dầu Một, TP.Hồ Chí Minh</t>
  </si>
  <si>
    <t>VT301351835</t>
  </si>
  <si>
    <t>Ô 8, DC35, Giao Lộ đường D1 và đường D33, P.An Phú, TP.Hồ Chí Minh</t>
  </si>
  <si>
    <t>VT301351603</t>
  </si>
  <si>
    <t>Số 174, Trần Văn Ơn, P.Phú Lợi, TP.Hồ Chí Minh</t>
  </si>
  <si>
    <t>VT301351799</t>
  </si>
  <si>
    <t>FM4002</t>
  </si>
  <si>
    <t>Công Ty TNHH Cửa Hàng Tiện Lợi Gia Đình Việt Nam</t>
  </si>
  <si>
    <t>Căn 03 Marina Retails, Khu bến du thuyền, Phân khu 8 thuộc dự án Hoa Sen Đại Phước, X. Đại Phước, H. Nhơn Trạch, Tỉnh Đồng Nai</t>
  </si>
  <si>
    <t>FM400281756</t>
  </si>
  <si>
    <t>FM3001</t>
  </si>
  <si>
    <t>Chi nhánh Đồng Nai – Công ty TNHH Cửa Hàng Tiện Lợi Gia Đình Việt Nam</t>
  </si>
  <si>
    <t>Căn 03 Marina Retails, Khu bến du thuyền, Phân khu 8 thuộc dự án Hoa Sen Đại Phước, X Đại Phước, H Nhơn Trạch, Tỉnh Đồng Nai, VN</t>
  </si>
  <si>
    <t>FM300184469</t>
  </si>
  <si>
    <t>ST-HOANG DUC</t>
  </si>
  <si>
    <t>HD3024</t>
  </si>
  <si>
    <t>Công Ty TNHH Hoàng Đức Long Khánh</t>
  </si>
  <si>
    <t>Số 166 Ấp Bạch Lâm 1, Xã Thống Nhất, Tỉnh Đồng Nai, Việt Nam</t>
  </si>
  <si>
    <t>HD302453569</t>
  </si>
  <si>
    <t>198 Hùng Vương, Khu phố 17, Phường Long Khánh, Tỉnh Đồng Nai, Việt Nam</t>
  </si>
  <si>
    <t>HD302453486</t>
  </si>
  <si>
    <t>MN00</t>
  </si>
  <si>
    <t>Công Ty TNHH AEON Việt Nam</t>
  </si>
  <si>
    <t>AE4006</t>
  </si>
  <si>
    <t>Số 2 Bis, Khu Z11, Quốc Lộ 1A, Khu Phố 2, Phường Trung Mỹ Tây, Thành phố Hồ Chí Minh</t>
  </si>
  <si>
    <t>AE400676921</t>
  </si>
  <si>
    <t>Hub - 31E Đường Đặng Công Bỉnh, Ấp 5, Xã Xuân Thới Sơn, Thành phố Hồ Chí Minh, Việt Nam</t>
  </si>
  <si>
    <t>XH400150251</t>
  </si>
  <si>
    <t>PDTU</t>
  </si>
  <si>
    <t>Hub - C10/28 Nguyễn Văn Linh, Ấp 5A Tổ 246, Xã Bình Hưng, Thành phố Hồ Chí Minh, Việt Nam</t>
  </si>
  <si>
    <t>XH400150254</t>
  </si>
  <si>
    <t>Hub - Lô A65/II - A72/II, đường số 4, KCN Vĩnh Lộc, Phường Bình Tân, Thành phố Hồ Chí Minh, Việt Nam</t>
  </si>
  <si>
    <t>XH400150258</t>
  </si>
  <si>
    <t>Hub - Lô F5-1 và F5-2, Khu F, Khu Công Nghiệp Hiệp Phước, Xã Hiệp Phước, Thành phố Hồ Chí Minh, Việt Nam</t>
  </si>
  <si>
    <t>XH400150261</t>
  </si>
  <si>
    <t>Hub - Số 7 Đường số 10, khu phố 2, Phường Hiệp Bình, Thành phố Hồ Chí Minh, Việt Nam</t>
  </si>
  <si>
    <t>XH400150263</t>
  </si>
  <si>
    <t>Lô F5-1 và F5-2, Khu F, Khu Công Nghiệp Hiệp Phước, Xã Hiệp Phước, Thành phố Hồ Chí Minh, Việt Nam</t>
  </si>
  <si>
    <t>XH400150270</t>
  </si>
  <si>
    <t>Nhà kho số WH1.1 Khu công nghiệp Xuyên Á, Xã Đức Lập, Tỉnh Tây Ninh, Việt Nam</t>
  </si>
  <si>
    <t>XH400150271</t>
  </si>
  <si>
    <t>G16/108A, Đường Trần Đại Nghĩa, Ấp 7, Xã Bình Lợi, Thành phố Hồ Chí Minh, Việt Nam</t>
  </si>
  <si>
    <t>XH400150249</t>
  </si>
  <si>
    <t>Hub - G16/108A Đường Trần Đại Nghĩa, ấp 7, Xã Bình Lợi, Thành phố Hồ Chí Minh, Việt Nam</t>
  </si>
  <si>
    <t>XH400150256</t>
  </si>
  <si>
    <t>Lô A65/II - A72/II, đường số 4, KCN Vĩnh Lộc, Phường Bình Tân, Thành phố Hồ Chí Minh, Việt Nam</t>
  </si>
  <si>
    <t>XH400150267</t>
  </si>
  <si>
    <t>Hub - 61 – 63 Trần Thị Do, Phường Tân Thới Hiệp, Thành phố Hồ Chí Minh, Việt Nam</t>
  </si>
  <si>
    <t>XH400150252</t>
  </si>
  <si>
    <t>GS0003</t>
  </si>
  <si>
    <t>Công Ty TNHH GS 25 Vietnam</t>
  </si>
  <si>
    <t>Lô IIIB2, Trung tâm thương mại Bình Điền, đường Nguyễn Văn Linh, Khu phố 06, Phường 07, Quận 08, Thành Phố Hồ Chí Minh</t>
  </si>
  <si>
    <t>GS000346755</t>
  </si>
  <si>
    <t>0.04 Lầu Trệt (Thông tầng) Tháp A1, Dự án Westgate, Lô F Trung tâm hành chính huyện Bình Chánh, Đường Tân Túc, Khu phố 4, Thị Trấn Tân Túc, huyện Bình Chánh, TP. Hồ Chí Minh</t>
  </si>
  <si>
    <t>G7400344633</t>
  </si>
  <si>
    <t>02 Đường Trần Doãn Khanh,P.Đa Kao,Q.1,Tp.HCM</t>
  </si>
  <si>
    <t>G7400311932</t>
  </si>
  <si>
    <t>08 Vũ Tông Phan, Phường An Phú, TP. Thủ Đức, TP. Hồ Chí Minh</t>
  </si>
  <si>
    <t>G7400311853</t>
  </si>
  <si>
    <t>101 Hòa Hưng, Q.10 Tp.HCM</t>
  </si>
  <si>
    <t>G7400311772</t>
  </si>
  <si>
    <t>101A Lý Tự Trọng, Quận 1, TP Hồ Chí Minh</t>
  </si>
  <si>
    <t>G7400341785</t>
  </si>
  <si>
    <t>102 Đường số 29, Khu phố 2, Phường Bình Trị Đông B, Quận Bình Tân, TP.HCM</t>
  </si>
  <si>
    <t>G7400345202</t>
  </si>
  <si>
    <t>102 Lê Minh Xuân, Phường 07, Quận Tân Bình, Thành phố Hồ Chí Minh</t>
  </si>
  <si>
    <t>G7400345119</t>
  </si>
  <si>
    <t>107 Đường số 1, Phường 11, Quận Gò Vấp, TP. Hồ Chí Minh</t>
  </si>
  <si>
    <t>G7400342148</t>
  </si>
  <si>
    <t>108A Bành Văn Trân,Phường 07,Quận Tân Bình,Tp.HCM</t>
  </si>
  <si>
    <t>G7400311773</t>
  </si>
  <si>
    <t>109 Lạc Long Quân, Phường 1, Quận 11, TP.Hồ Chí Minh</t>
  </si>
  <si>
    <t>G7400344063</t>
  </si>
  <si>
    <t>10A Hoàng Hoa Thám,P.7,Q.Bình Thạnh,Tp.HCM</t>
  </si>
  <si>
    <t>G7400311774</t>
  </si>
  <si>
    <t>11 Lê Thánh Tôn, Phường Bến Nghé, Quận 1, HCM</t>
  </si>
  <si>
    <t>G7400316190</t>
  </si>
  <si>
    <t>113 Thạch Lam , Phường Hiệp Tân, Quận Tân Phú, Tp. Hồ Chí Minh</t>
  </si>
  <si>
    <t>G7400339975</t>
  </si>
  <si>
    <t>114 Bùi Đình Túy (số cũ 631), Phường 12, Quận Bình Thạnh, HCM</t>
  </si>
  <si>
    <t>G7400323913</t>
  </si>
  <si>
    <t>114 Trần Đình Xu, Phường Nguyễn Cư Trinh, Quận 1, Tp.HCM</t>
  </si>
  <si>
    <t>G7400311775</t>
  </si>
  <si>
    <t>1177 Lê Đức Thọ, Phường 13,  Quận Gò Vấp, TP. Hồ Chí Minh</t>
  </si>
  <si>
    <t>G7400342336</t>
  </si>
  <si>
    <t>120 Bình Thới, Phường 14, Quận 11, Tp.HCM</t>
  </si>
  <si>
    <t>G7400311776</t>
  </si>
  <si>
    <t>120-122 Võ Thành Trang, Phường 11, Quận Tân Bình, TP. Hồ Chí Minh</t>
  </si>
  <si>
    <t>G7400339136</t>
  </si>
  <si>
    <t>124 đường số 01, phường 10, Quận Tân Bình, TP.Hồ Chí Minh</t>
  </si>
  <si>
    <t>G7400345259</t>
  </si>
  <si>
    <t>126 Lý Tự Trọng, Phường Bến Thành, Quận 1, TP. Hồ Chí Minh</t>
  </si>
  <si>
    <t>G7400342776</t>
  </si>
  <si>
    <t>129-131 Đường số 3,Cư Xá Đô Thành,P.4,Q.3,Tp.HCM</t>
  </si>
  <si>
    <t>G7400311778</t>
  </si>
  <si>
    <t>13 Phan Văn Đạt, Bến Nghé, Phường Bến Nghé, Quận 1, TP.HCM</t>
  </si>
  <si>
    <t>G7400342981</t>
  </si>
  <si>
    <t>136 Thành Thái, Phường 12, Quận 10, Tp.HCM</t>
  </si>
  <si>
    <t>G7400311779</t>
  </si>
  <si>
    <t>138 Nguyễn Thiện Thuật,Phường 3,Quận 3,Tp.HCM</t>
  </si>
  <si>
    <t>G7400311780</t>
  </si>
  <si>
    <t>141 Thống Nhất, Phường Tân Thành, Quận Tân Phú, TP. Hồ Chí Minh</t>
  </si>
  <si>
    <t>G7400338922</t>
  </si>
  <si>
    <t>143 Đường số 28, Phường 6, Quận Gò Vấp, TP Hồ Chí Minh</t>
  </si>
  <si>
    <t>G7400341786</t>
  </si>
  <si>
    <t>15 Nguyễn Du, Phường 7, Quận Gò Vấp, Tp.HCM</t>
  </si>
  <si>
    <t>G7400311857</t>
  </si>
  <si>
    <t>153A Hoàng Hoa Thám, Phường 13, Quận Tân Bình, TPHCM</t>
  </si>
  <si>
    <t>G7400344596</t>
  </si>
  <si>
    <t>157 Đinh Bộ Lĩnh, Phường 26, Quận Bình Thạnh, Tp.HCM</t>
  </si>
  <si>
    <t>G7400311782</t>
  </si>
  <si>
    <t>157-157A Nguyễn Chí Thanh, Phường 12, Quận 05, TP.HCM</t>
  </si>
  <si>
    <t>G7400344244</t>
  </si>
  <si>
    <t>159 Xa Lộ Hà Nội,Phường Thảo Điền,TP. Thủ Đức,TP. Hồ Chí Minh</t>
  </si>
  <si>
    <t>G7400311783</t>
  </si>
  <si>
    <t>15K Vũ Huy Tấn,P.3,Quận Bình Thạnh,Tp.HCM</t>
  </si>
  <si>
    <t>G7400311858</t>
  </si>
  <si>
    <t>161 Tô Hiến Thành, Phường 13, Quận 10, Thành phố Hồ Chí Minh</t>
  </si>
  <si>
    <t>G7400344688</t>
  </si>
  <si>
    <t>163 Đại Lộ 3, Phường Phước Bình, Thành phố Thủ Đức, Thành Phố Hồ Chí Minh</t>
  </si>
  <si>
    <t>G7400344470</t>
  </si>
  <si>
    <t>163 Nguyễn Thái Bình, P Nguyễn Thái Bình, Q.1, HCM</t>
  </si>
  <si>
    <t>G7400313646</t>
  </si>
  <si>
    <t>165 Bạch Đằng P.2 Q.Tân Bình Tp.HCM</t>
  </si>
  <si>
    <t>G7400311871</t>
  </si>
  <si>
    <t>165 Đường số 6, Phường Bình Trị Đông B, Quận Bình Tân, TP. Hồ Chí Minh</t>
  </si>
  <si>
    <t>G7400339054</t>
  </si>
  <si>
    <t>17 Đào Duy Từ,Phường 5,Quận 10,TP.HCM</t>
  </si>
  <si>
    <t>G7400311819</t>
  </si>
  <si>
    <t>177-179 Trần Nhân Tôn,P.2,Q.10,Tp.HCM</t>
  </si>
  <si>
    <t>G7400311785</t>
  </si>
  <si>
    <t>18 Hoàng Hoa Thám, Phường 12, Quận Tân Bình,Tp.HCM</t>
  </si>
  <si>
    <t>G7400311934</t>
  </si>
  <si>
    <t>181/13 Xóm Chiếu,Phường 16,Quận 4,Tp.HCM</t>
  </si>
  <si>
    <t>G7400311935</t>
  </si>
  <si>
    <t>191-193 Nguyễn Hồng Đào P.14 Q.Tân Bình Tp.HCM</t>
  </si>
  <si>
    <t>G7400311820</t>
  </si>
  <si>
    <t>192-194 Tân Quý, Phường Tân Quý, Quận Tân Phú, TP. Hồ Chí Minh</t>
  </si>
  <si>
    <t>G7400342913</t>
  </si>
  <si>
    <t>192A Hoàng Diệu, p.9, q.4, tp.HCM</t>
  </si>
  <si>
    <t>G7400311788</t>
  </si>
  <si>
    <t>2 đường Bát Nàn,Khu phố 1, Phường Thạnh Mỹ Lợi, TP. Thủ Đức, TP. Hồ Chí Minh</t>
  </si>
  <si>
    <t>G7400342106</t>
  </si>
  <si>
    <t>200A - 200B Tân Sơn Nhì, Phường Tân Sơn Nhì, Quận Tân Phú, Thành phố Hồ Chí Minh</t>
  </si>
  <si>
    <t>G7400345069</t>
  </si>
  <si>
    <t>204 Phạm Văn Hai,Phường 5,Quận Tân Bình,Tp.HCM</t>
  </si>
  <si>
    <t>G7400311789</t>
  </si>
  <si>
    <t>208 Bùi Văn Ba, khu phố 2, phường Tân Thuận Đông, Quận 7, TP.HCM</t>
  </si>
  <si>
    <t>G7400344538</t>
  </si>
  <si>
    <t>21 Mai Thị Lựu, Phường Đa Kao, Quận 1, Thành phố Hồ Chí Minh</t>
  </si>
  <si>
    <t>G7400322283</t>
  </si>
  <si>
    <t>216C Nguyễn Văn Nguyễn, Phường Tân Định, Quận 1</t>
  </si>
  <si>
    <t>G7400313537</t>
  </si>
  <si>
    <t>22 Hoàng Việt, Phường 04, Quận Tân Bình, TP.HCM</t>
  </si>
  <si>
    <t>G7400345406</t>
  </si>
  <si>
    <t>220/82 Nguyễn Văn Khối, Phường 9, Quận Gò Vấp, TP. Hồ Chí Minh</t>
  </si>
  <si>
    <t>G7400341940</t>
  </si>
  <si>
    <t>221/40 Vườn Lài, Phường Phú Thọ Hoà, Quận Tân Phú, TP. Hồ Chí Minh</t>
  </si>
  <si>
    <t>G7400341945</t>
  </si>
  <si>
    <t>223 Đường 154, Phường Tân Phú, Thành phố Thủ Đức, Thành phố Hồ Chí Minh</t>
  </si>
  <si>
    <t>G7400345076</t>
  </si>
  <si>
    <t>226/1A - 228 Lý Chính Thắng, Phường 9, Quận 3, TP.Hồ Chí Minh</t>
  </si>
  <si>
    <t>G7400345171</t>
  </si>
  <si>
    <t>247C Bùi Đình Túy, Phường 24, Quận Bình Thạnh, Tp.HCM.</t>
  </si>
  <si>
    <t>G7400311791</t>
  </si>
  <si>
    <t>25A Lam Sơn,P.2,Q.Tân Bình,Tp.HCM</t>
  </si>
  <si>
    <t>G7400311792</t>
  </si>
  <si>
    <t>262 - 264 Cao Thắng, p.12, q.10, Tp.HCM</t>
  </si>
  <si>
    <t>G7400311793</t>
  </si>
  <si>
    <t>270a - 272 Trịnh Đình Trọng , Phường Phú Trung, Quận Tân Phú, Tp.HCM</t>
  </si>
  <si>
    <t>G7400340617</t>
  </si>
  <si>
    <t>280 Thạch Lam, Phường Phú Thạnh, Quận Tân Phú, TP. Hồ Chí Minh</t>
  </si>
  <si>
    <t>G7400341238</t>
  </si>
  <si>
    <t>29 Đường số 20, KP4, Phường Hiệp Bình Chánh, TP.Thủ Đức, TP.HCM</t>
  </si>
  <si>
    <t>G7400345368</t>
  </si>
  <si>
    <t>314 Lê Văn Thọ, Phường 11,  Quận Gò Vấp, TP. Hồ Chí Minh</t>
  </si>
  <si>
    <t>G7400342423</t>
  </si>
  <si>
    <t>33 Thăng Long,Phường 4,Quận Tân Bình,Tp.HCM</t>
  </si>
  <si>
    <t>G7400311822</t>
  </si>
  <si>
    <t>33-35 Dương Đức Hiền, phường Tây Thạnh, Quận Tân Phú, TP.HCM</t>
  </si>
  <si>
    <t>G7400344352</t>
  </si>
  <si>
    <t>351A Nguyễn Trọng Tuyển,Phường 1,Quận Tân Bình,Tp.HCM</t>
  </si>
  <si>
    <t>G7400311795</t>
  </si>
  <si>
    <t>352A Âu Dương Lân, Phường 03, Quận 8, TP.HCM.</t>
  </si>
  <si>
    <t>G7400344325</t>
  </si>
  <si>
    <t>353 Lạc Long Quân, Phường 05, Quận 11, TP.Hồ Chí Minh</t>
  </si>
  <si>
    <t>G7400344121</t>
  </si>
  <si>
    <t>364-366 Tân Phước, Phường 7, Quận11, Tp.HCM</t>
  </si>
  <si>
    <t>G7400311797</t>
  </si>
  <si>
    <t>367 Đất Mới, khu phố 5, Phường Bình Trị Đông A, Quận Bình Tân, TP. Hồ Chí Minh</t>
  </si>
  <si>
    <t>G7400343089</t>
  </si>
  <si>
    <t>368/16 Nguyễn Văn Lượng, Phường 16, Quận Gò Vấp, TP.HCM</t>
  </si>
  <si>
    <t>G7400344270</t>
  </si>
  <si>
    <t>37-39 Phạm Viết Chánh,Phường 19,Quận Bình Thạnh,Tp.HCM</t>
  </si>
  <si>
    <t>G7400311798</t>
  </si>
  <si>
    <t>43 Trần Quý Cáp,Phường 12,Quận Bình Thạnh,Tp.HCM</t>
  </si>
  <si>
    <t>G7400311863</t>
  </si>
  <si>
    <t>435 Sư Vạn Hạnh, Phường 12, Quận 10, Tp.HCM</t>
  </si>
  <si>
    <t>G7400311864</t>
  </si>
  <si>
    <t>43EF, Đường Hồ Văn Huê, Phường 9, Quận Phú Nhuận, TP.HCM</t>
  </si>
  <si>
    <t>G7400320718</t>
  </si>
  <si>
    <t>446 Tân Kỳ Tân Quý, Phường Sơn Kỳ, Quận Tân Phú, TP. Hồ Chí Minh</t>
  </si>
  <si>
    <t>G7400342079</t>
  </si>
  <si>
    <t>45 Hậu Giang, Phường 4,Quận Tân Bình,Tp.HCM</t>
  </si>
  <si>
    <t>G7400311865</t>
  </si>
  <si>
    <t>46 Đường Lý Thánh Tông, Phường Hiệp Tân, Quận Tân Phú, TP. Hồ Chí Minh</t>
  </si>
  <si>
    <t>G7400341805</t>
  </si>
  <si>
    <t>46 Nguyễn Lâm,Phường 6,Quận 10,Tp.HCM</t>
  </si>
  <si>
    <t>G7400311801</t>
  </si>
  <si>
    <t>47 Trần Quốc Toản, Phường 8, Quận 3, Tp.HCM</t>
  </si>
  <si>
    <t>G7400311802</t>
  </si>
  <si>
    <t>475A Điện Biên Phủ,Phường 25,Quận Bình Thạnh,Tp.HCM</t>
  </si>
  <si>
    <t>G7400311803</t>
  </si>
  <si>
    <t>484 Lê Quang Định,Phường 11,Quận Bình Thạnh,Tp.HCM</t>
  </si>
  <si>
    <t>G7400311805</t>
  </si>
  <si>
    <t>5 Thành Thái, Phường 14,  Quận 10, TP. Hồ Chí Minh</t>
  </si>
  <si>
    <t>G7400342313</t>
  </si>
  <si>
    <t>5/7A Âu Cơ,Phường 9, Quận Tân Bình, TP. Hồ Chí Minh</t>
  </si>
  <si>
    <t>G7400341941</t>
  </si>
  <si>
    <t>52 G Trần Bình Trọng, Phường 5,  Quận Bình Thạnh, TP. Hồ Chí Minh</t>
  </si>
  <si>
    <t>G7400342516</t>
  </si>
  <si>
    <t>521 Hoàng Văn Thụ, Phường 6, Quận Tân Bình, HCM</t>
  </si>
  <si>
    <t>G7400313853</t>
  </si>
  <si>
    <t>53 Hòa Bình, phường Tân Thới Hòa, Quận Tân Phú, Thành phố Hồ Chí Minh</t>
  </si>
  <si>
    <t>G7400344464</t>
  </si>
  <si>
    <t>55 Thạch Thị Thanh, Quận 1, TP. Hồ Chí Minh</t>
  </si>
  <si>
    <t>G7400341840</t>
  </si>
  <si>
    <t>56 Hoàng Diệu 2, Phường Linh Chiểu, TP. Thủ Đức, TP. Hồ Chí Minh</t>
  </si>
  <si>
    <t>G7400323722</t>
  </si>
  <si>
    <t>56 Vườn Lài, Phường Tân Thành,Quận Tân Phú,Tp.HCM</t>
  </si>
  <si>
    <t>G7400311823</t>
  </si>
  <si>
    <t>563 Điện Biên Phủ, Phường 1, Quận 3, Tp.HCM</t>
  </si>
  <si>
    <t>G7400327728</t>
  </si>
  <si>
    <t>59 Hoàng Việt, phường 4, quận Tân Bình, Thành Phố Hồ Chí Minh.</t>
  </si>
  <si>
    <t>G7400344327</t>
  </si>
  <si>
    <t>60 Đường số 5 Khu cư xá Bình thới, Phường 8, Quận 11, Tp.HCM</t>
  </si>
  <si>
    <t>G7400311968</t>
  </si>
  <si>
    <t>61 Hoa Sứ, Phường 07, Quận Phú Nhuận. Tp.HCM</t>
  </si>
  <si>
    <t>G7400311888</t>
  </si>
  <si>
    <t>62 Bình Giã, Phường 13, Quận Tân Bình Tp.HCM</t>
  </si>
  <si>
    <t>G7400311825</t>
  </si>
  <si>
    <t>65bis Mạc Đĩnh Chi, phường Đa Kao, Quận 1, TP.HCM</t>
  </si>
  <si>
    <t>G7400344532</t>
  </si>
  <si>
    <t>666/64 Đường 3/2, Phường 14, Quận 10, HCM</t>
  </si>
  <si>
    <t>G7400314630</t>
  </si>
  <si>
    <t>69 Ngô Tất Tố, Phường 21, Quận Bình Thạnh,Tp.HCM</t>
  </si>
  <si>
    <t>G7400311807</t>
  </si>
  <si>
    <t>73 Ni Sư Huỳnh Liên, Phường 10, Quận Tân Bình</t>
  </si>
  <si>
    <t>G7400323914</t>
  </si>
  <si>
    <t>75 (Tầng 1) Nam Kỳ Khởi Nghĩa, Phường Bến Thành, Quận 1, Tp.HCM</t>
  </si>
  <si>
    <t>G7400311901</t>
  </si>
  <si>
    <t>77 Trần Thiện Chánh, P.12, Q.10, Tp.HCM</t>
  </si>
  <si>
    <t>G7400311808</t>
  </si>
  <si>
    <t>77B Đường số 2, Cư xá Lữ Gia, Phường 15,  Quận 11, TP. Hồ Chí Minh.</t>
  </si>
  <si>
    <t>G7400342259</t>
  </si>
  <si>
    <t>79 Trần Khắc Chân,Phường Tân Định,Quận 1,Tp.HCM</t>
  </si>
  <si>
    <t>G7400311809</t>
  </si>
  <si>
    <t>7A/7 Thành Thái, Phường 14,Quận 10, HCM</t>
  </si>
  <si>
    <t>G7400312972</t>
  </si>
  <si>
    <t>819 (14/10A) Kha Vạn Cân, Khu phố 2, Phường Linh Tây, Thành phố Thủ Đức, Thành phố Hồ Chí Minh</t>
  </si>
  <si>
    <t>G7400345096</t>
  </si>
  <si>
    <t>822-824 An Dương Vương, Phường 13, Quận 6, Thành phố Hồ Chí Minh</t>
  </si>
  <si>
    <t>G7400344513</t>
  </si>
  <si>
    <t>83 Đường số 59 , Phường 14, Quận Gò Vấp, TP. Hồ Chí Minh</t>
  </si>
  <si>
    <t>G7400341286</t>
  </si>
  <si>
    <t>87 Vạn Kiếp, Phường 3, Quận Bình Thạnh</t>
  </si>
  <si>
    <t>G7400313194</t>
  </si>
  <si>
    <t>88-88A-90-92 Trương Công Định,Phường 13,Quận Tân Bình,Tp.HCM</t>
  </si>
  <si>
    <t>G7400311826</t>
  </si>
  <si>
    <t>89 Đường D2,Phường 25,Quận Bình Thạnh,Tp.HCM</t>
  </si>
  <si>
    <t>G7400311827</t>
  </si>
  <si>
    <t>945  - 947 Trần Hưng Đạo, Phường 1, Quận 5, TP.HCM</t>
  </si>
  <si>
    <t>G7400327942</t>
  </si>
  <si>
    <t>94D2, Phùng Văng Cung, Phường 7, Quận Phú Nhuận, HCM</t>
  </si>
  <si>
    <t>G7400313972</t>
  </si>
  <si>
    <t>97 Lê Quang Định, phường 14, Quận Bình Thạnh, TP.HCM</t>
  </si>
  <si>
    <t>G7400344552</t>
  </si>
  <si>
    <t>997 Phạm Văn Bạch, Phường 12, Quận Gò Vấp, TP.Hồ Chí Minh</t>
  </si>
  <si>
    <t>G7400343251</t>
  </si>
  <si>
    <t>A.1.02 tại Tầng 01, tháp A thuộc Trung tâm Thương mại – Dịch vụ, Officetel và Căn hộ ở tại số 34 – 35 Bến Vân Đồn, Phường 12, Quận 4, TPHCM</t>
  </si>
  <si>
    <t>G7400328482</t>
  </si>
  <si>
    <t>A1-1-5, Tầng số: 1 Tháp A Tòa Nhà The CBD tại số 125, Đường Đồng Văn Cống, Phường Thạnh Mỹ Lợi, TP. Thủ Đức, TP. Hồ Chí Minh</t>
  </si>
  <si>
    <t>G7400327987</t>
  </si>
  <si>
    <t>A19, Đường nội bộ A2, Khu phố 6, Phường Linh Trung, TP. Thủ Đức, TP. Hồ Chí Minh</t>
  </si>
  <si>
    <t>G7400311867</t>
  </si>
  <si>
    <t>A2SH09 Vinhome Golden River, Số 2 Tôn Đức Thắng, Phường Bến Nghé, Quận 1, TP HCM</t>
  </si>
  <si>
    <t>G7400314605</t>
  </si>
  <si>
    <t>AK5-00.01 Akari City 77 Võ Văn Kiệt, Phường An Lạc, Quận Bình Tân, TP. Hồ Chí Minh</t>
  </si>
  <si>
    <t>G7400339169</t>
  </si>
  <si>
    <t>B2.2G, TẦNG B2, THÁP HAWAII, ĐẢO KIM CƯƠNG, SỐ 01, ĐƯỜNG 104-BTT, P.BÌNH TRƯNG TÂY, TP. Thủ Đức</t>
  </si>
  <si>
    <t>G7400315140</t>
  </si>
  <si>
    <t>B22 Bạch Đằng,Phường 2,Quận Tân Bình,Tp.HCM</t>
  </si>
  <si>
    <t>G7400311868</t>
  </si>
  <si>
    <t>Bệnh viện 175, Số 786 Nguyễn Kiệm, Phường 3, Quận Gò Vấp, TP. Hồ Chí Minh</t>
  </si>
  <si>
    <t>G7400342265</t>
  </si>
  <si>
    <t>Căn D2.01.04-TM tại tầng 01 và tầng 02 của tháp D2 thuộc Khu nhà ở cao tầng Công ty Saphire tại số 454 đường Võ Chí Công, Khu phố 2, phường Phú Hữu, TP. Thủ Đức, TP. Hồ Chí Minh</t>
  </si>
  <si>
    <t>G7400331654</t>
  </si>
  <si>
    <t>Căn hộ thương mại số S-16 gồm 01 Tầng Dự Án Sunwah, số 90 Nguyễn Hữu Cảnh, Phường 22, Quận Bình Thạnh, TP HCM"</t>
  </si>
  <si>
    <t>G7400335238</t>
  </si>
  <si>
    <t>Căn tin Đại Học Văn Lang - 233A Phan Văn Trị, Phường 11, Quận Bình Thạnh, TP.HCM</t>
  </si>
  <si>
    <t>G7400344461</t>
  </si>
  <si>
    <t>Chung Cư CH1P5-00.13.Cityland park Hills, 18 Phan Văn Trị, P.10,Q.Gò Vấp</t>
  </si>
  <si>
    <t>G7400323042</t>
  </si>
  <si>
    <t>Cửa hàng tiện lợi Ministop số 103 :79 Nguyễn Cửu Vân, Phường 17, Quận Bình Thạnh, Tp.HCM</t>
  </si>
  <si>
    <t>G7400321673</t>
  </si>
  <si>
    <t>Cửa hàng tiện lợi Ministop số 104: Đại Học HUTECH, Phân Khu Đào Tạo  E1, Khu Công Nghệ Cao, Phường Hiệp Phú, TP. Thủ Đức , TP. Hồ Chí Minh</t>
  </si>
  <si>
    <t>G7400312867</t>
  </si>
  <si>
    <t>Cửa hàng tiện lợi Ministop số 90: 31/53 Ung Văn Khiêm, Phường 25, Quận Bình Thạnh, Tp.HCM</t>
  </si>
  <si>
    <t>G7400311811</t>
  </si>
  <si>
    <t>Cửa hàng tiện lợi Ministop số 91: 41 Nguyễn Trọng Tuyển, Phường 15, Quận Phú Nhuận, Tp.HCM</t>
  </si>
  <si>
    <t>G7400311812</t>
  </si>
  <si>
    <t>Cửa hàng tiện lợi Ministop số 92: 113-115 Thích Quảng Đức, Phường 04, Quận Phú Nhuận, Tp.HCM</t>
  </si>
  <si>
    <t>G7400311937</t>
  </si>
  <si>
    <t>DH7-SKYCENTER, Số 10 Phổ Quang, Phường 2, Quận Tân Bình</t>
  </si>
  <si>
    <t>G7400313552</t>
  </si>
  <si>
    <t>I-1.TM.05, Khu vực thương mại khối Iris (I), Khu phức hợp HADO CENTROSA, tại số 200 đường Ba Tháng Hai, Phường 12, Quận 10, TP HCM</t>
  </si>
  <si>
    <t>G7400330780</t>
  </si>
  <si>
    <t>Khu DC New City Thủ Thiêm,Tháp Babylon BB-S01, 17 Mai Chí Thọ, Phường Bình Khánh, TP. Thủ Đức</t>
  </si>
  <si>
    <t>G7400313195</t>
  </si>
  <si>
    <t>Lô thương mại TMDV03 tại tầng 1, địa chỉ số 0.08 Chung cư CH3, Đường số 8, Khu dân cư Cityland, Phường 10, Quận Gò Vấp, TP. Hồ Chí Minh</t>
  </si>
  <si>
    <t>G7400344417</t>
  </si>
  <si>
    <t>Ministop số 101: 75 Phú Thọ, p.1, q.11, Tp.HCM</t>
  </si>
  <si>
    <t>G7400312427</t>
  </si>
  <si>
    <t>Ô Thương Mại SH1 Thuộc Dự Án Chung Cư Cao Cấp Homyland Riverside 403A Nguyễn Duy Trinh, Phường Bình Trưng Đông, TP. Thủ Đức</t>
  </si>
  <si>
    <t>G7400323142</t>
  </si>
  <si>
    <t>S2.0.02, Tầng Trệt, Khối đế P2, Chung cư A6 (Diamond Alnata Plus), Khu liên hợp Thể dục Thể thao và Dân cư Tân Thắng (Celadon City), Số 2, Đường N1, P. Sơn Kỳ, Q. Tân Phú, TP Hồ Chí Minh</t>
  </si>
  <si>
    <t>G7400345105</t>
  </si>
  <si>
    <t>SAV.5-00.06, Dự án The Sun Avenue, 28 Mai Chí Thọ, Phường An Phú, TP. Thủ Đức, TP. Hồ Chí Minh</t>
  </si>
  <si>
    <t>G7400321154</t>
  </si>
  <si>
    <t>SH-7C 12A Đường A5, Khu Dân Cư Palm Residence KP3, Phường An Phú, TP. Thủ Đức, TP. Hồ Chí Minh</t>
  </si>
  <si>
    <t>G7400323043</t>
  </si>
  <si>
    <t>Số  39Đ Cao Lỗ, Phường 4, Quận 8, TP. Hồ Chí Minh</t>
  </si>
  <si>
    <t>G7400340856</t>
  </si>
  <si>
    <t>Số  96 Huỳnh Văn Nghệ, Phường 15, Quận Tân Bình, TP. Hồ Chí Minh</t>
  </si>
  <si>
    <t>G7400340919</t>
  </si>
  <si>
    <t>số 01 Đường số 8, Khu dân cư Vĩnh Lộc, khu phố 4, phường Bình Hưng Hòa B, Quận Bình Tân, TP. Hồ Chí Minh</t>
  </si>
  <si>
    <t>G7400343391</t>
  </si>
  <si>
    <t>Số 135-137 Vũ Tùng , Phường 2, Quận Bình Thạnh, TP. Hồ Chí Minh</t>
  </si>
  <si>
    <t>G7400339229</t>
  </si>
  <si>
    <t>Số 13A đường số 12, khu phố 4, phường An Khánh, thành phố Thủ Đức, TP. Hồ Chí Minh</t>
  </si>
  <si>
    <t>G7400344471</t>
  </si>
  <si>
    <t>Số 168 Mã Lò, Khu phố 2, Phường Bình Trị Đông A , Quận Bình Tân, TP. Hồ Chí Minh</t>
  </si>
  <si>
    <t>G7400342279</t>
  </si>
  <si>
    <t>Số 220 Phạm Văn Chí, Phường 4, Quận 6, TP. Hồ Chí Minh</t>
  </si>
  <si>
    <t>G7400340023</t>
  </si>
  <si>
    <t>Số 25, Khu phố Sài Gòn South Residences, Xã Phước Kiển, Huyện Nhà Bè, TP. HCM"</t>
  </si>
  <si>
    <t>G7400334276</t>
  </si>
  <si>
    <t>Số 282-284 Tôn Thất Hiệp, Phường 12, Quận 11, TP. Hồ Chí Minh</t>
  </si>
  <si>
    <t>G7400338496</t>
  </si>
  <si>
    <t>Số 293B-293C Tân Kỳ Tân Quý, Phường Tân Sơn Nhì, Quận Tân Phú, TPHCM</t>
  </si>
  <si>
    <t>G7400339877</t>
  </si>
  <si>
    <t>Số 307A-B-C Bàu Cát, Phường 12, Quận Tân Bình, TPHCM</t>
  </si>
  <si>
    <t>G7400339929</t>
  </si>
  <si>
    <t>Số 527 Đường Lê Đức Thọ, Phường 16, Quận Gò Vấp, TP. Hồ Chí Minh</t>
  </si>
  <si>
    <t>G7400338811</t>
  </si>
  <si>
    <t>Số 57K-57H Tô Hiệu, Phường Hiệp Tân, Quận Tân Phú, TP. Hồ Chí Minh</t>
  </si>
  <si>
    <t>G7400338858</t>
  </si>
  <si>
    <t>Số 69 Trần Trọng Cung, KDC Nam Long, P Tân Thuận Đông, q.7, Tp.HCM</t>
  </si>
  <si>
    <t>G7400313157</t>
  </si>
  <si>
    <t>Số 86-88 Đường số 10, Phường 13, Quận 6, TPHCM</t>
  </si>
  <si>
    <t>G7400339866</t>
  </si>
  <si>
    <t>Số 92-94 Bùi Quang Là, Phường 12, quận Gò Vấp, TP.HCM</t>
  </si>
  <si>
    <t>G7400340059</t>
  </si>
  <si>
    <t>Suối Tiên 120 Xa Lộ Hà Nội, Phường Tân Phú TP. Thủ Đức</t>
  </si>
  <si>
    <t>G7400312897</t>
  </si>
  <si>
    <t>Tầng 01 và Tầng 02 - TMDV 03 - Cao ốc RES11, 205 Lạc Long Quân, phường 03, Quận 11, TP.HCM</t>
  </si>
  <si>
    <t>G7400344357</t>
  </si>
  <si>
    <t>TK 17/1 Nguyễn Cảnh Chân, Phường Cầu Kho, Quận 1</t>
  </si>
  <si>
    <t>G7400313214</t>
  </si>
  <si>
    <t>TMDV 30, Dự án Masteri An Phú, 179 Xa Lộ Hà Nội, P. Thảo Điền, TP. Thủ Đức, TP. Hồ Chí Minh</t>
  </si>
  <si>
    <t>G7400321784</t>
  </si>
  <si>
    <t>UOA Tower, Số 6 đường Tân Trào, phường Tân Phú, Quận 7, TP.HCM.</t>
  </si>
  <si>
    <t>G7400344553</t>
  </si>
  <si>
    <t>48 Lô C, Cư xá Phú Lâm D, Phường 10, Quận 6, TP. HCM</t>
  </si>
  <si>
    <t>G7400345461</t>
  </si>
  <si>
    <t>153 Điện Biên Phủ, Phường 15, Quận Bình Thạnh, TP.HCM</t>
  </si>
  <si>
    <t>G7400345460</t>
  </si>
  <si>
    <t>117 Trần Quốc Hoàn, Phường 4, Quận Tân Bình, Thành phố Hồ Chí Minh.</t>
  </si>
  <si>
    <t>G7400349896</t>
  </si>
  <si>
    <t>3A Tô Vĩnh Diện, Khu phố 4, Phường Linh Chiểu, TP Thủ Đức, TPHCM</t>
  </si>
  <si>
    <t>G7400349897</t>
  </si>
  <si>
    <t>92-94 Võ Oanh, Phường 25, Quận Bình Thạnh, TPHCM, VN</t>
  </si>
  <si>
    <t>G7400349898</t>
  </si>
  <si>
    <t>318 Nguyễn Trãi, Phường An Đông, Tp. Hồ Chí Minh</t>
  </si>
  <si>
    <t>G7400350453</t>
  </si>
  <si>
    <t>24 Nơ Trang Long,  Phường Bình Thạnh, Tp. Hồ Chí Minh</t>
  </si>
  <si>
    <t>G7400350370</t>
  </si>
  <si>
    <t>Lầu 1 - 407B Lê Văn Sỹ,  Phường Nhiêu Lộc, Tp. HCM</t>
  </si>
  <si>
    <t>G7400350153</t>
  </si>
  <si>
    <t>212-214 Trương Vĩnh Ký, Phường Tân Sơn Nhì, TP. Hồ Chí Minh</t>
  </si>
  <si>
    <t>G7400350708</t>
  </si>
  <si>
    <t>A0.03, trệt + lầu 1 (Tầng 1+2), Dự án khu dân cư Scenic Valley 2 – Phú Mỹ Hưng, Phường Tân Mỹ, Tp. Hồ Chí Minh</t>
  </si>
  <si>
    <t>G7400350677</t>
  </si>
  <si>
    <t>Kiot 12 và 13 tại 32 Kiot: 404 Đường số 2, KP 47, P Linh Xuân, TP.HCM – ĐH Nông Lâm TP.HCM</t>
  </si>
  <si>
    <t>G7400351019</t>
  </si>
  <si>
    <t>18 Lã xuân Oai, P Long Trường, TPHCM</t>
  </si>
  <si>
    <t>G7400351346</t>
  </si>
  <si>
    <t>145 Nguyễn Đức Thuận, Phường Tân Bình, TP.Hồ Chí Minh</t>
  </si>
  <si>
    <t>G7400351874</t>
  </si>
  <si>
    <t>42 Phú Châu, Phường Tam Bình, TP. Hồ Chí Minh</t>
  </si>
  <si>
    <t>G7400352370</t>
  </si>
  <si>
    <t>27B Nguyễn Đình Chiểu, Phường Sài Gòn, TP.Hồ Chí Minh</t>
  </si>
  <si>
    <t>G7400352892</t>
  </si>
  <si>
    <t>786 Nguyễn Kiệm, Phường Hạnh Thông, TP. Hồ Chí Minh</t>
  </si>
  <si>
    <t>G7400354390</t>
  </si>
  <si>
    <t>Khu Nhà Ở P. Long Trường Eastmark City – Căn TMDV 1.15 – Khối A – Tầng 1-2, 39A Đường số 149C, P. Long Trường, TPHCM</t>
  </si>
  <si>
    <t>G7400361702</t>
  </si>
  <si>
    <t>27 (Trệt) Trần Nhật Duật, Phường Tân Định, Thành phố Hồ Chí Minh</t>
  </si>
  <si>
    <t>G7400381481</t>
  </si>
  <si>
    <t>221 – 221A Đường số 5, Khu phố 03, P.Bình Hưng Hòa,Thành phố Hồ Chí Minh</t>
  </si>
  <si>
    <t>G7400381718</t>
  </si>
  <si>
    <t>341/15 - 341/17 Khuông Việt, Phường Tân Phú, TP.Hồ Chí Minh</t>
  </si>
  <si>
    <t>G7400381674</t>
  </si>
  <si>
    <t>17 Khuông Việt Phường Tân Phú Thành phố Hồ Chí Minh</t>
  </si>
  <si>
    <t>G7400381821</t>
  </si>
  <si>
    <t>244A Huỳnh Văn Bánh, Phường Phú Nhuận, TP.Hồ Chí Minh</t>
  </si>
  <si>
    <t>G7400391700</t>
  </si>
  <si>
    <t>Căn KD – DV: Căn số 0.14 - Chung cư P Hiệp Bình Phước - Tam Bình, Gò Dưa, P Hiệp Bình, TPHCM</t>
  </si>
  <si>
    <t>G7400391807</t>
  </si>
  <si>
    <t>SS4001</t>
  </si>
  <si>
    <t>Công ty Cổ Phần Seven System Việt Nam</t>
  </si>
  <si>
    <t>BW Tân Phú Trung - Lô D2, Khu công nghiệp Tân Phú Trung, xã Tân Phú Trung, huyện Củ Chi, Thành phố Hồ Chí Minh</t>
  </si>
  <si>
    <t>SS400137131</t>
  </si>
  <si>
    <t>Lô II-3 Nhóm CN II,Đường số 11,KCN Tân Bình,P.Tây Thạnh,Q.Tân Phú,Tp.HCM</t>
  </si>
  <si>
    <t>SS400111093</t>
  </si>
  <si>
    <t>SS4002</t>
  </si>
  <si>
    <t>Chi Nhánh Công ty Cổ Phần Seven System Việt Nam Tại Bình Dương</t>
  </si>
  <si>
    <t>SS400239711</t>
  </si>
  <si>
    <t>SS400239713</t>
  </si>
  <si>
    <t>SS5003</t>
  </si>
  <si>
    <t>Chi Nhánh Công Ty Cổ Phần Seven System Việt Nam Tại Long An</t>
  </si>
  <si>
    <t>SS500348951</t>
  </si>
  <si>
    <t>05-07 Lô A Đường Số 1, Khu tái định cư Cảng Sông Phú Định, Phường Phú Định, Tp.HCM</t>
  </si>
  <si>
    <t>SG404048814</t>
  </si>
  <si>
    <t>1/64 Nguyễn Văn Quá, Phường Đông Hưng Thuận, Tp.HCM</t>
  </si>
  <si>
    <t>SG404048762</t>
  </si>
  <si>
    <t>108/2 Trần Mai Ninh, Phường Bảy Hiền, Tp.HCM</t>
  </si>
  <si>
    <t>SG404048832</t>
  </si>
  <si>
    <t>11 Đường số 6, Phường Linh Xuân, TP.HCM</t>
  </si>
  <si>
    <t>SG404048706</t>
  </si>
  <si>
    <t>11/3 Lý Thường Kiệt, Xã Hóc Môn, Tp.HCM</t>
  </si>
  <si>
    <t>SG404048757</t>
  </si>
  <si>
    <t>1131A - 1131B Lê Văn Lương, Xã Nhà Bè, Tp.HCM</t>
  </si>
  <si>
    <t>SG404048795</t>
  </si>
  <si>
    <t>121-121A Tân Hương, Phường Phú Thọ Hòa, Tp.HCM</t>
  </si>
  <si>
    <t>SG404048781</t>
  </si>
  <si>
    <t>1234 - 2044 Lê Văn Lương, Xã Hiệp Phước, Tp.HCM</t>
  </si>
  <si>
    <t>SG404048824</t>
  </si>
  <si>
    <t>124 Đông Hưng Thuận 02, Phường Đông Hưng Thuận, Tp.HCM</t>
  </si>
  <si>
    <t>SG404048821</t>
  </si>
  <si>
    <t>1333 Phan Văn Trị, Phường Gò Vấp, TpHCM</t>
  </si>
  <si>
    <t>SG404048713</t>
  </si>
  <si>
    <t>1403 Nguyễn Duy Trinh, Phường Long Phước, Tp.HCM</t>
  </si>
  <si>
    <t>SG404048691</t>
  </si>
  <si>
    <t>141 Vườn Lài, Phường Phú Thọ Hòa, Tp.HCM</t>
  </si>
  <si>
    <t>SG404048793</t>
  </si>
  <si>
    <t>163 Phan Đăng Lưu, Phường Cầu Kiệu, Tp.HCM</t>
  </si>
  <si>
    <t>SG404048773</t>
  </si>
  <si>
    <t>177 Hải Thượng Lãn Ông, Phường Chợ Lớn, Tp.HCM</t>
  </si>
  <si>
    <t>SG404048740</t>
  </si>
  <si>
    <t>184 Ung Văn Khiêm, Phường Thạnh Mỹ Tây, Tp.HCM</t>
  </si>
  <si>
    <t>SG404048790</t>
  </si>
  <si>
    <t>187 Hiệp Bình, Phường Hiệp Bình, TP.HCM</t>
  </si>
  <si>
    <t>SG404048801</t>
  </si>
  <si>
    <t>199A Tỉnh Lộ 8, Xã Tân An Hội, Tp.HCM</t>
  </si>
  <si>
    <t>SG404048727</t>
  </si>
  <si>
    <t>204 Đình Phong Phú, Phường Tăng Nhơn Phú, TP.HCM</t>
  </si>
  <si>
    <t>SG404048695</t>
  </si>
  <si>
    <t>23 Đường 8, Phường Linh Xuân, Tp.HCM</t>
  </si>
  <si>
    <t>SG404048822</t>
  </si>
  <si>
    <t>243 Tân Hòa Đông, Phường Phú Lâm, Tp.HCM</t>
  </si>
  <si>
    <t>SG404048780</t>
  </si>
  <si>
    <t>2-4-6 Lê Thị Riêng, Phường Bến Thành, Tp.HCM</t>
  </si>
  <si>
    <t>SG404048750</t>
  </si>
  <si>
    <t>25 Bùi Công Trừng, Phường Thới An, Tp.HCM</t>
  </si>
  <si>
    <t>SG404048696</t>
  </si>
  <si>
    <t>25 Nguyễn Xuân Khoát, Phường Tân Sơn Nhì, Tp.HCM</t>
  </si>
  <si>
    <t>SG404048717</t>
  </si>
  <si>
    <t>260 Trần Não, Phường An Khánh, TP.HCM</t>
  </si>
  <si>
    <t>SG404048788</t>
  </si>
  <si>
    <t>262 Lê Trọng Tấn, Phường Tây Thạnh, Tp.HCM</t>
  </si>
  <si>
    <t>SG404048751</t>
  </si>
  <si>
    <t>28 Lô U, Cư xá Phú Lâm D, Phường Bình Phú, Tp.HCM</t>
  </si>
  <si>
    <t>SG404048718</t>
  </si>
  <si>
    <t>3/1 Nguyễn Thị Định, Phường Bình Trưng, Tp.HCM</t>
  </si>
  <si>
    <t>SG404048697</t>
  </si>
  <si>
    <t>306 Lạc Long Quân, Phường Hòa Bình, Tp.HCM</t>
  </si>
  <si>
    <t>SG404048698</t>
  </si>
  <si>
    <t>30A Phan Văn Khỏe, Phường Chợ Lớn, Tp.HCM</t>
  </si>
  <si>
    <t>SG404048776</t>
  </si>
  <si>
    <t>320A Tỉnh Lộ 10, Phường Bình Trị Đông, Tp.HCM</t>
  </si>
  <si>
    <t>SG404048725</t>
  </si>
  <si>
    <t>328 Hương Lộ 2, Xã Củ Chi, Tp.HCM, Việt Nam</t>
  </si>
  <si>
    <t>SG404048877</t>
  </si>
  <si>
    <t>3437 Phạm Thế Hiển, Phường Bình Đông, Tp.HCM</t>
  </si>
  <si>
    <t>SG404048711</t>
  </si>
  <si>
    <t>347-349-351-353 Hùng Vương, Phường An Đông, Tp.HCM</t>
  </si>
  <si>
    <t>SG404048745</t>
  </si>
  <si>
    <t>37 Nguyễn Văn Ni, Xã Tân An Hội, Tp.HCM</t>
  </si>
  <si>
    <t>SG404048701</t>
  </si>
  <si>
    <t>412B Hà Huy Giáp, Phường An Phú Đông, Tp.HCM</t>
  </si>
  <si>
    <t>SG404048812</t>
  </si>
  <si>
    <t>43 Tây Hòa, Phường Phước Long, Tp.HCM</t>
  </si>
  <si>
    <t>SG404048782</t>
  </si>
  <si>
    <t>454 Tùng Thiện Vương, Phường Phú Định, Tp.HCM</t>
  </si>
  <si>
    <t>SG404049059</t>
  </si>
  <si>
    <t>455 Võ Văn Tần, Phường Bàn Cờ, Tp.HCM</t>
  </si>
  <si>
    <t>SG404048792</t>
  </si>
  <si>
    <t>462 Nơ Trang Long, Phường Bình Lợi Trung, Tp.HCM</t>
  </si>
  <si>
    <t>SG404048767</t>
  </si>
  <si>
    <t>47 Nguyên Hồng, Phường Bình Lợi Trung, Tp.HCM</t>
  </si>
  <si>
    <t>SG404048764</t>
  </si>
  <si>
    <t>48–50 Lê Văn Linh, Phường Xóm Chiếu, Tp.HCM</t>
  </si>
  <si>
    <t>SG404048934</t>
  </si>
  <si>
    <t>551 Thống Nhất, Phường An Hội Đông, Tp.HCM</t>
  </si>
  <si>
    <t>SG404048786</t>
  </si>
  <si>
    <t>60 Hồ Văn Tư, Phường Thủ Đức, Tp.HCM</t>
  </si>
  <si>
    <t>SG404048741</t>
  </si>
  <si>
    <t>635A Điện Biên Phủ, Phường Bàn Cờ, Tp.HCM</t>
  </si>
  <si>
    <t>SG404048731</t>
  </si>
  <si>
    <t>652A Tô Ký, Phường Trung Mỹ Tây, Tp.HCM</t>
  </si>
  <si>
    <t>SG404048787</t>
  </si>
  <si>
    <t>66 Thạnh Lộc 27, Phường An Phú Đông, Tp.HCM</t>
  </si>
  <si>
    <t>SG404048829</t>
  </si>
  <si>
    <t>68 Liêu Bình Hương, Xã Củ Chi, Tp.HCM</t>
  </si>
  <si>
    <t>SG404048720</t>
  </si>
  <si>
    <t>68 Phan Huy Ích, Phường Tân Sơn, Tp.HCM</t>
  </si>
  <si>
    <t>SG404048775</t>
  </si>
  <si>
    <t>73/1 Nguyễn Văn Quá, Phường Đông Hưng Thuận, Tp.HCM</t>
  </si>
  <si>
    <t>SG404048721</t>
  </si>
  <si>
    <t>730A Hương Lộ 2, Phường Bình Trị Đông, Tp.HCM</t>
  </si>
  <si>
    <t>SG404048816</t>
  </si>
  <si>
    <t>740 Tỉnh Lộ 43, Phường Tam Bình, Tp.HCM</t>
  </si>
  <si>
    <t>SG404048830</t>
  </si>
  <si>
    <t>75A Nguyễn Văn Khạ, KP 8, Xã Tân An Hội, Tp.HCM</t>
  </si>
  <si>
    <t>SG404048761</t>
  </si>
  <si>
    <t>88 Lò Lu, Phường Long Phước, Tp.HCM</t>
  </si>
  <si>
    <t>SG404048818</t>
  </si>
  <si>
    <t>01 Lê Minh Nhựt, Xã Củ Chi, Tp.HCM</t>
  </si>
  <si>
    <t>SG404048823</t>
  </si>
  <si>
    <t>101A-103 Đường Số 1, Phường Bình Trị Đông, Tp.HCM</t>
  </si>
  <si>
    <t>SG404048735</t>
  </si>
  <si>
    <t>1146 Phạm Thế Hiển, Phường Chánh Hưng, Tp.HCM</t>
  </si>
  <si>
    <t>SG404048796</t>
  </si>
  <si>
    <t>143 Lê Thị Hà, Xã Hóc Môn, Tp.HCM</t>
  </si>
  <si>
    <t>SG404048692</t>
  </si>
  <si>
    <t>109/4E Trịnh Thị Miếng, Xã Đông Thạnh, Tp.HCM</t>
  </si>
  <si>
    <t>SG404048833</t>
  </si>
  <si>
    <t>1182 Kha Vạn Cân, Phường Thủ Đức, Tp.HCM</t>
  </si>
  <si>
    <t>SG404048747</t>
  </si>
  <si>
    <t>118A Đường Số 2, Phường Thủ Đức, Tp.HCM</t>
  </si>
  <si>
    <t>SG404048712</t>
  </si>
  <si>
    <t>119 Thạch Lam, Phường Phú Thạnh, Tp.HCM</t>
  </si>
  <si>
    <t>SG404048783</t>
  </si>
  <si>
    <t>1438F Phạm Thế Hiển, Phường Bình Đông, Tp.HCM</t>
  </si>
  <si>
    <t>SG404048769</t>
  </si>
  <si>
    <t>157-157A Bùi Văn Ba, Phường Tân Thuận, Tp.HCM</t>
  </si>
  <si>
    <t>SG404048799</t>
  </si>
  <si>
    <t>1614A, Tỉnh Lộ 8, Xã Bình Mỹ, Tp.HCM</t>
  </si>
  <si>
    <t>SG404048693</t>
  </si>
  <si>
    <t>167A Nơ Trang Long, Phường Bình Thạnh, Tp.HCM</t>
  </si>
  <si>
    <t>SG404048766</t>
  </si>
  <si>
    <t>173 Đường 5C, Phường Bình Tân, Tp.HCM</t>
  </si>
  <si>
    <t>SG404048694</t>
  </si>
  <si>
    <t>1E/1 Nguyễn Thị Đặng, Phường Tân Thới Hiệp, Tp.HCM</t>
  </si>
  <si>
    <t>SG404048715</t>
  </si>
  <si>
    <t>203A Hoàng Hoa Thám, Phường Bình Lợi Trung, Tp.HCM</t>
  </si>
  <si>
    <t>SG404048744</t>
  </si>
  <si>
    <t>204-206 Lê Thánh Tôn, Phường Bến Thành, Tp.HCM</t>
  </si>
  <si>
    <t>SG404048749</t>
  </si>
  <si>
    <t>224 Lạc Long Quân, Phường Bình Thới, Tp.HCM</t>
  </si>
  <si>
    <t>SG404048748</t>
  </si>
  <si>
    <t>281 Nguyễn Thị Búp, Phường Trung Mỹ Tây, Tp.HCM</t>
  </si>
  <si>
    <t>SG404048806</t>
  </si>
  <si>
    <t>146 Tháp Mười, Phường Bình Tây, Tp.HCM</t>
  </si>
  <si>
    <t>SG404048784</t>
  </si>
  <si>
    <t>29 Dân Chủ, Phường Thủ Đức, Tp.HCM</t>
  </si>
  <si>
    <t>SG404048730</t>
  </si>
  <si>
    <t>177 Đinh Tiên Hoàng, P.Tân Định, Tp.HCM</t>
  </si>
  <si>
    <t>SG404048733</t>
  </si>
  <si>
    <t>180 Đinh Đức Thiện, Xã Bình Chánh, Tp.HCM</t>
  </si>
  <si>
    <t>SG404048732</t>
  </si>
  <si>
    <t>353 Lê Văn Lương, Phường Tân Hưng, Tp.HCM</t>
  </si>
  <si>
    <t>SG404048753</t>
  </si>
  <si>
    <t>367A Phan Văn Trị, Phường Bình Lợi Trung, Tp.HCM</t>
  </si>
  <si>
    <t>SG404048810</t>
  </si>
  <si>
    <t>393 Quang Trung, Phường Gò Vấp, Tp.HCM</t>
  </si>
  <si>
    <t>SG404048779</t>
  </si>
  <si>
    <t>405/10 Thống Nhất, Phường Thông Tây Hội, Tp.HCM</t>
  </si>
  <si>
    <t>SG404048811</t>
  </si>
  <si>
    <t>187 Nguyễn Duy Trinh, Phường Bình Trưng Tp.HCM, Việt Nam</t>
  </si>
  <si>
    <t>SG404049735</t>
  </si>
  <si>
    <t>187 Phạm Văn Hai, Phường Tân Sơn Nhất, Tp.HCM</t>
  </si>
  <si>
    <t>SG404048770</t>
  </si>
  <si>
    <t>148B Gò Xoài, KP 67, Phường Bình Hưng Hòa, Tp.HCM</t>
  </si>
  <si>
    <t>SG404048739</t>
  </si>
  <si>
    <t>46B Nguyễn Văn Đậu, Phường Gia Định, Tp.HCM</t>
  </si>
  <si>
    <t>SG404048765</t>
  </si>
  <si>
    <t>49-51 Phan Chu Trinh, Phường Bình Thạnh, Tp.HCM</t>
  </si>
  <si>
    <t>SG404048772</t>
  </si>
  <si>
    <t>512 Nguyễn Văn Công, Phường Hạnh Thông, Tp.HCM</t>
  </si>
  <si>
    <t>SG404048760</t>
  </si>
  <si>
    <t>20-22 Châu Văn Liêm, Phường Chợ Lớn, Tp.HCM</t>
  </si>
  <si>
    <t>SG404048726</t>
  </si>
  <si>
    <t>228 Nguyễn Văn Đậu, Phường Bình Lợi Trung, Tp.HCM</t>
  </si>
  <si>
    <t>SG404048716</t>
  </si>
  <si>
    <t>52 Dạ Nam, Phường Chánh Hưng, Tp.HCM</t>
  </si>
  <si>
    <t>SG404048729</t>
  </si>
  <si>
    <t>244 Lê Thị Hoa, KP5, Phường Tam Bình, TP.HCM</t>
  </si>
  <si>
    <t>SG404048805</t>
  </si>
  <si>
    <t>60F/17 Nguyễn Thị Kiểu, Phường Tân Thới Hiệp, Tp.HCM</t>
  </si>
  <si>
    <t>SG404048699</t>
  </si>
  <si>
    <t>67 Tỉnh Lộ 8, Xã Phú Hòa Đông, Tp.HCM</t>
  </si>
  <si>
    <t>SG404048728</t>
  </si>
  <si>
    <t>159 Trần Nhân Tôn, Phường Vườn Lài, Tp.HCM</t>
  </si>
  <si>
    <t>SG404048714</t>
  </si>
  <si>
    <t>26/13C Trần Văn Mười, Xã Xuân Thới Sơn, Tp.HCM</t>
  </si>
  <si>
    <t>SG404048789</t>
  </si>
  <si>
    <t>728 Tỉnh Lộ 8, Xã Củ Chi, Tp.HCM</t>
  </si>
  <si>
    <t>SG404048702</t>
  </si>
  <si>
    <t>78-80 Lê Vĩnh Hòa, Phường Phú Thọ Hòa, Tp.HCM</t>
  </si>
  <si>
    <t>SG404048756</t>
  </si>
  <si>
    <t>80 Nguyễn Thượng Hiền, Phường Hạnh Thông, Tp.HCM</t>
  </si>
  <si>
    <t>SG404048722</t>
  </si>
  <si>
    <t>975 Nguyễn Duy Trinh, Phường Bình Trưng Tp.HCM, Việt Nam</t>
  </si>
  <si>
    <t>SG404049734</t>
  </si>
  <si>
    <t>296 Phạm Văn Bạch, Phường Tân Sơn, Tp.HCM</t>
  </si>
  <si>
    <t>SG404048771</t>
  </si>
  <si>
    <t>2B Bình Lợi, Phường Bình Lợi Trung, Tp.HCM</t>
  </si>
  <si>
    <t>SG404048707</t>
  </si>
  <si>
    <t>C9/3A, Võ Văn Vân, Xã Tân Vĩnh Lộc, Tp.HCM</t>
  </si>
  <si>
    <t>SG404048834</t>
  </si>
  <si>
    <t>Khu dịch vụ công cộng, tầng trệt (tầng 1), chung cư Hoa Sen, 262/20 Lạc Long Quân, Phường Bình Thới, Tp.HCM</t>
  </si>
  <si>
    <t>SG404048742</t>
  </si>
  <si>
    <t>240 Phan Đình Phùng, Phường Cầu Kiệu, Tp.HCM</t>
  </si>
  <si>
    <t>SG404048774</t>
  </si>
  <si>
    <t>32 Nguyễn Thị Kiểu, Phường Tân Thới Hiệp, Tp.HCM</t>
  </si>
  <si>
    <t>SG404048809</t>
  </si>
  <si>
    <t>249 Ấp Chiến Lược, Phường Bình Hưng Hòa, Tp.HCM</t>
  </si>
  <si>
    <t>SG404048804</t>
  </si>
  <si>
    <t>Khu Thương Mại A2.1 (Tầng 1), chung cư Ngọc Lan, số 35 đường Phú Thuận, Phường Phú Thuận, Tp.HCM</t>
  </si>
  <si>
    <t>SG404048763</t>
  </si>
  <si>
    <t>Khu thương mại, Tầng trệt (tầng 1), chung cư Avila, 114 An Dương Vương, Phường Phú Định, Tp.HCM</t>
  </si>
  <si>
    <t>SG404048690</t>
  </si>
  <si>
    <t>Lô TT1 - 1, Đường D4, KCN Đông Nam, Xã Bình Mỹ, Tp.HCM</t>
  </si>
  <si>
    <t>SG404048734</t>
  </si>
  <si>
    <t>36 Lê Văn Quới, Phường Bình Trị Đông, Tp.HCM</t>
  </si>
  <si>
    <t>SG404048754</t>
  </si>
  <si>
    <t>404 An Dương Vương, Phường Bình Phú, Tp.HCM</t>
  </si>
  <si>
    <t>SG404048724</t>
  </si>
  <si>
    <t>44 - 46 Bàu Cát 8, Phường.Bảy Hiền, TP.HCM</t>
  </si>
  <si>
    <t>SG404048835</t>
  </si>
  <si>
    <t>44 Đường Số 1, Phường Tân Mỹ, Tp.HCM</t>
  </si>
  <si>
    <t>SG404048738</t>
  </si>
  <si>
    <t>46-46A Nguyễn Thị Kiêu, Phường Thới An, Tp.HCM</t>
  </si>
  <si>
    <t>SG404048759</t>
  </si>
  <si>
    <t>464 Huỳnh Tấn Phát, Xã Nhà Bè, Tp.HCM</t>
  </si>
  <si>
    <t>SG404048813</t>
  </si>
  <si>
    <t>492 Lê Văn Thọ, Phường An Hội Đông, Tp.HCM</t>
  </si>
  <si>
    <t>SG404048755</t>
  </si>
  <si>
    <t>46-48 Đường số 41, Phường Khánh Hội, Tp.HCM</t>
  </si>
  <si>
    <t>SG404048737</t>
  </si>
  <si>
    <t>476 Đinh Đức Thiện, Xã Bình Chánh, Tp.HCM</t>
  </si>
  <si>
    <t>SG404048820</t>
  </si>
  <si>
    <t>6-8 Đường Số 17, Phường Tân Hưng, Tp.HCM</t>
  </si>
  <si>
    <t>SG404048736</t>
  </si>
  <si>
    <t>803 Tỉnh Lộ 7, Xã Thái Mỹ, Tp.HCM, Việt Nam</t>
  </si>
  <si>
    <t>SG404049746</t>
  </si>
  <si>
    <t>803-805 Phạm Thế Hiển, Phường Chánh Hưng, Tp.HCM</t>
  </si>
  <si>
    <t>SG404048768</t>
  </si>
  <si>
    <t>A1/17 Vĩnh Lộc, Xã Vĩnh Lộc, Tp.HCM</t>
  </si>
  <si>
    <t>SG404049807</t>
  </si>
  <si>
    <t>86 Lâm Văn Bền, Phường Tân Hưng, Tp.HCM</t>
  </si>
  <si>
    <t>SG404048705</t>
  </si>
  <si>
    <t>Lô D12/I, Nguyễn Thị Tú, KCN Vĩnh Lộc, Phường Bình Tân, Tp.HCM</t>
  </si>
  <si>
    <t>SG404048791</t>
  </si>
  <si>
    <t>Số 1, Đường Số 10 (C15B), khu phố Starhill, khu đô thị Phú Mỹ Hưng, Phường Tân Mỹ, Tp.HCM</t>
  </si>
  <si>
    <t>SG404048778</t>
  </si>
  <si>
    <t>Số 3 Hoàng Bật Đạt, Phường Tân Sơn, Tp.HCM</t>
  </si>
  <si>
    <t>SG404048743</t>
  </si>
  <si>
    <t>140 - 142 Thích Quảng Đức, Phường Đức Nhuận, Tp.HCM</t>
  </si>
  <si>
    <t>SG404048785</t>
  </si>
  <si>
    <t>195/9 Xô Viết Nghệ Tĩnh, Phường Gia Định, Tp.HCM</t>
  </si>
  <si>
    <t>SG404048802</t>
  </si>
  <si>
    <t>310 Nguyễn Văn Bứa, Xã Xuân Thới Sơn, Tp.HCM</t>
  </si>
  <si>
    <t>SG404048808</t>
  </si>
  <si>
    <t>555 Tỉnh Lộ 7, Xã Thái Mỹ, Tp.HCM</t>
  </si>
  <si>
    <t>SG404048719</t>
  </si>
  <si>
    <t>793 Nguyễn Duy Trinh, Phường Long Trường, Tp.HCM</t>
  </si>
  <si>
    <t>SG404048817</t>
  </si>
  <si>
    <t>8 Dương Công Khi, Xã Xuân Thới Sơn, Tp.HCM</t>
  </si>
  <si>
    <t>SG404048703</t>
  </si>
  <si>
    <t>136/6A Nguyễn Văn Tạo, Xã Hiệp Phước, Tp.HCM</t>
  </si>
  <si>
    <t>SG404050247</t>
  </si>
  <si>
    <t>1833 Văn Tiến Dũng, Xã Bình Hưng, Tp.HCM, Việt Nam</t>
  </si>
  <si>
    <t>SG404050596</t>
  </si>
  <si>
    <t>34C Hoàng Ngọc Phách, Phường Phú Thọ Hòa, Tp.HCM</t>
  </si>
  <si>
    <t>SG404050522</t>
  </si>
  <si>
    <t>Số 2452 Văn Tiến Dũng, Xã Hưng Long, Tp.HCM, Việt Nam</t>
  </si>
  <si>
    <t>SG404050597</t>
  </si>
  <si>
    <t>910 Văn Tiến Dũng, Xã Bình Hưng, Tp.HCM, Việt Nam</t>
  </si>
  <si>
    <t>SG404050647</t>
  </si>
  <si>
    <t>312 Nguyễn Thị Định, Phường Cát Lái, Tp.HCM</t>
  </si>
  <si>
    <t>SG404052166</t>
  </si>
  <si>
    <t>7A/1 Thành Thái, Phường 14, Quận 10, TP.HCM</t>
  </si>
  <si>
    <t>SG40409221</t>
  </si>
  <si>
    <t>1579 đường Nguyễn Ảnh Thủ, Xã Bà Điểm, Tp.HCM, Việt Nam</t>
  </si>
  <si>
    <t>SG404054853</t>
  </si>
  <si>
    <t>247 Trần Thị Cờ, Phường Thới An, Tp.HCM</t>
  </si>
  <si>
    <t>SG404048878</t>
  </si>
  <si>
    <t>ST-SATRAMART</t>
  </si>
  <si>
    <t>SG4038</t>
  </si>
  <si>
    <t>CHI NHÁNH TỔNG CÔNG TY THƯƠNG MẠI SÀI GÒN-TNHH MỘT THÀNH VIÊN-SIÊU THỊ SÀI GÒN</t>
  </si>
  <si>
    <t>460 Đường 3 Tháng 2, phường Hòa Hưng, Thành phố Hồ Chí Minh, Việt Nam</t>
  </si>
  <si>
    <t>SG403853275</t>
  </si>
  <si>
    <t>SG4039</t>
  </si>
  <si>
    <t>TTTM Satra Đường Phạm Hùng</t>
  </si>
  <si>
    <t>C6/27 Phạm Hùng, Xã Bình Hưng, Thành Phố Hồ Chí Minh, Việt Nam</t>
  </si>
  <si>
    <t>SG403947966</t>
  </si>
  <si>
    <t>SG4042</t>
  </si>
  <si>
    <t>Chi nhánh Tổng công ty Thương Mại Sài Gòn – TNHH Một Thành Viên – Trung tâm Thương Mại Satra Củ Chi</t>
  </si>
  <si>
    <t>1239 Tỉnh lộ 8, Ấp Thạnh An 2, Xã Bình Mỹ, Thành phố Hồ Chí Minh, Việt Nam</t>
  </si>
  <si>
    <t>SG404247982</t>
  </si>
  <si>
    <t>SG4044</t>
  </si>
  <si>
    <t>Chi nhánh Tổng Công ty Thương mại Sài Gòn- TNHH MTV- Trung Tâm Thương Mại Satra Võ Văn Kiệt</t>
  </si>
  <si>
    <t>Số 1466, đường Võ Văn Kiệt, Phường Bình Tiên, Thành phố Hồ Chí Minh, Việt Nam</t>
  </si>
  <si>
    <t>SG404447964</t>
  </si>
  <si>
    <t>TG4008</t>
  </si>
  <si>
    <t>Chi Nhánh tại Thành Phố Hồ Chí Minh – Công ty Cổ phần Đầu Tư Thế Giới Sữa</t>
  </si>
  <si>
    <t>Số 110, Đường Tân Chánh Hiệp 07, Khu phố 10, Phường Trung Mỹ Tây, Thành phố Hồ Chí Minh, Việt Nam</t>
  </si>
  <si>
    <t>TG400848203</t>
  </si>
  <si>
    <t>KG40031</t>
  </si>
  <si>
    <t>Công ty Cổ Phần Đầu Tư Không Gian</t>
  </si>
  <si>
    <t>KG40031C3U</t>
  </si>
  <si>
    <t>Căn GO-01.03 và GO-01.04 Tòa nhà Galaxy 9, Nguyễn Khoái, , P.Vĩnh Hội, Hồ Chí Minh</t>
  </si>
  <si>
    <t>KG40031D2R</t>
  </si>
  <si>
    <t>300AB, Nguyễn Tất Thành, , P.Xóm Chiếu, Hồ Chí Minh</t>
  </si>
  <si>
    <t>KG40031P3O</t>
  </si>
  <si>
    <t>16, Quoc Huong, P.Thảo Điền, Q.2, Hồ Chí Minh</t>
  </si>
  <si>
    <t>KG40031PEH</t>
  </si>
  <si>
    <t>610, Nguyễn Duy Trinh, P.Bình Trưng Đông, Q.2, Hồ Chí Minh</t>
  </si>
  <si>
    <t>KG40031PKH</t>
  </si>
  <si>
    <t>A1-00.06 tòa nha Sarimi, Khu đô thị Sala, 10 Mai Chí Thọ, P.An Lợi Đông, Q.2, Hồ Chí Minh</t>
  </si>
  <si>
    <t>KG40031PKI</t>
  </si>
  <si>
    <t>LA 01 07 Chung cư Lexington, 67 Mai Chí Thọ, P.An Phú, Q.2, Hồ Chí Minh</t>
  </si>
  <si>
    <t>KG40031Q6H</t>
  </si>
  <si>
    <t>11, Xuân Thủy, P.Thảo Điền, Q.2, Hồ Chí Minh</t>
  </si>
  <si>
    <t>KG40031Q6L</t>
  </si>
  <si>
    <t>48, Quốc Hương, P.Thảo Điền, Q.2, Hồ Chí Minh</t>
  </si>
  <si>
    <t>KG40031QA0</t>
  </si>
  <si>
    <t>Tầng 1,Trung Tâm Thương Mại Faifo Lane, Số 2 Phan Văn Đáng, P.Thạnh Mỹ Lợi, Q.2, Hồ Chí Minh</t>
  </si>
  <si>
    <t>KG40031QA2</t>
  </si>
  <si>
    <t>L33 khu nhà ở tái định cư Thủ Thiêm, số 311, Lương Định Của, P.An Phú, Q.2, Hồ Chí Minh</t>
  </si>
  <si>
    <t>KG40031QBJ</t>
  </si>
  <si>
    <t>Số 8, Đường 35 , KDC Cát Lái, P.Cát Lái, Q.2, Hồ Chí Minh</t>
  </si>
  <si>
    <t>KG40031QGL</t>
  </si>
  <si>
    <t>539, Nguyễn Duy Trinh, P.Bình Trưng Đông, Q.2, Hồ Chí Minh</t>
  </si>
  <si>
    <t>KG40031RGO</t>
  </si>
  <si>
    <t>L1-13 khu trung tâm thương mại dự án The Gold View, 346 bến Vân Đồn, , P.Vĩnh Hội, Hồ Chí Minh</t>
  </si>
  <si>
    <t>KG40031RMC</t>
  </si>
  <si>
    <t>Family Mart_Sala 2</t>
  </si>
  <si>
    <t>SA B2-00.04, 10 Mai Chí Thọ, P.An Lợi Đông, Q.2, Hồ Chí Minh</t>
  </si>
  <si>
    <t>KG40031RNR</t>
  </si>
  <si>
    <t>FAMILY_CÔNG TY TNHH CỬA HÀNG TIỆN LỢI GIA ĐÌNH VIỆT NAM</t>
  </si>
  <si>
    <t>62, Hoàng Thế Thiện, P.An Lợi Đông, Q.2, Hồ Chí Minh</t>
  </si>
  <si>
    <t>KG40031RNW</t>
  </si>
  <si>
    <t>5, Trần Bạch Đằng, P.Thủ Thiêm, Q.2, Hồ Chí Minh</t>
  </si>
  <si>
    <t>KG40031SE0</t>
  </si>
  <si>
    <t>222, Lý Tự Trọng, , P.Bến Thành, Hồ Chí Minh</t>
  </si>
  <si>
    <t>KG40031SE1</t>
  </si>
  <si>
    <t>97/99, Nguyễn Hữu Cầu, , P.Tân Định, Hồ Chí Minh</t>
  </si>
  <si>
    <t>KG40031SE2</t>
  </si>
  <si>
    <t>125, Cống Quỳnh, , P.Cầu Ông Lãnh, Hồ Chí Minh</t>
  </si>
  <si>
    <t>KG40031SE3</t>
  </si>
  <si>
    <t>49, Bùi Thị Xuân, , P.Bến Thành, Hồ Chí Minh</t>
  </si>
  <si>
    <t>KG40031SE4</t>
  </si>
  <si>
    <t>210 B/1, Cô Bắc, , P.Cầu Ông Lãnh, Hồ Chí Minh</t>
  </si>
  <si>
    <t>KG40031SE5</t>
  </si>
  <si>
    <t>12, Mạc Đĩnh Chi, , P.Tân Định, Hồ Chí Minh</t>
  </si>
  <si>
    <t>KG40031SEO</t>
  </si>
  <si>
    <t>21B/1, Nguyễn Đình Chiểu, , P.Tân Định, Hồ Chí Minh</t>
  </si>
  <si>
    <t>KG40031SEQ</t>
  </si>
  <si>
    <t>324, Võ Văn Kiệt, , P.Cầu Ông Lãnh, Hồ Chí Minh</t>
  </si>
  <si>
    <t>KG40031SER</t>
  </si>
  <si>
    <t>8A/3D1, Thái Văn Lung, , P.Sài Gòn, Hồ Chí Minh</t>
  </si>
  <si>
    <t>KG40031SF1</t>
  </si>
  <si>
    <t>125, Điện Biên Phủ, , P.Tân Định, Hồ Chí Minh</t>
  </si>
  <si>
    <t>KG40031SF4</t>
  </si>
  <si>
    <t>33A, Nguyễn Bỉnh Khiêm, , P.Tân Định, Hồ Chí Minh</t>
  </si>
  <si>
    <t>KG40031SF7</t>
  </si>
  <si>
    <t>20, Lê Thánh Tôn, , P.Sài Gòn, Hồ Chí Minh</t>
  </si>
  <si>
    <t>KG40031SFR</t>
  </si>
  <si>
    <t>B1-ATầng B1Zen Plaza 54-56, Nguyễn Trãi, , P.Bến Thành, Hồ Chí Minh</t>
  </si>
  <si>
    <t>KG40031SFS</t>
  </si>
  <si>
    <t>163, Phạm Ngũ Lão, , P.Bến Thành, Hồ Chí Minh</t>
  </si>
  <si>
    <t>KG40031TMA</t>
  </si>
  <si>
    <t>103, Lê Văn Thịnh, P.Bình Trưng Đông, Q.2, Hồ Chí Minh</t>
  </si>
  <si>
    <t>KG40031TNO</t>
  </si>
  <si>
    <t>1, Tôn Thất Thuyết, , P.Vĩnh Hội, Hồ Chí Minh</t>
  </si>
  <si>
    <t>KG40031TT1</t>
  </si>
  <si>
    <t>7, Vĩnh Hội, , P.Vĩnh Hội, Hồ Chí Minh</t>
  </si>
  <si>
    <t>KG40031TUY</t>
  </si>
  <si>
    <t>204C, Nguyễn Văn Hưởng, P.Thảo Điền, Q.2, Hồ Chí Minh</t>
  </si>
  <si>
    <t>KG40031TYQ</t>
  </si>
  <si>
    <t>72/2B, Tôn Đản, P.10, Q.4, Hồ Chí Minh</t>
  </si>
  <si>
    <t>KG40031U0B</t>
  </si>
  <si>
    <t>66B, Nguyễn Huệ, , P.Sài Gòn, Hồ Chí Minh</t>
  </si>
  <si>
    <t>KG40031UJA</t>
  </si>
  <si>
    <t>15, Huỳnh Thúc Khàng, , P.Sài Gòn, Hồ Chí Minh</t>
  </si>
  <si>
    <t>KG40031UJN</t>
  </si>
  <si>
    <t>141, Bùi Viện, , P.Bến Thành, Hồ Chí Minh</t>
  </si>
  <si>
    <t>KG40031UKB</t>
  </si>
  <si>
    <t>81, số 3, , P.An Khánh, Hồ Chí Minh</t>
  </si>
  <si>
    <t>KG40031UKU</t>
  </si>
  <si>
    <t>12, Quốc Hương, , P.An Khánh, Hồ Chí Minh</t>
  </si>
  <si>
    <t>MK40021</t>
  </si>
  <si>
    <t>Công Ty Cổ Phần Thế Kỷ Việt Úc</t>
  </si>
  <si>
    <t>MK40021RO9</t>
  </si>
  <si>
    <t>B1.11B tại Tầng 1 Cao ốc Bảo Gia số 184, Lê Đại Hành, , P.Phú Thọ, Hồ Chí Minh</t>
  </si>
  <si>
    <t>MK40021RRG</t>
  </si>
  <si>
    <t>128, Phó Cơ Điều, P.4, Q.11, Hồ Chí Minh</t>
  </si>
  <si>
    <t>MK40021RRS</t>
  </si>
  <si>
    <t>750, Hương Lộ 2, Khu phố 10, , P.Bình Trị Đông, Hồ Chí Minh</t>
  </si>
  <si>
    <t>MK40021VAI</t>
  </si>
  <si>
    <t>131, Độc Lập, , P.Phú Thọ Hòa, Hồ Chí Minh</t>
  </si>
  <si>
    <t>MK40021VBF</t>
  </si>
  <si>
    <t>59, Bờ Bao Tân Thắng, , P.Tân Sơn Nhì, Hồ Chí Minh</t>
  </si>
  <si>
    <t>MK40021VCZ</t>
  </si>
  <si>
    <t>307A, Nguyễn Thị Nhỏ, , P.Minh Phụng, Hồ Chí Minh</t>
  </si>
  <si>
    <t>MK40021VLQ</t>
  </si>
  <si>
    <t>629, Bình Thới, , P.Bình Thới, Hồ Chí Minh</t>
  </si>
  <si>
    <t>MK40021VY5</t>
  </si>
  <si>
    <t>367/1, Lê Trọng Tấn, , P.Tân Sơn Nhì, Hồ Chí Minh</t>
  </si>
  <si>
    <t>MN41581</t>
  </si>
  <si>
    <t>Công ty Cổ Phần Đầu Tư Mỹ Nga</t>
  </si>
  <si>
    <t>MN41581OQW</t>
  </si>
  <si>
    <t>54 56, Thai Thi Nhan, , P.Bảy Hiền, Hồ Chí Minh</t>
  </si>
  <si>
    <t>MN41581RS5</t>
  </si>
  <si>
    <t>400, Le Van Sy   P  2, , P.Tân Sơn Hòa, Hồ Chí Minh</t>
  </si>
  <si>
    <t>MN41581UNX</t>
  </si>
  <si>
    <t>B20, Bạch Đằng, , P.Tân Sơn Hòa, Hồ Chí Minh</t>
  </si>
  <si>
    <t>MN41581UO8</t>
  </si>
  <si>
    <t>60A, Trường Sơn, , P.Tân Sơn Hòa, Hồ Chí Minh</t>
  </si>
  <si>
    <t>MN41581V59</t>
  </si>
  <si>
    <t>249A, Hoàng Văn Thụ, , P.Tân Sơn Hòa, Hồ Chí Minh</t>
  </si>
  <si>
    <t>MN41581VTM</t>
  </si>
  <si>
    <t>Số 8, Tô Ký, , P.Trung Mỹ Tây, Hồ Chí Minh</t>
  </si>
  <si>
    <t>MN41581VTR</t>
  </si>
  <si>
    <t>12, TX14 (Đường N3), , P.Thới An, Hồ Chí Minh</t>
  </si>
  <si>
    <t>MN41581VTN</t>
  </si>
  <si>
    <t>625A, Nguyễn Ảnh Thủ, , P.Trung Mỹ Tây, Hồ Chí Minh</t>
  </si>
  <si>
    <t>MN41581VTP</t>
  </si>
  <si>
    <t>1/1, Tô Ký, , X.Đông Thạnh, Hồ Chí Minh</t>
  </si>
  <si>
    <t>MN41581VTO</t>
  </si>
  <si>
    <t>163, Trường Chinh, , P.Đông Hưng Thuận, Hồ Chí Minh</t>
  </si>
  <si>
    <t>MN41581VTQ</t>
  </si>
  <si>
    <t>164 Ấp Đông, Nguyễn Ảnh Thủ, , P.Trung Mỹ Tây, Hồ Chí Minh</t>
  </si>
  <si>
    <t>MN41581VTL</t>
  </si>
  <si>
    <t>37, Nguyễn Văn Quá, , P.Đông Hưng Thuận, Hồ Chí Minh</t>
  </si>
  <si>
    <t>MN41581YKB</t>
  </si>
  <si>
    <t>799, Cách Mạng Tháng Tám, , P.Tân Hòa, Hồ Chí Minh</t>
  </si>
  <si>
    <t>MN41581YLN</t>
  </si>
  <si>
    <t>113, Nguyễn Thị Nhỏ, , P.Tân Hòa, Hồ Chí Minh</t>
  </si>
  <si>
    <t>NS40011</t>
  </si>
  <si>
    <t>Công Ty Cổ Phần Phân Phối Ngôi Sao Phương Nam</t>
  </si>
  <si>
    <t>NS40011J9K</t>
  </si>
  <si>
    <t>105A ấp 3, Lê Văn Lương, , X.Nhà Bè, Hồ Chí Minh</t>
  </si>
  <si>
    <t>NS40011JQ0</t>
  </si>
  <si>
    <t>Family Mart CÔNG TY TNHH CỬA HÀNG TIỆN LỢI GIA ĐÌNH VIỆT NAM</t>
  </si>
  <si>
    <t>KL55, Nguyễn Hữu Thọ, , X.Nhà Bè, Hồ Chí Minh</t>
  </si>
  <si>
    <t>NS40011KAI</t>
  </si>
  <si>
    <t>Eco Green- HR1SH25, tầng trệt, tòa nhà HR1, Nguyễn Văn Linh, , P.Tân Thuận, Hồ Chí Minh</t>
  </si>
  <si>
    <t>NS40011KAJ</t>
  </si>
  <si>
    <t>541, Huỳnh Tấn Phát, , P.Tân Thuận, Hồ Chí Minh</t>
  </si>
  <si>
    <t>NS40011KAP</t>
  </si>
  <si>
    <t>X-01.15,Tầng 1,Cao ốc Sunrise City, Số 27 Nguyễn Hữu Thọ, , P.Tân Hưng, Hồ Chí Minh</t>
  </si>
  <si>
    <t>NS40011KAQ</t>
  </si>
  <si>
    <t>W4-5.0901 tầng 5, Khu TM Sunrise City Central, 25 Nguyễn Hữu Thọ, , P.Tân Hưng, Hồ Chí Minh</t>
  </si>
  <si>
    <t>NS40011KAU</t>
  </si>
  <si>
    <t>Block D27, Mã D1-15 khu dân cư cao cấp Belleza, , P.Tân Mỹ, Hồ Chí Minh</t>
  </si>
  <si>
    <t>NS40011KB5</t>
  </si>
  <si>
    <t>40 Lô M, Hoàng Quốc Việt nối dài, KDC Phú Mỹ, KP1, , P.Tân Mỹ, Hồ Chí Minh</t>
  </si>
  <si>
    <t>NS40011KC6</t>
  </si>
  <si>
    <t>107, Nguyễn Văn Linh, , P.Tân Thuận, Hồ Chí Minh</t>
  </si>
  <si>
    <t>NS40011KJ4</t>
  </si>
  <si>
    <t>SII.01, tầng trệt block Venus, Đào Trí, , P.Phú Thuận, Hồ Chí Minh</t>
  </si>
  <si>
    <t>NS40011L2Y</t>
  </si>
  <si>
    <t>B.1.09 _ B.1.10, ấp 5, , X.Nhà Bè, Hồ Chí Minh</t>
  </si>
  <si>
    <t>NS40011L2Z</t>
  </si>
  <si>
    <t>17, Nguyễn Hữu Thọ, , X.Nhà Bè, Hồ Chí Minh</t>
  </si>
  <si>
    <t>NS40011L3Q</t>
  </si>
  <si>
    <t>352, Lê Văn Lương, , P.Tân Hưng, Hồ Chí Minh</t>
  </si>
  <si>
    <t>TL40041</t>
  </si>
  <si>
    <t>Công ty TNHH TM &amp; Thực Phẩm Tài Lộc</t>
  </si>
  <si>
    <t>TL40041C83</t>
  </si>
  <si>
    <t>162, An Dương Vương, , P.Phú Định, Hồ Chí Minh</t>
  </si>
  <si>
    <t>TL40041CW7</t>
  </si>
  <si>
    <t>900D-902, Tạ Quang Bửu, , P.Chánh Hưng, Hồ Chí Minh</t>
  </si>
  <si>
    <t>TL40041D4C</t>
  </si>
  <si>
    <t>53 Lô A, CC EHOME3,, Đường số 1, Khu Tái Định Cư Cảng Phú Định, , P.Phú Định, Hồ Chí Minh</t>
  </si>
  <si>
    <t>TL40041KDI</t>
  </si>
  <si>
    <t>817, Tạ Quang Bửu, , P.Chánh Hưng, Hồ Chí Minh</t>
  </si>
  <si>
    <t>TL40041KXJ</t>
  </si>
  <si>
    <t>Block C-S5, Khu căn hộ cao tầng D.Riverside,1646A, Võ Văn Kiệt, , P.Phú Định, Hồ Chí Minh</t>
  </si>
  <si>
    <t>TL40041L0V</t>
  </si>
  <si>
    <t>2225, Phạm Thế Hiển, , P.Bình Đông, Hồ Chí Minh</t>
  </si>
  <si>
    <t>TL40041MBJ</t>
  </si>
  <si>
    <t>339, Nguyễn Văn Luông, , P.Phú Lâm, Hồ Chí Minh</t>
  </si>
  <si>
    <t>TL40041MBP</t>
  </si>
  <si>
    <t>973, Hau Giang, , P.Bình Phú, Hồ Chí Minh</t>
  </si>
  <si>
    <t>TL40041MBS</t>
  </si>
  <si>
    <t>487, Hậu Giang, , P.Bình Phú, Hồ Chí Minh</t>
  </si>
  <si>
    <t>TL40041MBU</t>
  </si>
  <si>
    <t>11, Tan Hoa Dong, , P.Phú Lâm, Hồ Chí Minh</t>
  </si>
  <si>
    <t>TL40041N2G</t>
  </si>
  <si>
    <t>119, An Bình, P.6, Q.5, Hồ Chí Minh</t>
  </si>
  <si>
    <t>TL40041N2J</t>
  </si>
  <si>
    <t>733 735, Nguyen Trai, , P.Chợ Lớn, Hồ Chí Minh</t>
  </si>
  <si>
    <t>TL40041N2K</t>
  </si>
  <si>
    <t>286a, AN DƯƠNG VƯƠNG, , P.Chợ Quán, Hồ Chí Minh</t>
  </si>
  <si>
    <t>TL40041N2L</t>
  </si>
  <si>
    <t>646X, Nguyễn Trãi, , P.Chợ Lớn, Hồ Chí Minh</t>
  </si>
  <si>
    <t>TL40041N2M</t>
  </si>
  <si>
    <t>213, Nguyễn Văn Cừ, , P.Chợ Quán, Hồ Chí Minh</t>
  </si>
  <si>
    <t>TL40041N2N</t>
  </si>
  <si>
    <t>201, An Dương Vương, P.8, Q.5, Hồ Chí Minh</t>
  </si>
  <si>
    <t>TL40041N2O</t>
  </si>
  <si>
    <t>167, Nguyễn Biểu, , P.Chợ Quán, Hồ Chí Minh</t>
  </si>
  <si>
    <t>TL40041N2P</t>
  </si>
  <si>
    <t>918-920, NGUYỄN TRÃI, , P.Chợ Lớn, Hồ Chí Minh</t>
  </si>
  <si>
    <t>TL40041N2Q</t>
  </si>
  <si>
    <t>15, MẠC THIÊN TÍCH, , P.Chợ Lớn, Hồ Chí Minh</t>
  </si>
  <si>
    <t>TL40041N2R</t>
  </si>
  <si>
    <t>170A, Triệu Quang Phục, , P.Chợ Lớn, Hồ Chí Minh</t>
  </si>
  <si>
    <t>TL40041N2S</t>
  </si>
  <si>
    <t>111, Ngo Quyen, , P.Chợ Lớn, Hồ Chí Minh</t>
  </si>
  <si>
    <t>TL40041N2T</t>
  </si>
  <si>
    <t>202E, Su Van Hanh   P  9, , P.An Đông, Hồ Chí Minh</t>
  </si>
  <si>
    <t>TL40041N2U</t>
  </si>
  <si>
    <t>77, Tran Binh Trong, , P.Chợ Quán, Hồ Chí Minh</t>
  </si>
  <si>
    <t>TL40041N2V</t>
  </si>
  <si>
    <t>86, Tang tret cao oc Tan Da, , P.Chợ Quán, Hồ Chí Minh</t>
  </si>
  <si>
    <t>TL40041N30</t>
  </si>
  <si>
    <t>132, Trần Tuấn Khải, , P.An Đông, Hồ Chí Minh</t>
  </si>
  <si>
    <t>TL40041NAY</t>
  </si>
  <si>
    <t>577, Hưng Phú, , P.Chánh Hưng, Hồ Chí Minh</t>
  </si>
  <si>
    <t>TL40041ND0</t>
  </si>
  <si>
    <t>Mio Mio</t>
  </si>
  <si>
    <t>375/24, Quốc lộ 1A, , X.Bình Chánh, Hồ Chí Minh</t>
  </si>
  <si>
    <t>TL40041NF9</t>
  </si>
  <si>
    <t>268, Hải Thượng Lãn Ông, , P.Chợ Lớn, Hồ Chí Minh</t>
  </si>
  <si>
    <t>TL40041NFB</t>
  </si>
  <si>
    <t>427, Hồng Bàng, , P.Chợ Lớn, Hồ Chí Minh</t>
  </si>
  <si>
    <t>TL40041NFI</t>
  </si>
  <si>
    <t>132, Dương Bá Trạc, , P.Chánh Hưng, Hồ Chí Minh</t>
  </si>
  <si>
    <t>TL40041NFN</t>
  </si>
  <si>
    <t>11N, Nguyễn Thị Tần, , P.Chánh Hưng, Hồ Chí Minh</t>
  </si>
  <si>
    <t>AF10031</t>
  </si>
  <si>
    <t>Công ty TNHH Đầu Tư Thương Mại Anfood</t>
  </si>
  <si>
    <t>AF1003100M</t>
  </si>
  <si>
    <t>88/90, Bình Quới, , P.Bình Quới, Hồ Chí Minh</t>
  </si>
  <si>
    <t>AF1003100N</t>
  </si>
  <si>
    <t>201, Nguyễn Xí, , P.Bình Thạnh, Hồ Chí Minh</t>
  </si>
  <si>
    <t>AF1003100P</t>
  </si>
  <si>
    <t>Căn số S07, KDC phức hợp Sài Gòn Pearl , 92, Nguyễn Hữu Cảnh, , P.Thạnh Mỹ Tây, Hồ Chí Minh</t>
  </si>
  <si>
    <t>AF1003100R</t>
  </si>
  <si>
    <t>204, Nguyễn Xí, , P.Bình Thạnh, Hồ Chí Minh</t>
  </si>
  <si>
    <t>AF1003100U</t>
  </si>
  <si>
    <t>62 P6-SH09 Tòa Nhà Park 6 Thuộc Dự Án Vinhomes Central Park, 720A, Điện Biên Phủ, , P.Thạnh Mỹ Tây, Hồ Chí Minh</t>
  </si>
  <si>
    <t>AF1003100W</t>
  </si>
  <si>
    <t>720A L1-0.01, Điện Biên Phủ, , P.Thạnh Mỹ Tây, Hồ Chí Minh</t>
  </si>
  <si>
    <t>AF10031UGE</t>
  </si>
  <si>
    <t>233, Phan Xích Long, , P.Cầu Kiệu, Hồ Chí Minh</t>
  </si>
  <si>
    <t>AF10031UGH</t>
  </si>
  <si>
    <t>198, Phan Huy Ích, , P.An Hội Tây, Hồ Chí Minh</t>
  </si>
  <si>
    <t>AF10031UGJ</t>
  </si>
  <si>
    <t>508, Nguyễn Thái Sơn, , P.An Nhơn, Hồ Chí Minh</t>
  </si>
  <si>
    <t>AF1003100K</t>
  </si>
  <si>
    <t>206, Xô Viết Nghệ Tĩnh, P.21, Q.Bình Thạnh, Hồ Chí Minh</t>
  </si>
  <si>
    <t>AF1003100L</t>
  </si>
  <si>
    <t>9, Thanh Da, , P.Bình Quới, Hồ Chí Minh</t>
  </si>
  <si>
    <t>AF1003100T</t>
  </si>
  <si>
    <t>18E 3, Chu Văn An, , P.Bình Thạnh, Hồ Chí Minh</t>
  </si>
  <si>
    <t>AF1003100X</t>
  </si>
  <si>
    <t>720A, Điện Biên Phủ, , P.Thạnh Mỹ Tây, Hồ Chí Minh</t>
  </si>
  <si>
    <t>AF10031UGD</t>
  </si>
  <si>
    <t>129, Huỳnh Văn Bánh, P.12, Q.Phú Nhuận, Hồ Chí Minh</t>
  </si>
  <si>
    <t>AF10031UGF</t>
  </si>
  <si>
    <t>529, Lê Đức Thọ, , P.An Hội Đông, Hồ Chí Minh</t>
  </si>
  <si>
    <t>AF1003100V</t>
  </si>
  <si>
    <t>L6-0.07 Tòa L6 Vinhomes Central Park, 720A, Điện Biên Phủ, , P.Thạnh Mỹ Tây, Hồ Chí Minh</t>
  </si>
  <si>
    <t>AF10031UGG</t>
  </si>
  <si>
    <t>499, Nguyễn Oanh, , P.Gò Vấp, Hồ Chí Minh</t>
  </si>
  <si>
    <t>AF1003100S</t>
  </si>
  <si>
    <t>234, Điện Biên Phủ, , P.Gia Định, Hồ Chí Minh</t>
  </si>
  <si>
    <t>AF1003100Q</t>
  </si>
  <si>
    <t>190, D2, , P.Thạnh Mỹ Tây, Hồ Chí Minh</t>
  </si>
  <si>
    <t>AF1003100O</t>
  </si>
  <si>
    <t>73-75, Ngô Tất Tố, P.21, Q.Bình Thạnh, Hồ Chí Minh</t>
  </si>
  <si>
    <t>AF10031VWK</t>
  </si>
  <si>
    <t>278, Dương Quảng Hàm, , P.An Nhơn, Hồ Chí Minh</t>
  </si>
  <si>
    <t>AF10031VX3</t>
  </si>
  <si>
    <t>D16, Khu Dân cư Miếu Nổi, , P.Gia Định, Hồ Chí Minh</t>
  </si>
  <si>
    <t>AF10031VX5</t>
  </si>
  <si>
    <t>277-279, Phan Xích Long, , P.Cầu Kiệu, Hồ Chí Minh</t>
  </si>
  <si>
    <t>AF10031VX6</t>
  </si>
  <si>
    <t>478, Huỳnh Văn Bánh, , P.Phú Nhuận, Hồ Chí Minh</t>
  </si>
  <si>
    <t>AF10031VXD</t>
  </si>
  <si>
    <t>127L, Lê Văn Duyệt, , P.Gia Định, Hồ Chí Minh</t>
  </si>
  <si>
    <t>AF10031VXC</t>
  </si>
  <si>
    <t>282, Ung Văn Khiêm, , P.Thạnh Mỹ Tây, Hồ Chí Minh</t>
  </si>
  <si>
    <t>AF10031VXI</t>
  </si>
  <si>
    <t>L3 0.03 tòa Landmart 3 720A, Điện Biên Phủ, , P.Thạnh Mỹ Tây, Hồ Chí Minh</t>
  </si>
  <si>
    <t>SG40491</t>
  </si>
  <si>
    <t>Chi Nhánh Tổng Công Ty Thương Mại Sài Gòn TNHH MTV - Trung Tâm Phân Phối Satra</t>
  </si>
  <si>
    <t>SG40491UGZ</t>
  </si>
  <si>
    <t>138, Vĩnh Viễn, , P.Vườn Lài, Hồ Chí Minh</t>
  </si>
  <si>
    <t>SG40491UH0</t>
  </si>
  <si>
    <t>132, Nguyễn Kim, , P.Diên Hồng, Hồ Chí Minh</t>
  </si>
  <si>
    <t>SG40491VWV</t>
  </si>
  <si>
    <t>CC21-HH3, Trường Sơn, , P.Hòa Hưng, Hồ Chí Minh</t>
  </si>
  <si>
    <t>SG40492</t>
  </si>
  <si>
    <t>SG40492QGN</t>
  </si>
  <si>
    <t>34, Hiệp Bình, KP.6, , P.Hiệp Bình, Hồ Chí Minh</t>
  </si>
  <si>
    <t>SG40492S0X</t>
  </si>
  <si>
    <t>123 KDC Vạn Phúc 1, kp5, Nguyễn Thị Nhung, , P.Hiệp Bình, Hồ Chí Minh</t>
  </si>
  <si>
    <t>SG40492S4G</t>
  </si>
  <si>
    <t>Căn 1.18, Tầng 1, Tòa Nhà Số S1.07, Thuộc Khu A, 512 Nguyễn Xiển, , P.Long Bình, Hồ Chí Minh</t>
  </si>
  <si>
    <t>SG40492SDM</t>
  </si>
  <si>
    <t>Căn 1.05 tầng 1, S7.03, Phước Thiện, , P.Long Bình, Hồ Chí Minh</t>
  </si>
  <si>
    <t>SG40492TBA</t>
  </si>
  <si>
    <t>Toà BS8, 88, Phước Thiện, , P.Long Bình, Hồ Chí Minh</t>
  </si>
  <si>
    <t>SG40492TBK</t>
  </si>
  <si>
    <t>Toà BS15, 88, Phước Thiện, , P.Long Bình, Hồ Chí Minh</t>
  </si>
  <si>
    <t>SG40492SA4</t>
  </si>
  <si>
    <t>Family</t>
  </si>
  <si>
    <t>S06.01, 88, Phước Thiện, , P.Long Bình, Hồ Chí Minh</t>
  </si>
  <si>
    <t>SG40492SAN</t>
  </si>
  <si>
    <t>Căn 1.20 tầng 1, tòa nhà số S10.03, Phước Thiện, , P.Long Bình, Hồ Chí Minh</t>
  </si>
  <si>
    <t>SG40492SNF</t>
  </si>
  <si>
    <t>151-153, Lê Văn Chí, , P.Linh Xuân, Hồ Chí Minh</t>
  </si>
  <si>
    <t>SG40492TB2</t>
  </si>
  <si>
    <t>Toà BS10, 88, Phước Thiện, , P.Long Bình, Hồ Chí Minh</t>
  </si>
  <si>
    <t>SG40492P3G</t>
  </si>
  <si>
    <t>362, Võ Văn Ngân, , P.Thủ Đức, Hồ Chí Minh</t>
  </si>
  <si>
    <t>SG40492SEN</t>
  </si>
  <si>
    <t>1, Bình Chiểu, , P.Tam Bình, Hồ Chí Minh</t>
  </si>
  <si>
    <t>AF10032</t>
  </si>
  <si>
    <t>Công ty TNHH Đầu Tư Thương Mại Anfood 2</t>
  </si>
  <si>
    <t>AF10032C3U</t>
  </si>
  <si>
    <t>AF10032PEH</t>
  </si>
  <si>
    <t>AF10032PKH</t>
  </si>
  <si>
    <t>A1-00.06 tòa nha Sarimi, Khu đô thị Sala, 10 Mai Chí Thọ, , P.An Khánh, Hồ Chí Minh</t>
  </si>
  <si>
    <t>AF10032PKI</t>
  </si>
  <si>
    <t>AF10032SE0</t>
  </si>
  <si>
    <t>AF10032SE1</t>
  </si>
  <si>
    <t>AF10032SE2</t>
  </si>
  <si>
    <t>AF10032SE4</t>
  </si>
  <si>
    <t>AF10032SE5</t>
  </si>
  <si>
    <t>AF10032SER</t>
  </si>
  <si>
    <t>AF10032SF1</t>
  </si>
  <si>
    <t>AF10032SF7</t>
  </si>
  <si>
    <t>AF10032SFR</t>
  </si>
  <si>
    <t>AF10032UJA</t>
  </si>
  <si>
    <t>AF10032UJN</t>
  </si>
  <si>
    <t>AF10032UKU</t>
  </si>
  <si>
    <t>AF10032RMC</t>
  </si>
  <si>
    <t>SA B2-00.04, 10 Mai Chí Thọ, , P.An Khánh, Hồ Chí Minh</t>
  </si>
  <si>
    <t>AF10032RNW</t>
  </si>
  <si>
    <t>5, Trần Bạch Đằng, , P.An Khánh, Hồ Chí Minh</t>
  </si>
  <si>
    <t>AF10032TT1</t>
  </si>
  <si>
    <t>AF10032P3O</t>
  </si>
  <si>
    <t>AF10032Q6L</t>
  </si>
  <si>
    <t>AF10032QA0</t>
  </si>
  <si>
    <t>AF10032QBJ</t>
  </si>
  <si>
    <t>AF10032RGO</t>
  </si>
  <si>
    <t>AF10032SE3</t>
  </si>
  <si>
    <t>AF10032SF4</t>
  </si>
  <si>
    <t>AF10032UKB</t>
  </si>
  <si>
    <t>AF10032RNR</t>
  </si>
  <si>
    <t>62, Hoàng Thế Thiện, , P.An Khánh, Hồ Chí Minh</t>
  </si>
  <si>
    <t>AF10032TNO</t>
  </si>
  <si>
    <t>AF10032U0B</t>
  </si>
  <si>
    <t>AF10032QA2</t>
  </si>
  <si>
    <t>AF10032D2R</t>
  </si>
  <si>
    <t>AF10032Q6H</t>
  </si>
  <si>
    <t>AF10032QGL</t>
  </si>
  <si>
    <t>AF10032SEO</t>
  </si>
  <si>
    <t>AF10032SEQ</t>
  </si>
  <si>
    <t>AF10032SFS</t>
  </si>
  <si>
    <t>AF10032TUY</t>
  </si>
  <si>
    <t>AF10032TYQ</t>
  </si>
  <si>
    <t>AF10032TMA</t>
  </si>
  <si>
    <t>142/7A, Xô Viết Nghệ Tỉnh, Phường Thạnh Mỹ Tây, Thành phố Hồ Chí Minh</t>
  </si>
  <si>
    <t>VT405050408</t>
  </si>
  <si>
    <t>188D, Phan Văn Trị, Phường Bình Thạnh, Thành phố Hồ Chí Minh</t>
  </si>
  <si>
    <t>VT405050409</t>
  </si>
  <si>
    <t>197A-199, Điện Biên Phủ, Phường Gia Định, Thành phố Hồ Chí Minh</t>
  </si>
  <si>
    <t>VT405050432</t>
  </si>
  <si>
    <t>27, Nguyễn Gia Trí  D2 CỦ, Phường Thạnh Mỹ Tây, Thành phố Hồ Chí Minh</t>
  </si>
  <si>
    <t>VT405050469</t>
  </si>
  <si>
    <t>315B, Bùi Hữu Nghĩa, Phường Gia Định, Thành phố Hồ Chí Minh</t>
  </si>
  <si>
    <t>VT405050494</t>
  </si>
  <si>
    <t>609, Xô Viết Nghệ Tĩnh, Phường Bình Thạnh, Thành phố Hồ Chí Minh</t>
  </si>
  <si>
    <t>VT405050530</t>
  </si>
  <si>
    <t>87, Trần Nguyên Đán, Phường Gia Định, Thành phố Hồ Chí Minh</t>
  </si>
  <si>
    <t>VT405050451</t>
  </si>
  <si>
    <t>L1-Sh.01b, Landmark 1, Phường Thạnh Mỹ Tây, Thành phố Hồ Chí Minh</t>
  </si>
  <si>
    <t>VT405050413</t>
  </si>
  <si>
    <t>NO.L3-SH01, VINHOMES CENTRAL PARK, Phường Thạnh Mỹ Tây, Thành phố Hồ Chí Minh</t>
  </si>
  <si>
    <t>VT405050433</t>
  </si>
  <si>
    <t>113, Nguyễn Gia Trí, Phường Thạnh Mỹ Tây, Thành phố Hồ Chí Minh</t>
  </si>
  <si>
    <t>VT405050406</t>
  </si>
  <si>
    <t>184A, Nguyễn Xí, Phường Thạnh Mỹ Tây, Thành phố Hồ Chí Minh</t>
  </si>
  <si>
    <t>VT405050430</t>
  </si>
  <si>
    <t>292, Điện Biên Phủ, Phường Gia Định, Thành phố Hồ Chí Minh</t>
  </si>
  <si>
    <t>VT405050410</t>
  </si>
  <si>
    <t>92, Nguyễn Hữu Cảnh, Phường Thạnh Mỹ Tây, Thành phố Hồ Chí Minh</t>
  </si>
  <si>
    <t>VT405050452</t>
  </si>
  <si>
    <t>1, Công Trường Tự Do, Phường Thạnh Mỹ Tây, Thành phố Hồ Chí Minh</t>
  </si>
  <si>
    <t>VT405050529</t>
  </si>
  <si>
    <t>14, Ung Văn Khiêm, Phường Thạnh Mỹ Tây, Thành phố Hồ Chí Minh</t>
  </si>
  <si>
    <t>VT405050407</t>
  </si>
  <si>
    <t>74, NGUYỄN VĂN THƯƠNG, Phường Thạnh Mỹ Tây, Thành phố Hồ Chí Minh</t>
  </si>
  <si>
    <t>VT405050412</t>
  </si>
  <si>
    <t>475, Điện Biên Phủ, Phường Thạnh Mỹ Tây, Thành phố Hồ Chí Minh</t>
  </si>
  <si>
    <t>VT405050411</t>
  </si>
  <si>
    <t>103, Trần Huy Liệu, Phường 12, Quận Phú Nhuận, Thành phố Hồ Chí Minh</t>
  </si>
  <si>
    <t>VT405050794</t>
  </si>
  <si>
    <t>103, Trương Định, Phường 6, Quận 3, Thành phố Hồ Chí Minh</t>
  </si>
  <si>
    <t>VT405050894</t>
  </si>
  <si>
    <t>116, Phổ Quang, Phường 9, Quận Phú Nhuận, Thành phố Hồ Chí Minh</t>
  </si>
  <si>
    <t>VT405050895</t>
  </si>
  <si>
    <t>135, Lê Văn Sỹ, Phường 13, Quận Phú Nhuận, Thành phố Hồ Chí Minh</t>
  </si>
  <si>
    <t>VT405050796</t>
  </si>
  <si>
    <t>139, Hai Bà Trưng, Phường 2, Quận 3, Thành phố Hồ Chí Minh</t>
  </si>
  <si>
    <t>VT405050860</t>
  </si>
  <si>
    <t>14, Nguyễn Văn Bảo, Phường 4, Quận Gò Vấp, Thành phố Hồ Chí Minh</t>
  </si>
  <si>
    <t>VT405050797</t>
  </si>
  <si>
    <t>17, Cao Thắng, Phường 2, Quận 3, Thành phố Hồ Chí Minh</t>
  </si>
  <si>
    <t>VT405050798</t>
  </si>
  <si>
    <t>178A, Nguyễn Chí Thanh, Phường 13, Quận 10, Thành phố Hồ Chí Minh</t>
  </si>
  <si>
    <t>VT405050799</t>
  </si>
  <si>
    <t>184, Lê Đức Thọ, Phường 17, Quận Gò Vấp, Thành phố Hồ Chí Minh</t>
  </si>
  <si>
    <t>VT405050770</t>
  </si>
  <si>
    <t>188, Nguyễn Thị Minh Khai, Phường Võ Thị Sáu, Quận 3, Thành phố Hồ Chí Minh</t>
  </si>
  <si>
    <t>VT405050896</t>
  </si>
  <si>
    <t>22, Phan Xích Long, Phường 3, Quận Phú Nhuận, Thành phố Hồ Chí Minh</t>
  </si>
  <si>
    <t>VT405050801</t>
  </si>
  <si>
    <t>220, Nguyễn Trọng Tuyển, Phường 8, Quận Phú Nhuận, Thành phố Hồ Chí Minh</t>
  </si>
  <si>
    <t>VT405050897</t>
  </si>
  <si>
    <t>223, Đặng Văn Bi, Phường Trường Thọ, Quận Thủ Đức, TP. Hồ Chí Minh</t>
  </si>
  <si>
    <t>VT405051164</t>
  </si>
  <si>
    <t>285/94, CMT8, Phường 15, Quận 10, Thành phố Hồ Chí Minh</t>
  </si>
  <si>
    <t>VT405050771</t>
  </si>
  <si>
    <t>295, Đỗ Xuân Hợp, Phường Phước Long A, Quận 9, TP. Hồ Chí Minh</t>
  </si>
  <si>
    <t>VT405051131</t>
  </si>
  <si>
    <t>2H, Trần Nhân Tôn, Phường 2, Quận 10, Thành phố Hồ Chí Minh</t>
  </si>
  <si>
    <t>VT405050830</t>
  </si>
  <si>
    <t>306, Cao Thắng, Phường 12, Quận 10, Thành phố Hồ Chí Minh</t>
  </si>
  <si>
    <t>VT405050861</t>
  </si>
  <si>
    <t>31, Bà Huyện Thanh Quan, Phường 6, Quận 3, Thành phố Hồ Chí Minh</t>
  </si>
  <si>
    <t>VT405050804</t>
  </si>
  <si>
    <t>364, Võ Văn Ngân, Phường Bình Thọ, Quận Thủ Đức, TP. Hồ Chí Minh</t>
  </si>
  <si>
    <t>VT405051165</t>
  </si>
  <si>
    <t>374, Lê Văn Sỹ, Phường 14, Quận 3, Thành phố Hồ Chí Minh</t>
  </si>
  <si>
    <t>VT405050806</t>
  </si>
  <si>
    <t>416, Phan Huy Ích, Phường 12, Quận Gò Vấp, Thành phố Hồ Chí Minh</t>
  </si>
  <si>
    <t>VT405050807</t>
  </si>
  <si>
    <t>43, Phạm Ngọc Thạch, Phường 6, Quận 3, Thành phố Hồ Chí Minh</t>
  </si>
  <si>
    <t>VT405051008</t>
  </si>
  <si>
    <t>44, Huỳnh Văn Bánh, Phường 15, Quận Phú Nhuận, Thành phố Hồ Chí Minh</t>
  </si>
  <si>
    <t>VT405050773</t>
  </si>
  <si>
    <t>449, Lê Văn Việt, Phường Tăng Nhơn Phú A, Quận 9, TP. Hồ Chí Minh</t>
  </si>
  <si>
    <t>VT405051132</t>
  </si>
  <si>
    <t>45, Cao Thắng, Phường 6, Quận 3, Thành phố Hồ Chí Minh</t>
  </si>
  <si>
    <t>VT405050900</t>
  </si>
  <si>
    <t>469, Thống Nhất, Phường 16, Quận Gò Vấp, Thành phố Hồ Chí Minh</t>
  </si>
  <si>
    <t>VT405050831</t>
  </si>
  <si>
    <t>49, Nguyễn Văn Bảo, Phường 7, Quận Gò Vấp, Thành phố Hồ Chí Minh</t>
  </si>
  <si>
    <t>VT405050832</t>
  </si>
  <si>
    <t>525, Tô Hiến Thành, Phường 14, Quận 10, Thành phố Hồ Chí Minh</t>
  </si>
  <si>
    <t>VT405050808</t>
  </si>
  <si>
    <t>62, Man Thiện, Phường Hiệp Phú, Quận 9, TP. Hồ Chí Minh</t>
  </si>
  <si>
    <t>VT405051147</t>
  </si>
  <si>
    <t>62, Phạm Ngọc Thạch, Phường Võ Thị Sáu, Quận 3, Thành phố Hồ Chí Minh</t>
  </si>
  <si>
    <t>VT405050811</t>
  </si>
  <si>
    <t>67, Lê Đức Thọ, Phường 7, Quận Gò Vấp, Thành phố Hồ Chí Minh</t>
  </si>
  <si>
    <t>VT405050812</t>
  </si>
  <si>
    <t>Số 1, Đường số 1, Khu dân cư Cityland, Phường 5, Quận Gò Vấp, Thành phố Hồ Chí Minh</t>
  </si>
  <si>
    <t>VT405050813</t>
  </si>
  <si>
    <t>Toà BS7, 88, Phước Thiện, Phường Long Bình, TP. Hồ Chí Minh</t>
  </si>
  <si>
    <t>VT405051148</t>
  </si>
  <si>
    <t>Toà S7.01 Công viên Phước Thiện số 88, Phước Thiện, Phường Long Bình, TP. Hồ Chí Minh</t>
  </si>
  <si>
    <t>VT405051149</t>
  </si>
  <si>
    <t>190, Lê Văn Thọ, Phường 11, Quận Gò Vấp, Thành phố Hồ Chí Minh</t>
  </si>
  <si>
    <t>VT405050800</t>
  </si>
  <si>
    <t>240, Hoàng Diệu 2, Phường Linh Chiểu, Quận Thủ Đức, TP. Hồ Chí Minh</t>
  </si>
  <si>
    <t>VT405051130</t>
  </si>
  <si>
    <t>27, Phạm Văn Chiêu, Phường 14, Quận Gò Vấp, Thành phố Hồ Chí Minh</t>
  </si>
  <si>
    <t>VT405050827</t>
  </si>
  <si>
    <t>297, Nguyễn Duy Dương, Phường 4, Quận 10, Thành phố Hồ Chí Minh</t>
  </si>
  <si>
    <t>VT405050829</t>
  </si>
  <si>
    <t>311, Nguyễn Tri Phương, Phường 5, Quận 10, Thành phố Hồ Chí Minh</t>
  </si>
  <si>
    <t>VT405050898</t>
  </si>
  <si>
    <t>386-388, Dương Quảng Hàm, Phường 5, Quận Gò Vấp, Thành phố Hồ Chí Minh</t>
  </si>
  <si>
    <t>VT405050772</t>
  </si>
  <si>
    <t>45, Thống Nhất, Phường Thủ Đức, TP. Hồ Chí Minh</t>
  </si>
  <si>
    <t>VT405051146</t>
  </si>
  <si>
    <t>529, Sư Vạn Hạnh, Phường 12, Quận 10, Thành phố Hồ Chí Minh</t>
  </si>
  <si>
    <t>VT405050809</t>
  </si>
  <si>
    <t>586, Quang Trung, Phường 11, Quận Gò Vấp, Thành phố Hồ Chí Minh</t>
  </si>
  <si>
    <t>VT405050833</t>
  </si>
  <si>
    <t>70, Đồng Nai, Phường 15, Quận 10, Thành phố Hồ Chí Minh</t>
  </si>
  <si>
    <t>VT405050834</t>
  </si>
  <si>
    <t>704, Sư Vạn Hạnh, Phường 12, Quận 10, Thành phố Hồ Chí Minh</t>
  </si>
  <si>
    <t>VT405050774</t>
  </si>
  <si>
    <t>B1-15, Tăng Nhơn Phú, Phường Phước Long B, Quận 9, TP. Hồ Chí Minh</t>
  </si>
  <si>
    <t>VT405051133</t>
  </si>
  <si>
    <t>Toà S6.03 số 88, Phước Thiện, Phường Long Bình, TP. Hồ Chí Minh</t>
  </si>
  <si>
    <t>VT405051135</t>
  </si>
  <si>
    <t>128, Lê Đức Thọ, Phường 6, Quận Gò Vấp, Thành phố Hồ Chí Minh</t>
  </si>
  <si>
    <t>VT405050795</t>
  </si>
  <si>
    <t>309, Nguyễn Văn Khối, Phường 8, Quận Gò Vấp, Thành phố Hồ Chí Minh</t>
  </si>
  <si>
    <t>VT405050803</t>
  </si>
  <si>
    <t>58-60, Hoa Cúc, Phường 7, Quận Phú Nhuận, Thành phố Hồ Chí Minh</t>
  </si>
  <si>
    <t>VT405050901</t>
  </si>
  <si>
    <t>619, Lê Đức Thọ, Phường 16, Quận Gò Vấp, Thành phố Hồ Chí Minh</t>
  </si>
  <si>
    <t>VT405050810</t>
  </si>
  <si>
    <t>268, Lý Thường Kiệt, Phường 14, Quận 10, Thành phố Hồ Chí Minh</t>
  </si>
  <si>
    <t>VT405050826</t>
  </si>
  <si>
    <t>271, Lê Văn Thọ, Phường 9, Quận Gò Vấp, Thành phố Hồ Chí Minh</t>
  </si>
  <si>
    <t>VT405050828</t>
  </si>
  <si>
    <t>371, Nguyễn Kiệm, Phường 3, Quận Gò Vấp, Thành phố Hồ Chí Minh</t>
  </si>
  <si>
    <t>VT405050805</t>
  </si>
  <si>
    <t>Tòa BS11 số 88, Phước Thiện, Phường Long Bình, TP. Hồ Chí Minh</t>
  </si>
  <si>
    <t>VT405051134</t>
  </si>
  <si>
    <t>Toà S9.01 số 88, Phước Thiện, Phường Long Bình, TP. Hồ Chí Minh</t>
  </si>
  <si>
    <t>VT405051167</t>
  </si>
  <si>
    <t>12, Phạm Văn Nghị, P.Tân Hưng, TP.Hồ Chí Minh</t>
  </si>
  <si>
    <t>VT405051604</t>
  </si>
  <si>
    <t>12, Tân Trào, P.Tân Mỹ, TP.Hồ Chí Minh</t>
  </si>
  <si>
    <t>VT405051475</t>
  </si>
  <si>
    <t>13, Tôn Đản, P.Xóm Chiếu, TP.Hồ Chí Minh</t>
  </si>
  <si>
    <t>VT405051478</t>
  </si>
  <si>
    <t>139, Nguyễn Đức Cảnh, P.Tân Hưng, TP.Hồ Chí Minh</t>
  </si>
  <si>
    <t>VT405051605</t>
  </si>
  <si>
    <t>144, Lê Trọng Tấn, P.Tây Thạnh, TP.Hồ Chí Minh</t>
  </si>
  <si>
    <t>VT405051481</t>
  </si>
  <si>
    <t>162, Nguyễn Công Trứ, P.Bến Thành, TP.Hồ Chí Minh</t>
  </si>
  <si>
    <t>VT405051487</t>
  </si>
  <si>
    <t>167, Phạm Hữu Lầu, P.Tân Mỹ, TP.Hồ Chí Minh</t>
  </si>
  <si>
    <t>VT405051490</t>
  </si>
  <si>
    <t>02, Nguyễn Khắc Viện, P.Tân Mỹ, TP.Hồ Chí Minh</t>
  </si>
  <si>
    <t>VT405051569</t>
  </si>
  <si>
    <t>171B, Hoàng Hoa Thám, P.Tân Bình, TP.Hồ Chí Minh</t>
  </si>
  <si>
    <t>VT405051574</t>
  </si>
  <si>
    <t>17K-17H, Dương Đình Nghệ, P.Bình Thới, TP.Hồ Chí Minh</t>
  </si>
  <si>
    <t>VT405051492</t>
  </si>
  <si>
    <t>11, Nguyễn Văn Tráng, P.Bến Thành, TP.Hồ Chí Minh</t>
  </si>
  <si>
    <t>VT405051474</t>
  </si>
  <si>
    <t>16, Ấp Bắc, P.Tân Bình, TP.Hồ Chí Minh</t>
  </si>
  <si>
    <t>VT405051485</t>
  </si>
  <si>
    <t>21, Thạch Lam, P.Phú Thạnh, TP.Hồ Chí Minh</t>
  </si>
  <si>
    <t>VT405051576</t>
  </si>
  <si>
    <t>22, Nguyễn Trường Tộ, P.12, Q.4, TP.Hồ Chí Minh</t>
  </si>
  <si>
    <t>VT405051497</t>
  </si>
  <si>
    <t>26, Nguyễn Thái Bình, P.Tân Sơn Nhất, TP.Hồ Chí Minh</t>
  </si>
  <si>
    <t>VT405051499</t>
  </si>
  <si>
    <t>160, Bùi Thị Xuân, P.Bến Thành, TP.Hồ Chí Minh</t>
  </si>
  <si>
    <t>VT405051486</t>
  </si>
  <si>
    <t>165 -167, Lê Thánh Tôn, P.Bến Thành, TP.Hồ Chí Minh</t>
  </si>
  <si>
    <t>VT405051488</t>
  </si>
  <si>
    <t>106, Hoàng Diệu, P.Vĩnh Hội, TP.Hồ Chí Minh</t>
  </si>
  <si>
    <t>VT405051473</t>
  </si>
  <si>
    <t>126, Đường 15, P.Tân Hưng, TP.Hồ Chí Minh</t>
  </si>
  <si>
    <t>VT405051476</t>
  </si>
  <si>
    <t>29, Trịnh Đình Thảo, P.Phú Thạnh, TP.Hồ Chí Minh</t>
  </si>
  <si>
    <t>VT405051802</t>
  </si>
  <si>
    <t>295, Dương Bá Trạc, P.1, Q.8, TP.Hồ Chí Minh</t>
  </si>
  <si>
    <t>VT405051502</t>
  </si>
  <si>
    <t>193, Đường số 01, P.An Lạc, TP.Hồ Chí Minh</t>
  </si>
  <si>
    <t>VT405051495</t>
  </si>
  <si>
    <t>319/14D, Lý Thường Kiệt, P.Phú Thọ, TP.Hồ Chí Minh</t>
  </si>
  <si>
    <t>VT405051503</t>
  </si>
  <si>
    <t>160, Đường Số 19, P.Bình Trị Đông, TP.Hồ Chí Minh</t>
  </si>
  <si>
    <t>VT405051606</t>
  </si>
  <si>
    <t>32A - 32B, Bùi Thị Xuân, P.Bến Thành, TP.Hồ Chí Minh</t>
  </si>
  <si>
    <t>VT405051505</t>
  </si>
  <si>
    <t>36-38, Trần Thái Tông, P.Tân Sơn, TP.Hồ Chí Minh</t>
  </si>
  <si>
    <t>VT405051507</t>
  </si>
  <si>
    <t>271, Phạm Ngũ Lão, P.Bến Thành, TP.Hồ Chí Minh</t>
  </si>
  <si>
    <t>VT405051500</t>
  </si>
  <si>
    <t>18, Lê Lai, P.Bến Thành, TP.Hồ Chí Minh</t>
  </si>
  <si>
    <t>VT405051494</t>
  </si>
  <si>
    <t>402, Hà Huy Tập, P.Tân Hưng, TP.Hồ Chí Minh</t>
  </si>
  <si>
    <t>VT405051803</t>
  </si>
  <si>
    <t>42, Lê Trung Nghĩa, P.Bảy Hiền, TP.Hồ Chí Minh</t>
  </si>
  <si>
    <t>VT405051512</t>
  </si>
  <si>
    <t>290C, An Dương Vương, P.Chợ Quán, TP.Hồ Chí Minh</t>
  </si>
  <si>
    <t>VT405051697</t>
  </si>
  <si>
    <t>180, Nguyễn Hồng Đào, P.Tân Bình, TP.Hồ Chí Minh</t>
  </si>
  <si>
    <t>VT405051801</t>
  </si>
  <si>
    <t>2, Trần Khắc Chân, P.Tân Định, TP.Hồ Chí Minh</t>
  </si>
  <si>
    <t>VT405051575</t>
  </si>
  <si>
    <t>485, Huỳnh Tấn Phát, P.Tân Thuận, TP.Hồ Chí Minh</t>
  </si>
  <si>
    <t>VT405051517</t>
  </si>
  <si>
    <t>50, Nhất Chi Mai, P.Tân Bình, TP.Hồ Chí Minh</t>
  </si>
  <si>
    <t>VT405051518</t>
  </si>
  <si>
    <t>02, Đường Nội Khu Hưng Gia IV, P.Tân Hưng, TP.Hồ Chí Minh</t>
  </si>
  <si>
    <t>VT405051470</t>
  </si>
  <si>
    <t>04, Phổ Quang, P.Tân Sơn Hòa, TP.Hồ Chí Minh</t>
  </si>
  <si>
    <t>VT405051471</t>
  </si>
  <si>
    <t>54, Tôn Thất Thiệp, P.Sài Gòn, TP.Hồ Chí Minh</t>
  </si>
  <si>
    <t>VT405051840</t>
  </si>
  <si>
    <t>59, Đông Du, P.Sài Gòn, TP.Hồ Chí Minh</t>
  </si>
  <si>
    <t>VT405051915</t>
  </si>
  <si>
    <t>60, Lâm Văn Bền, P.Tân Hưng, TP.Hồ Chí Minh</t>
  </si>
  <si>
    <t>VT405051523</t>
  </si>
  <si>
    <t>66C, Hoàng Diệu 2, Phường Linh Chiểu, Quận Thủ Đức, TP. Hồ Chí Minh</t>
  </si>
  <si>
    <t>VT405051204</t>
  </si>
  <si>
    <t>264, Độc Lập, P.Phú Thọ Hòa, TP.Hồ Chí Minh</t>
  </si>
  <si>
    <t>VT405051577</t>
  </si>
  <si>
    <t>69, Nguyễn Khắc Nhu, P.Cầu Ông Lãnh, TP.Hồ Chí Minh</t>
  </si>
  <si>
    <t>VT405051526</t>
  </si>
  <si>
    <t>41, Yên Thế, P.Tân Sơn Hòa, TP.Hồ Chí Minh</t>
  </si>
  <si>
    <t>VT405051511</t>
  </si>
  <si>
    <t>15 Bùi Bằng Đoàn, R16 2 Hưng Vượng 3, P.Tân Hưng, TP.Hồ Chí Minh</t>
  </si>
  <si>
    <t>VT405051483</t>
  </si>
  <si>
    <t>150, Nguyễn Thị Nhỏ, P.Phú Thọ, TP.Hồ Chí Minh</t>
  </si>
  <si>
    <t>VT405051837</t>
  </si>
  <si>
    <t>78-80, Đồng Đen, P.Tân Bình, TP.Hồ Chí Minh</t>
  </si>
  <si>
    <t>VT405051530</t>
  </si>
  <si>
    <t>82, Nguyễn Huệ, P.Sài Gòn, TP.Hồ Chí Minh</t>
  </si>
  <si>
    <t>VT405051532</t>
  </si>
  <si>
    <t>27Bis, Tôn Thất Tùng, P.Bến Thành, TP.Hồ Chí Minh</t>
  </si>
  <si>
    <t>VT405051608</t>
  </si>
  <si>
    <t>9, Nguyễn Kim, P.Chợ Lớn, TP.Hồ Chí Minh</t>
  </si>
  <si>
    <t>VT405051533</t>
  </si>
  <si>
    <t>36, Hai Bà Trưng, P.Sài Gòn, TP.Hồ Chí Minh</t>
  </si>
  <si>
    <t>VT405051609</t>
  </si>
  <si>
    <t>42, Lê Lợi, P.Sài Gòn, TP.Hồ Chí Minh</t>
  </si>
  <si>
    <t>VT405051804</t>
  </si>
  <si>
    <t>Căn Số A1-00.04 Tháp A1, Khu Chung Cư Phức Hợp Lô M1 74, Nguyễn Cơ Thạch, P.An Lợi Đông, Q.2, TP.Hồ Chí Minh</t>
  </si>
  <si>
    <t>VT405051540</t>
  </si>
  <si>
    <t>45, Tân Mỹ, P.Tân Mỹ, TP.Hồ Chí Minh</t>
  </si>
  <si>
    <t>VT405051514</t>
  </si>
  <si>
    <t>RC2 Cresse -107 Tôn Dật Tiên, Phú Mỹ Hưng, P.Tân Mỹ, TP.Hồ Chí Minh</t>
  </si>
  <si>
    <t>VT405051542</t>
  </si>
  <si>
    <t>S34_2, Sky Garden 3, P.Tân Hưng, TP.Hồ Chí Minh</t>
  </si>
  <si>
    <t>VT405051545</t>
  </si>
  <si>
    <t>Số A24, Đường số D4, P.Tân Hưng, TP.Hồ Chí Minh</t>
  </si>
  <si>
    <t>VT405051547</t>
  </si>
  <si>
    <t>Tầng trệt số 210 - 212, Cao Lỗ, P.Chánh Hưng, TP.Hồ Chí Minh</t>
  </si>
  <si>
    <t>VT405051549</t>
  </si>
  <si>
    <t>225A, Hoàng Hoa Thám, P.Tân Bình, TP.Hồ Chí Minh</t>
  </si>
  <si>
    <t>VT405051607</t>
  </si>
  <si>
    <t>Tầng trệt và lầu 1 AK9-000.05 thuộc Khu công trình hỗn hợp lô F-Akari Hoàng Nam, số 73/5 Võ Văn Kiệt, P.An Lạc, TP.Hồ Chí Minh</t>
  </si>
  <si>
    <t>VT405051551</t>
  </si>
  <si>
    <t>The Krista, 537, Nguyễn Duy Trinh, P.Bình Trưng Đông, Q.2, TP.Hồ Chí Minh</t>
  </si>
  <si>
    <t>VT405051586</t>
  </si>
  <si>
    <t>58, Phạm Văn Nghị, P.Tân Hưng, TP.Hồ Chí Minh</t>
  </si>
  <si>
    <t>VT405051521</t>
  </si>
  <si>
    <t>6, Quách Văn Tuấn, P.Bảy Hiền, TP.Hồ Chí Minh</t>
  </si>
  <si>
    <t>VT405051610</t>
  </si>
  <si>
    <t>273, Trần Bình Trọng, P.Chợ Quán, TP.Hồ Chí Minh</t>
  </si>
  <si>
    <t>VT405051501</t>
  </si>
  <si>
    <t>58, Lữ Gia, P.Phú Thọ, TP.Hồ Chí Minh</t>
  </si>
  <si>
    <t>VT405051520</t>
  </si>
  <si>
    <t>621, Nguyễn Thị Thập, P.Tân Hưng, TP.Hồ Chí Minh</t>
  </si>
  <si>
    <t>VT405051611</t>
  </si>
  <si>
    <t>5A, Chợ Lớn, P.Bình Phú, TP.Hồ Chí Minh</t>
  </si>
  <si>
    <t>VT405052097</t>
  </si>
  <si>
    <t>37, Đường số 9A, X.Bình Hưng, TP.Hồ Chí Minh</t>
  </si>
  <si>
    <t>VT405051508</t>
  </si>
  <si>
    <t>633, Tỉnh Lộ 10, P.Bình Trị Đông, TP.Hồ Chí Minh</t>
  </si>
  <si>
    <t>VT405051612</t>
  </si>
  <si>
    <t>6, Thảo Điền, P.Thảo Điền, Q.2, TP.Hồ Chí Minh</t>
  </si>
  <si>
    <t>VT405051522</t>
  </si>
  <si>
    <t>74, đường số 1, P.An Lạc, TP.Hồ Chí Minh</t>
  </si>
  <si>
    <t>VT405051529</t>
  </si>
  <si>
    <t>7A, Thoại Ngọc Hầu, P.Tân Phú, TP.Hồ Chí Minh</t>
  </si>
  <si>
    <t>VT405051580</t>
  </si>
  <si>
    <t>A1.09 Sunrise City View - Khu Phức Hợp Căn Hộ Nhật Hoa, 33 Nguyễn Hữu Thọ, P.Tân Hưng, TP.Hồ Chí Minh</t>
  </si>
  <si>
    <t>VT405051581</t>
  </si>
  <si>
    <t>65C, Nguyễn Thái Học, P.Cầu Ông Lãnh, TP.Hồ Chí Minh</t>
  </si>
  <si>
    <t>VT405051524</t>
  </si>
  <si>
    <t>15 Lô L - 17 Lô L, Đường số 03 Khu Dân cư Phú Mỹ, P.Tân Mỹ, TP.Hồ Chí Minh</t>
  </si>
  <si>
    <t>VT405051695</t>
  </si>
  <si>
    <t>A67, Nguyễn Trãi, P.Cầu Ông Lãnh, TP.Hồ Chí Minh</t>
  </si>
  <si>
    <t>VT405051537</t>
  </si>
  <si>
    <t>Cao ốc Chung Cư SaiGon Mia, đường số 9A, Khu dân cư Trung Sơn, X.Bình Hưng, TP.Hồ Chí Minh</t>
  </si>
  <si>
    <t>VT405051614</t>
  </si>
  <si>
    <t>42, Đường C, P.Tân Mỹ, TP.Hồ Chí Minh</t>
  </si>
  <si>
    <t>VT405051839</t>
  </si>
  <si>
    <t>Khu vực C2 - Tầng Trệt - Khu vực Thương mại Nhà để xe Ga quốc nội - Cảng Hàng không Quốc tế Tân Sơn Nhất, số 45 Trường Sơn, P.2, Q.Tân Bình, TP.Hồ Chí Minh</t>
  </si>
  <si>
    <t>VT405051584</t>
  </si>
  <si>
    <t>A3 - 01 - 01 ERA TOWN Residence, Phạm Hữu Lầu, P.Tân Mỹ, TP.Hồ Chí Minh</t>
  </si>
  <si>
    <t>VT405051583</t>
  </si>
  <si>
    <t>45, Lý Tự Trọng, P.Sài Gòn, TP.Hồ Chí Minh</t>
  </si>
  <si>
    <t>VT405051579</t>
  </si>
  <si>
    <t>47, Nguyễn Huệ, P.Sài Gòn, TP.Hồ Chí Minh</t>
  </si>
  <si>
    <t>VT405051515</t>
  </si>
  <si>
    <t>474, Trần Thị Năm, P.Trung Mỹ Tây, TP.Hồ Chí Minh</t>
  </si>
  <si>
    <t>VT405051516</t>
  </si>
  <si>
    <t>Bến Xe Miền Tây, cổng số 2, 395, Kinh Dương Vương, P.An Lạc, TP.Hồ Chí Minh</t>
  </si>
  <si>
    <t>VT405051539</t>
  </si>
  <si>
    <t>Phần tầng trệt số 226, Lý Tự Trọng, P.Bến Thành, TP.Hồ Chí Minh</t>
  </si>
  <si>
    <t>VT405051616</t>
  </si>
  <si>
    <t>259, đường số 07, P.Bình Trị Đông, TP.Hồ Chí Minh</t>
  </si>
  <si>
    <t>VT405051696</t>
  </si>
  <si>
    <t>304, Vườn Lài, P.Phú Thọ Hòa, TP.Hồ Chí Minh</t>
  </si>
  <si>
    <t>VT405051578</t>
  </si>
  <si>
    <t>69, Hồ Tùng Mậu, P.Sài Gòn, TP.Hồ Chí Minh</t>
  </si>
  <si>
    <t>VT405051525</t>
  </si>
  <si>
    <t>69B, Phạm Văn Hai, P.Tân Sơn Hòa, TP.Hồ Chí Minh</t>
  </si>
  <si>
    <t>VT405051527</t>
  </si>
  <si>
    <t>12, Đông Du, P.Sài Gòn, TP.Hồ Chí Minh</t>
  </si>
  <si>
    <t>VT405051800</t>
  </si>
  <si>
    <t>129F/95i, Bến Vân Đồn, P.Khánh Hội, TP.Hồ Chí Minh</t>
  </si>
  <si>
    <t>VT405051477</t>
  </si>
  <si>
    <t>131, Trần Đình Xu, P.Cầu Ông Lãnh, TP.Hồ Chí Minh</t>
  </si>
  <si>
    <t>VT405051479</t>
  </si>
  <si>
    <t>809-811, Tạ Quang Bửu, P.Chánh Hưng, TP.Hồ Chí Minh</t>
  </si>
  <si>
    <t>VT405051613</t>
  </si>
  <si>
    <t>92, Hậu Giang, P.5, Q.6, TP.Hồ Chí Minh</t>
  </si>
  <si>
    <t>VT405051534</t>
  </si>
  <si>
    <t>44, Nguyễn Huệ, Lý Tự Trọng, P.Sài Gòn, TP.Hồ Chí Minh</t>
  </si>
  <si>
    <t>VT405051513</t>
  </si>
  <si>
    <t>RS3-SH06 và RS3-SH07 Chung cư Richstar Residence Novaland Số 239-241 và 278, Hòa Bình, P.Phú Thạnh, TP.Hồ Chí Minh</t>
  </si>
  <si>
    <t>VT405051543</t>
  </si>
  <si>
    <t>S1.11, BS10, Vinhome Grand Park, P.Long Thạnh Mỹ, TP.Thủ Đức</t>
  </si>
  <si>
    <t>VT405051544</t>
  </si>
  <si>
    <t>144-146, Lâm Văn Bền, P.Tân Hưng, TP.Hồ Chí Minh</t>
  </si>
  <si>
    <t>VT405051572</t>
  </si>
  <si>
    <t>15, Đỗ Quang Đẩu, P.Bến Thành, TP.Hồ Chí Minh</t>
  </si>
  <si>
    <t>VT405051484</t>
  </si>
  <si>
    <t>4-6, đường số 10 Cư Xá Ra Đa, P.Phú Lâm, TP.Hồ Chí Minh</t>
  </si>
  <si>
    <t>VT405051698</t>
  </si>
  <si>
    <t>50, Bùi Viện, P.Bến Thành, TP.Hồ Chí Minh</t>
  </si>
  <si>
    <t>VT405052051</t>
  </si>
  <si>
    <t>Số 199-201, Đường Số 17, P.Tân Hưng, TP.Hồ Chí Minh</t>
  </si>
  <si>
    <t>VT405051546</t>
  </si>
  <si>
    <t>Số C0.02, Phạm Thái Bường - Nguyễn Bình, Kp Mỹ Phước H6-1, P.Tân Hưng, TP.Hồ Chí Minh</t>
  </si>
  <si>
    <t>VT405051585</t>
  </si>
  <si>
    <t>Số SAV.3-00.27 Tòa Nhà The Sun Avenue, Tầng trệt, Tháp S3,28, Mai Chí Thọ, P.An Phú, Q.2, TP.Hồ Chí Minh</t>
  </si>
  <si>
    <t>VT405051548</t>
  </si>
  <si>
    <t>Toà S10.02 số 88, Phước Thiện, Phường Long Bình, TP. Hồ Chí Minh</t>
  </si>
  <si>
    <t>VT405051205</t>
  </si>
  <si>
    <t>92B, Hòa Bình, P.Phú Thọ, TP.Hồ Chí Minh</t>
  </si>
  <si>
    <t>VT405051535</t>
  </si>
  <si>
    <t>37C, Thuận Kiều, P.Chợ Lớn, TP.Hồ Chí Minh</t>
  </si>
  <si>
    <t>VT405051509</t>
  </si>
  <si>
    <t>Tầng 1, Tòa Nhà 08 Của Khuôn Viên Nam Sài Gòn - Số 702 Nguyễn Văn Linh, P.Tân Hưng, TP.Hồ Chí Minh</t>
  </si>
  <si>
    <t>VT405051917</t>
  </si>
  <si>
    <t>42, Đường Phạm Nhữ Tăng, P.Chánh Hưng, TP.Hồ Chí Minh</t>
  </si>
  <si>
    <t>VT405051912</t>
  </si>
  <si>
    <t>73-75, Trần Trọng Cung, P.Tân Thuận, TP.Hồ Chí Minh</t>
  </si>
  <si>
    <t>VT405051528</t>
  </si>
  <si>
    <t>944, Lê Văn Lương, X.Nhà Bè, TP.Hồ Chí Minh</t>
  </si>
  <si>
    <t>VT405051536</t>
  </si>
  <si>
    <t>Tầng trệt số 264-266, Âu Dương Lân, P.3, Q.8, TP.Hồ Chí Minh</t>
  </si>
  <si>
    <t>VT405051550</t>
  </si>
  <si>
    <t>1, Bùi Viện, P.Bến Thành, TP.Hồ Chí Minh</t>
  </si>
  <si>
    <t>VT405051472</t>
  </si>
  <si>
    <t>139 – 141, Âu Dương Lân, P.Chánh Hưng, TP.Hồ Chí Minh</t>
  </si>
  <si>
    <t>VT405051480</t>
  </si>
  <si>
    <t>144/5, Nguyễn Ảnh Thủ, X.Bà Điểm, TP.Hồ Chí Minh</t>
  </si>
  <si>
    <t>VT405051482</t>
  </si>
  <si>
    <t>15C, Nguyễn Thị Minh Khai, P.Sài Gòn, TP.Hồ Chí Minh</t>
  </si>
  <si>
    <t>VT405051573</t>
  </si>
  <si>
    <t>172, Nguyễn Thị Tần, P.Chánh Hưng, TP.Hồ Chí Minh</t>
  </si>
  <si>
    <t>VT405051491</t>
  </si>
  <si>
    <t>18, Bình Phú, P.Bình Phú, TP.Hồ Chí Minh</t>
  </si>
  <si>
    <t>VT405051493</t>
  </si>
  <si>
    <t>21, Nguyễn Văn Tráng, P.Sài Gòn, TP.Hồ Chí Minh</t>
  </si>
  <si>
    <t>VT405051496</t>
  </si>
  <si>
    <t>257A, Nguyễn Trãi, P.Cầu Ông Lãnh, TP.Hồ Chí Minh</t>
  </si>
  <si>
    <t>VT405051498</t>
  </si>
  <si>
    <t>277, Âu Dương Lân, P.2, Q.8, TP.Hồ Chí Minh</t>
  </si>
  <si>
    <t>VT405051911</t>
  </si>
  <si>
    <t>353A, Tân Sơn Nhì, P.Tân Sơn Nhì, TP.Hồ Chí Minh</t>
  </si>
  <si>
    <t>VT405051506</t>
  </si>
  <si>
    <t>459/8A, Nguyễn Thị Thập, P.Tân Hưng, TP.Hồ Chí Minh</t>
  </si>
  <si>
    <t>VT405051913</t>
  </si>
  <si>
    <t>55, Đường S11, P.Tây Thạnh, TP.Hồ Chí Minh</t>
  </si>
  <si>
    <t>VT405051699</t>
  </si>
  <si>
    <t>57, Nguyễn Du, P.Sài Gòn, TP.Hồ Chí Minh</t>
  </si>
  <si>
    <t>VT405051519</t>
  </si>
  <si>
    <t>81, Trần Bình Trọng, P.Chợ Quán, TP.Hồ Chí Minh</t>
  </si>
  <si>
    <t>VT405051531</t>
  </si>
  <si>
    <t>A10/7, Quốc lộ 50, X.Bình Hưng, TP.Hồ Chí Minh</t>
  </si>
  <si>
    <t>VT405051582</t>
  </si>
  <si>
    <t>B1.04 - Chung Cư Bộ Công An, 83 đường số 3, P.Bình An, TP.Thủ Đức, TP.Hồ Chí Minh</t>
  </si>
  <si>
    <t>VT405051538</t>
  </si>
  <si>
    <t>Căn Thương Mại Dịch Vụ Số 34 Tại Lầu 0, Tầng Thương Mại Dịch Vụ: 02 Tầng Thuộc Dự Án Lumiere Riverside, 275 Võ Nguyên Giáp, P.An Phú, Q.2, TP.Hồ Chí Minh</t>
  </si>
  <si>
    <t>VT405051541</t>
  </si>
  <si>
    <t>Số 119, đường Trần Não, P.An Khánh, TP.Thủ Đức, TP.Hồ Chí Minh</t>
  </si>
  <si>
    <t>VT405051617</t>
  </si>
  <si>
    <t>135, Nguyễn Cửu Đàm, P.Tân Sơn Nhì, TP.Hồ Chí Minh</t>
  </si>
  <si>
    <t>VT405051571</t>
  </si>
  <si>
    <t>273, Lê Thánh Tôn, P.Bến Thành, TP.Hồ Chí Minh</t>
  </si>
  <si>
    <t>VT405051838</t>
  </si>
  <si>
    <t>32, Nguyễn Hữu Cầu, P.Tân Định, TP.Hồ Chí Minh</t>
  </si>
  <si>
    <t>VT405051504</t>
  </si>
  <si>
    <t>Shop 8, B01.01, Tầng 1, Block B- Cao ốc Thương mại và Chung Cư Âu Cơ - 683A, Âu Cơ, P.Phú Thọ Hòa, TP.Hồ Chí Minh</t>
  </si>
  <si>
    <t>VT405052115</t>
  </si>
  <si>
    <t>8A/D5 Thái Văn Lung, Phường Sài Gòn, Thành Phố Hồ Chí Minh, Việt Nam</t>
  </si>
  <si>
    <t>VT405053353</t>
  </si>
  <si>
    <t>203 Phạm Ngũ Lão, Phường Bến Thành, Thành phố Hồ Chí Minh, Việt Nam</t>
  </si>
  <si>
    <t>VT405054866</t>
  </si>
  <si>
    <t>15, Nguyễn Ảnh Thủ, P.Trung Mỹ Tây, TP.Hồ Chí Minh</t>
  </si>
  <si>
    <t>VT405052127</t>
  </si>
  <si>
    <t>138, Lý Chính Thắng, Phường 9, Quận 3, Thành phố Hồ Chí Minh</t>
  </si>
  <si>
    <t>FM400250848</t>
  </si>
  <si>
    <t>199C, CMT8, Phường 4, Quận 3, Thành phố Hồ Chí Minh</t>
  </si>
  <si>
    <t>FM400250779</t>
  </si>
  <si>
    <t>57 Ter, Phạm Ngọc Thạch, Phường 6, Quận 3, Thành phố Hồ Chí Minh</t>
  </si>
  <si>
    <t>FM400250784</t>
  </si>
  <si>
    <t>410-414, Nguyễn Đình Chiểu, Phường 4, Quận 3, Thành phố Hồ Chí Minh</t>
  </si>
  <si>
    <t>FM400250781</t>
  </si>
  <si>
    <t>60B, Võ Văn Tần, Phường 6, Quận 3, Thành phố Hồ Chí Minh</t>
  </si>
  <si>
    <t>FM400250785</t>
  </si>
  <si>
    <t>Phòng 101, 23, Lê Quý Đôn, Phường 6, Quận 3, Thành phố Hồ Chí Minh</t>
  </si>
  <si>
    <t>FM400250787</t>
  </si>
  <si>
    <t>Số 11, Kỳ Đồng, Phường 9, Quận 3, Thành phố Hồ Chí Minh</t>
  </si>
  <si>
    <t>FM400250853</t>
  </si>
  <si>
    <t>454, Lê Văn Sỹ, Phường 14, Quận 3, Thành phố Hồ Chí Minh</t>
  </si>
  <si>
    <t>FM400250851</t>
  </si>
  <si>
    <t>77, Lý Chính Thắng, Phường Võ Thị Sáu, Quận 3, Thành phố Hồ Chí Minh</t>
  </si>
  <si>
    <t>FM400250786</t>
  </si>
  <si>
    <t>Số 268 Lê Văn Sỹ, Phường Nhiêu Lộc, Thành Phồ Hồ Chí Minh</t>
  </si>
  <si>
    <t>FM400281645</t>
  </si>
  <si>
    <t>103 Lê Văn Thịnh, Khu phố 5, Phường Bình Trưng, TP.Hồ Chí Minh</t>
  </si>
  <si>
    <t>FM400294610</t>
  </si>
  <si>
    <t>11 Xuân Thủy, Phường An Khánh, TP.Hồ Chí Minh</t>
  </si>
  <si>
    <t>FM400294611</t>
  </si>
  <si>
    <t>12 Quốc Hương, Phường An Khánh, TP.Hồ Chí Minh</t>
  </si>
  <si>
    <t>FM400294613</t>
  </si>
  <si>
    <t>210B/1 Cô Bắc, Phường Cầu Ông Lãnh, TP.Hồ Chí Minh</t>
  </si>
  <si>
    <t>FM400294622</t>
  </si>
  <si>
    <t>21B/1 Nguyễn Đình Chiểu, Phường Sài Gòn, TP.Hồ Chí Minh</t>
  </si>
  <si>
    <t>FM400294623</t>
  </si>
  <si>
    <t>33A Nguyễn Bỉnh Khiêm, Phường Tân Định, TP.Hồ Chí Minh</t>
  </si>
  <si>
    <t>FM400294627</t>
  </si>
  <si>
    <t>48 Quốc Hương, Phường An Khánh, TP.Hồ Chí Minh</t>
  </si>
  <si>
    <t>FM400294628</t>
  </si>
  <si>
    <t>49 Bùi Thị Xuân, Phường Bến Thành, TP.Hồ Chí Minh</t>
  </si>
  <si>
    <t>FM400294629</t>
  </si>
  <si>
    <t>610 Nguyễn Duy Trinh, Phường Bình Trưng, TP.Hồ Chí Minh</t>
  </si>
  <si>
    <t>FM400294631</t>
  </si>
  <si>
    <t>8A/3D1 Thái Văn Lung, Phường Sài Gòn, TP.Hồ Chí Minh</t>
  </si>
  <si>
    <t>FM400294635</t>
  </si>
  <si>
    <t>9C Thảo Điền, Phường An Khánh, TP.Hồ Chí Minh</t>
  </si>
  <si>
    <t>FM400294705</t>
  </si>
  <si>
    <t>B1-A, Tầng B1, Zen Plaza, 54-56 Nguyễn Trãi, Phường Bến Thành, TP.Hồ Chí Minh</t>
  </si>
  <si>
    <t>FM400294638</t>
  </si>
  <si>
    <t>Căn GO-01.03 và GO-01.04 Tòa nhà Galaxy, 9 Nguyễn Khoái, Phường Vĩnh Hội, TP.Hồ Chí Minh</t>
  </si>
  <si>
    <t>FM400294639</t>
  </si>
  <si>
    <t>Căn Số B-00.12, Tầng Trệt, Chung Cư Lô C1, Số 62 Đường Hoàng Thế Thiện, Phường An Khánh, TP.Hồ Chí Minh</t>
  </si>
  <si>
    <t>FM400294640</t>
  </si>
  <si>
    <t>L1-13 khu trung tâm thương mại dự án The Gold View, 346 Bến Vân Đồn, Phường Vĩnh Hội, TP.Hồ Chí Minh</t>
  </si>
  <si>
    <t>FM400294642</t>
  </si>
  <si>
    <t>LA-01.07, Khu dân cư cao cấp Lexington Residence, 67 Mai Chí Thọ, Phường Bình Trưng, TP.Hồ Chí Minh</t>
  </si>
  <si>
    <t>FM400294644</t>
  </si>
  <si>
    <t>Mặt bằng bán lẻ số L10, Tầng trệt, khối T1A, chung cư Linden Residences, số 05 đường Trần Bạch Đằng, Phường An Khánh, TP.Hồ Chí Minh</t>
  </si>
  <si>
    <t>FM400294645</t>
  </si>
  <si>
    <t>Tầng 1,Trung Tâm Thương Mại Faifo Lane, Số 2 Phan Văn Đáng, Phường Cát Lái, TP.Hồ Chí Minh</t>
  </si>
  <si>
    <t>FM400294647</t>
  </si>
  <si>
    <t>1 Tôn Thất Thuyết, Phường Vĩnh Hội, TP.Hồ Chí Minh</t>
  </si>
  <si>
    <t>FM400294609</t>
  </si>
  <si>
    <t>12 Mạc Đĩnh Chi, Phường Sài Gòn, TP.Hồ Chí Minh</t>
  </si>
  <si>
    <t>FM400294612</t>
  </si>
  <si>
    <t>125 Cống Quỳnh, Phường Cầu Ông Lãnh, TP.Hồ Chí Minh</t>
  </si>
  <si>
    <t>FM400294614</t>
  </si>
  <si>
    <t>16 Quốc Hương, Phường An Khánh, TP.Hồ Chí Minh</t>
  </si>
  <si>
    <t>FM400294618</t>
  </si>
  <si>
    <t>163 Phạm Ngũ Lão, Phường Bến Thành, TP.Hồ Chí Minh</t>
  </si>
  <si>
    <t>FM400294619</t>
  </si>
  <si>
    <t>222 Lý Tự Trọng, Phường Bến Thành, TP.Hồ Chí Minh</t>
  </si>
  <si>
    <t>FM400294624</t>
  </si>
  <si>
    <t>7 Vĩnh Hội, Phường Vĩnh Hội, TP.Hồ Chí Minh</t>
  </si>
  <si>
    <t>FM400294633</t>
  </si>
  <si>
    <t>Căn số B2-00.04 ,Tháp B2, Khu chung cư phức hợp lô M2 – Số 72 đường Nguyễn Cơ Thạch, Phường An Khánh, TP.Hồ Chí Minh</t>
  </si>
  <si>
    <t>FM400294641</t>
  </si>
  <si>
    <t>141 Bùi Viện, Phường Bến Thành, TP.Hồ Chí Minh</t>
  </si>
  <si>
    <t>FM400294616</t>
  </si>
  <si>
    <t>324 Võ Văn Kiệt, Phường Cầu Ông Lãnh, TP.Hồ Chí Minh</t>
  </si>
  <si>
    <t>FM400294626</t>
  </si>
  <si>
    <t>81 đường số 3, Phường An Khánh, TP.Hồ Chí Minh</t>
  </si>
  <si>
    <t>FM400294634</t>
  </si>
  <si>
    <t>L33 Khu nhà ở tái định cư Thủ Thiêm, số 311 Lương Định Của, Phường Bình Trưng, TP.Hồ Chí Minh</t>
  </si>
  <si>
    <t>FM400294643</t>
  </si>
  <si>
    <t>Một phần căn nhà số 72/2B Tôn Đản, Phường Khánh Hội, TP.Hồ Chí Minh</t>
  </si>
  <si>
    <t>FM400294706</t>
  </si>
  <si>
    <t>125 Điện Biên Phủ, Phường Tân Định, TP.Hồ Chí Minh</t>
  </si>
  <si>
    <t>FM400294615</t>
  </si>
  <si>
    <t>204C Nguyễn Văn Hưởng, Phường An Khánh, TP.Hồ Chí Minh</t>
  </si>
  <si>
    <t>FM400294621</t>
  </si>
  <si>
    <t>539 Nguyễn Duy Trinh, Phường Bình Trưng, TP.Hồ Chí Minh</t>
  </si>
  <si>
    <t>FM400294630</t>
  </si>
  <si>
    <t>Số 8 Đường số 35, Phường Cát Lái, TP.Hồ Chí Minh</t>
  </si>
  <si>
    <t>FM400294646</t>
  </si>
  <si>
    <t>A1-00.06 tòa nhà Sarimi, Khu đô thị Sala, 10 Mai Chí Thọ, Phường An Khánh, TP.Hồ Chí Minh</t>
  </si>
  <si>
    <t>FM400294637</t>
  </si>
  <si>
    <t>15 Huỳnh Thúc Kháng, Phường Sài Gòn, TP.Hồ Chí Minh</t>
  </si>
  <si>
    <t>FM400294617</t>
  </si>
  <si>
    <t>300AB Nguyễn Tất Thành, Phường Xóm Chiếu, TP.Hồ Chí Minh</t>
  </si>
  <si>
    <t>FM400294625</t>
  </si>
  <si>
    <t>66B Nguyễn Huệ, Phường Sài Gòn, TP.Hồ Chí Minh</t>
  </si>
  <si>
    <t>FM400294632</t>
  </si>
  <si>
    <t>97/99 Nguyễn Hữu Cầu, Phường Tân Định, TP.Hồ Chí Minh</t>
  </si>
  <si>
    <t>FM400294636</t>
  </si>
  <si>
    <t>20 Lê Thánh Tôn, Phường Sài Gòn, TP.Hồ Chí Minh</t>
  </si>
  <si>
    <t>FM400294620</t>
  </si>
  <si>
    <t>MY02</t>
  </si>
  <si>
    <t>Lô Q-3A, Đường số 6, Khu công nghiệp Long Hậu mở rộng, Ấp 3, Xã Cần Giuộc, Tỉnh Tây Ninh, Việt Nam</t>
  </si>
  <si>
    <t>AV400653189</t>
  </si>
  <si>
    <t>Lô H.04, Đường số 1, Khu Công Nghiệp Long Hậu, Xã Long Hậu, Huyện Cần Giuộc, Tỉnh Long An</t>
  </si>
  <si>
    <t>GS000340894</t>
  </si>
  <si>
    <t>CHTL (Trừ M&amp;B)</t>
  </si>
  <si>
    <t>CHTL (M&amp;B)</t>
  </si>
  <si>
    <t>ST</t>
  </si>
  <si>
    <t>05 / 2025</t>
  </si>
  <si>
    <t>Data Chia Chỉ tiêu Năm 2025 Tháng :05 / 2025</t>
  </si>
  <si>
    <t>T09 / 2026</t>
  </si>
  <si>
    <t>Hồ Nhật Trình</t>
  </si>
  <si>
    <t>Đang KD</t>
  </si>
  <si>
    <t>Đang làm</t>
  </si>
  <si>
    <t>Nguyễn Duy Trinh KN</t>
  </si>
  <si>
    <t>BÁCH HOÁ XANH</t>
  </si>
  <si>
    <t>1 Ô/1, Khu phố Hải Tân, Xã Đất Đỏ, Thành phố Hồ Chí Minh, Việt Nam</t>
  </si>
  <si>
    <t>BACH_HOA_XANH</t>
  </si>
  <si>
    <t>ST-03K-3054</t>
  </si>
  <si>
    <t>Bùi Thị Sen</t>
  </si>
  <si>
    <t>ST-08K-3015</t>
  </si>
  <si>
    <t>Trần Thị Cẩm Giang</t>
  </si>
  <si>
    <t>1003 Bình Giã, Phường Rạch Dừa, Thành phố Hồ Chí Minh, Việt Nam</t>
  </si>
  <si>
    <t>1033B đường 30/4, Phường Phước Thắng, Thành phố Hồ Chí Minh, Việt Nam</t>
  </si>
  <si>
    <t>110C Đường Đô Lương, Tổ 43, Khu phố 3, Phường Phước Thắng, Thành phố Hồ Chí Minh, Việt Nam</t>
  </si>
  <si>
    <t>115 Trần Hưng Đạo, Khu Phố 4, Phường Bà Rịa, Thành phố Hồ Chí Minh, Việt Nam</t>
  </si>
  <si>
    <t>160A Nguyễn Thanh Đằng, Phường Bà Rịa, Thành phố Hồ Chí Minh, Việt Nam</t>
  </si>
  <si>
    <t>176 Trương Công Định, Phường Vũng Tàu, Thành phố Hồ Chí Minh, Việt Nam</t>
  </si>
  <si>
    <t>188 Đường Nguyễn Văn Cừ, Khu phố 1, Phường Bà Rịa, Thành phố Hồ Chí Minh, Việt Nam</t>
  </si>
  <si>
    <t>5/17 - 5/19 Nguyên Thái Học, Phường Tam Thắng, Thành phố Hồ Chí Minh, Việt Nam</t>
  </si>
  <si>
    <t>596 Trương Công Định, Phường Tam Thắng, Thành phố Hồ Chí Minh, Việt Nam</t>
  </si>
  <si>
    <t>722 Đường 30/04, Phường Phước Thắng, Thành phố Hồ Chí Minh, Việt Nam</t>
  </si>
  <si>
    <t>757 Bình Giã, Phường Rạch Dừa, Thành phố Hồ Chí Minh, Việt Nam</t>
  </si>
  <si>
    <t>98 Nguyễn An Ninh, Phường Tam Thắng, Thành Phố Hồ Chí Minh</t>
  </si>
  <si>
    <t>Ấp An Phước, Xã Long Điền, Thành phố Hồ Chí Minh, Việt Nam</t>
  </si>
  <si>
    <t>Đường Hương Lộ 5, Tổ 6, Ấp Phước Thuận, Xã Long Hải, Thành phố Hồ Chí Minh, Việt Nam</t>
  </si>
  <si>
    <t>Số 351, Khu phố Phước Sơn, Xã Đất Đỏ, Thành phố Hồ Chí Minh, Việt Nam</t>
  </si>
  <si>
    <t>Số 5 Nguyễn Hữu Cảnh, Phường Rạch Dừa, Thành phố Hồ Chí Minh, Việt Nam</t>
  </si>
  <si>
    <t>Số 9, Tổ 12, ấp Phước Lộc, Xã Long Hải, Thành phố Hồ Chí Minh, Việt Nam</t>
  </si>
  <si>
    <t>Số 91C, Khu phố Long Tân, Xã Long Điền, Thành phố Hồ Chí Minh, Việt Nam</t>
  </si>
  <si>
    <t>Tổ 1, Ô 1, Ấp Bắc, Phường Tam Long, Thành phố Hồ Chí Minh, Việt Nam</t>
  </si>
  <si>
    <t>Tổ 21/6 Ô 3, Khu Phố Hải Điền, Xã Long Hải, Thành phố Hồ Chí Minh, Việt Nam</t>
  </si>
  <si>
    <t>GS25</t>
  </si>
  <si>
    <t>CVS_GS25.79.6766</t>
  </si>
  <si>
    <t>14 Đường Nguyễn Thanh Đằng, Phường Phước Trung, Thành phố Bà Rịa, Tỉnh Bà Rịa - Vũng Tàu</t>
  </si>
  <si>
    <t>GS25 Nguyễn Thanh Đằng</t>
  </si>
  <si>
    <t>CVS_GS25.79.6600</t>
  </si>
  <si>
    <t>66 Đường Nguyễn Tất Thành, Khu phố 1, Phường Phước Nguyên, Thành phố Bà Rịa – Vũng Tàu</t>
  </si>
  <si>
    <t>GS25 Nguyễn Tất Thành -  Bà Rịa</t>
  </si>
  <si>
    <t>CVS_GS25.79.6971</t>
  </si>
  <si>
    <t>Siêu thị GS-25 240, Nguyễn Hữu Cảnh</t>
  </si>
  <si>
    <t>CVS_GS25.79.6966</t>
  </si>
  <si>
    <t>Siêu thị GS-25 844, Bình Giã</t>
  </si>
  <si>
    <t>CVS_GS25.79.6599</t>
  </si>
  <si>
    <t>Số 351 Đường Nguyễn Văn Linh, Phường Phước Nguyên, Thành phố Bà Rịa, Tỉnh Bà Rịa – Vũng Tàu</t>
  </si>
  <si>
    <t>GS25 Nguyễn Văn Linh – Bà Rịa</t>
  </si>
  <si>
    <t>CVS_GS25.79.6655</t>
  </si>
  <si>
    <t>Số 9 Đường Trần Hưng Đạo, Phường Phước Nguyên, TP Bà Rịa, Tỉnh Bà Rịa Vũng Tàu</t>
  </si>
  <si>
    <t>GS25 Trần Hưng Đạo Bà Rịa</t>
  </si>
  <si>
    <t>14/4C Khu phố 1, Phường Tam Hiệp, Tỉnh Đồng Nai, Việt Nam</t>
  </si>
  <si>
    <t>ST-06L-3045</t>
  </si>
  <si>
    <t>Chắng Lý Quỳnh</t>
  </si>
  <si>
    <t>1647 Quốc Lộ 51, Khu phố Tân Mai, Phường Phước Tân, Tỉnh Đồng Nai, Việt Nam</t>
  </si>
  <si>
    <t>16A Tổ 3, Khu Phố 2, Phường Long Hưng, Tỉnh Đồng Nai, Việt Nam</t>
  </si>
  <si>
    <t>170 Đinh Quang Ân, KP. Hương Phước, Phường Phước Tân, Tỉnh Đồng Nai, Việt Nam</t>
  </si>
  <si>
    <t>171 Hoàng Tam Kỳ, Khu phố 5A, Phường Long Bình, Tỉnh Đồng Nai, Việt Nam</t>
  </si>
  <si>
    <t>19/40 Đường 643, Xa Lộ Hà Nội, Khu phố 2, Phường Long Bình, Tỉnh Đồng Nai, Việt Nam</t>
  </si>
  <si>
    <t>190A Huỳnh Dân Sanh, tổ 12, khu phố 5A, Phường Long Bình, Tỉnh Đồng Nai, Việt Nam</t>
  </si>
  <si>
    <t>203 đường Bùi Văn Hòa, khu phố 03, Phường Long Hưng, Tỉnh Đồng Nai, Việt Nam</t>
  </si>
  <si>
    <t>355 - 355B Khu phố 3, Phường Long Hưng, Tỉnh Đồng Nai, Việt Nam</t>
  </si>
  <si>
    <t>405 Bùi Văn Hòa, Phường Long Bình, Tỉnh Đồng Nai, Việt Nam</t>
  </si>
  <si>
    <t>MINI_BHX.75.934</t>
  </si>
  <si>
    <t>61/18A đường Hàm Nghi, khu phố Thiên Bình, Phường Tam Phước, Tỉnh Đồng Nai, Việt Nam</t>
  </si>
  <si>
    <t>BHX_DON_BHO - Thửa 342 Tam Phước</t>
  </si>
  <si>
    <t>MINI_BHX.75.1688</t>
  </si>
  <si>
    <t>623 Phùng Hưng, Tổ 8, Khu phố Long Đức 1, Phường Tam Phước, Tỉnh Đồng Nai, Việt Nam</t>
  </si>
  <si>
    <t>BHX_DON_BHO - 10 Phùng Hưng</t>
  </si>
  <si>
    <t>64 Trần Thị Hoa, khu phố An Bình, Phường Trấn Biên , Thành Phố Đồng Nai</t>
  </si>
  <si>
    <t>68A, khu phố 03, Phường Trấn Biên, Tỉnh Đồng Nai, Việt Nam</t>
  </si>
  <si>
    <t>88 - 88B - 88C - 88E tổ 8, khu phố 2, Phường Long Bình, Tỉnh Đồng Nai, Việt Nam</t>
  </si>
  <si>
    <t>90/5, Khu Phố 2, Phường Long Hưng, Tỉnh Đồng Nai, Việt Nam</t>
  </si>
  <si>
    <t>MINI_BHX.75.2287</t>
  </si>
  <si>
    <t>Đường Phùng Hưng, tổ 18, khu 3, ấp 7, Xã An Phước, Tỉnh Đồng Nai, Việt Nam</t>
  </si>
  <si>
    <t>BHX_DON_APH - An Phước</t>
  </si>
  <si>
    <t>Số 1417, khu phố Vườn Dừa, Phường Phước Tân, Tỉnh Đồng Nai</t>
  </si>
  <si>
    <t>Số 160/4B - 352 Trần Quốc Toản, khu phố 1, Phường Trấn Biên, Tỉnh Đồng Nai, Việt Nam</t>
  </si>
  <si>
    <t>Số 45, Hoàng Bá Bích, Tổ 3, KP 4, Phường Long Bình, Tỉnh Đồng Nai, Việt Nam</t>
  </si>
  <si>
    <t>MINI_BHX.75.2384</t>
  </si>
  <si>
    <t>Số 51-53, đường Nguyễn Khắc Hiếu, tổ 29, khu phố Long Đức 1, Phường Tam Phước, Tỉnh Đồng Nai, Việt Nam</t>
  </si>
  <si>
    <t>BHX_DON_BHO - Tam Phước</t>
  </si>
  <si>
    <t>Số 67/5, Tổ 5, Khu phố 2, Phường Trấn Biên, Tỉnh Đồng Nai, Việt Nam</t>
  </si>
  <si>
    <t>MINI_BHX.75.047</t>
  </si>
  <si>
    <t>Số 99, Khu Phố 4, Ấp 8, Xã An Phước, Tỉnh Đồng Nai, Việt Nam</t>
  </si>
  <si>
    <t>BHX_DON_LTH - 99 An Phước</t>
  </si>
  <si>
    <t>MINI_BHX.75.945</t>
  </si>
  <si>
    <t>Tổ 1, ấp 4, Xã An Viễn, Tỉnh Đồng Nai, Việt Nam</t>
  </si>
  <si>
    <t>BHX_DON_TBO - An Viễn</t>
  </si>
  <si>
    <t>Tổ 15, Khu 3, Ấp 7, Xã An Phước, Tỉnh Đồng Nai, Việt Nam</t>
  </si>
  <si>
    <t>CVS_GS25.75.6921</t>
  </si>
  <si>
    <t>Siêu Thị GS-25148, Bùi Văn Hòa, P,An Bình, TP,Biên Hòa, Đồng Nai</t>
  </si>
  <si>
    <t>1053 Tỉnh Lộ 768, Ấp 5, Phường Tân Triều, Tỉnh Đồng Nai, Việt Nam</t>
  </si>
  <si>
    <t>ST-11F-3018</t>
  </si>
  <si>
    <t>Kim Hoàng Khang</t>
  </si>
  <si>
    <t>12/13 Khu Phố 3, Phường Trảng Dài, Tỉnh Đồng Nai, Việt Nam</t>
  </si>
  <si>
    <t>1537-1539, tổ 114, khu phố 26, Phường Tam Hiệp, Tỉnh Đồng Nai</t>
  </si>
  <si>
    <t>159 Trương Định, Khu Phố 2, Phường Tam Hiệp, Tỉnh Đồng Nai, Việt Nam</t>
  </si>
  <si>
    <t>18/174, Khu phố 4A, Phường Trảng Dài, Tỉnh Đồng Nai, Việt Nam</t>
  </si>
  <si>
    <t>1888/12 Phan Đình Phùng, Khu B, Khu Phố 6, Phường Trấn Biên, Tỉnh Đồng Nai, Việt Nam</t>
  </si>
  <si>
    <t>19 Tổ 13, Khu phố 5, Phường Trảng Dài, Tỉnh Đồng Nai, Việt Nam</t>
  </si>
  <si>
    <t>190 Lê Ngô Cát, Khu Phố 5, Phường Hố Nai, Tỉnh Đồng Nai, Việt Nam</t>
  </si>
  <si>
    <t>1971E đường ĐT768, ấp 5, Phường Tân Triều, Tỉnh Đồng Nai, Việt Nam</t>
  </si>
  <si>
    <t>208/7 Trần Văn Xã, tổ 1, khu phố 4A, Phường Trảng Dài, Tỉnh Đồng Nai, Việt Nam</t>
  </si>
  <si>
    <t>22/79, KP12, Phường Long Bình, Tỉnh Đồng Nai, Việt Nam</t>
  </si>
  <si>
    <t>261 Nguyễn Văn Tiên, Khu phố 11A, Phường Tân Triều, Tỉnh Đồng Nai, Việt Nam</t>
  </si>
  <si>
    <t>277 - 279, Khu phố 5, Phường Tam Hiệp, Tỉnh Đồng Nai, Việt Nam</t>
  </si>
  <si>
    <t>338 Tỉnh Lộ 768, Ấp Bình Phước, Phường Tân Triều, Tỉnh Đồng Nai, Việt Nam</t>
  </si>
  <si>
    <t>436 - 438 Trần Văn Xã, Khu phố 2, Phường Trảng Dài, Tỉnh Đồng Nai, Việt Nam</t>
  </si>
  <si>
    <t>4-6 đường Nguyễn Văn Tiên, Khu phố 09, Phường Tân Triều, Tỉnh Đồng Nai, Việt Nam</t>
  </si>
  <si>
    <t>79B Tổ 9, Khu phố 10, Phường Long Bình, Tỉnh Đồng Nai, Việt Nam</t>
  </si>
  <si>
    <t>Đường ĐT768, Tổ 2, Ấp 1, Phường Tân Triều, Tỉnh Đồng Nai, Việt Nam</t>
  </si>
  <si>
    <t>G14 Phạm Thị Nghĩa, Khu Phố 5, Phường Tam Hiệp, Tỉnh Đồng Nai, Việt Nam</t>
  </si>
  <si>
    <t>Số 06-6A Khu phố 6, Phường Tam Hiệp, Tỉnh Đồng Nai, Việt Nam</t>
  </si>
  <si>
    <t>Số 11, Khu Phố 3, Phường Trảng Dài, Tỉnh Đồng Nai, Việt Nam</t>
  </si>
  <si>
    <t>Số 1A, Tổ 1, Khu Phố 2A, Phường Trảng Dài, Tỉnh Đồng Nai, Việt Nam</t>
  </si>
  <si>
    <t>Số 553-555, đường Phạm Văn Thuận, khu phố 2, Phường Tam Hiệp, Tỉnh Đồng Nai</t>
  </si>
  <si>
    <t>Số 930 - 932, đường Phạm Văn Thuận, khu phố 16, Phường Tam Hiệp, Tỉnh Đồng Nai</t>
  </si>
  <si>
    <t>Tổ 9, Khu phố 7, Phường Long Bình, Tỉnh Đồng Nai, Việt Nam</t>
  </si>
  <si>
    <t>CVS_FAMILYMART.75.2551</t>
  </si>
  <si>
    <t>CVS_GS25.75.6760</t>
  </si>
  <si>
    <t>277 Đường Bùi Trọng Nghĩa, Phường Trảng Dài, Thành phố Biên Hòa, Tỉnh Đồng Nai</t>
  </si>
  <si>
    <t>GS25 277 Bùi Trọng Nghĩa</t>
  </si>
  <si>
    <t>CVS_GS25.75.6922</t>
  </si>
  <si>
    <t>622 Nguyễn Ái Quốc, P,Hố Nai, TP,Biên Hòa, Đồng Nai</t>
  </si>
  <si>
    <t>GS25 622 Nguyễn Ái Quốc - Biên Hòa</t>
  </si>
  <si>
    <t>CVS_GS25.75.6632</t>
  </si>
  <si>
    <t>763 Nguyễn Ái Quốc, Khu phố 1, Phường Tân Hiệp, Thành phố Biên Hòa, Tỉnh Đồng Nai</t>
  </si>
  <si>
    <t>GS25 763 Nguyễn Ái Quốc Biên Hòa</t>
  </si>
  <si>
    <t>CVS_GS25.75.6891</t>
  </si>
  <si>
    <t>GS25 974 Đồng Khởi – Đồng Nai</t>
  </si>
  <si>
    <t>CVS_GS25.75.6919</t>
  </si>
  <si>
    <t>Siêu thị GS-25 1/49, Nguyễn Ái Quốc</t>
  </si>
  <si>
    <t>CVS_GS25.75.6887</t>
  </si>
  <si>
    <t>Siêu thị GS-25 L1-16 Khu dân cư Phú Gia 2</t>
  </si>
  <si>
    <t>MINI_BHX.75.1223</t>
  </si>
  <si>
    <t>2 CĐường số 1, tổ 19, khu phố Trung Tâm, Phường Xuân Lập, Tỉnh Đồng Nai, Việt Nam</t>
  </si>
  <si>
    <t>BHX_DON_LKH - Xuân Lập</t>
  </si>
  <si>
    <t>ST-07L-3031</t>
  </si>
  <si>
    <t>Lê Thị Thùy Châu</t>
  </si>
  <si>
    <t>MINI_BHX.75.1985</t>
  </si>
  <si>
    <t>2097 Quốc Lộ 1A, Ấp 5, Xã Xuân Hòa, Tỉnh Đồng Nai, Việt Nam</t>
  </si>
  <si>
    <t>BHX_DON_XLO - 2097 Quốc Lộ 1A Xuân Tâm</t>
  </si>
  <si>
    <t>MINI_BHX.75.691</t>
  </si>
  <si>
    <t>27 Khu phố suối tre, Phường Bình Lộc, Tỉnh Đồng Nai, Việt Nam</t>
  </si>
  <si>
    <t>BHX_DON_LKH - Suối Tre</t>
  </si>
  <si>
    <t>MINI_BHX.75.430</t>
  </si>
  <si>
    <t>2734 Tổ 1, Ấp Tam Hiệp, Xã Xuân Lộc, Tỉnh Đồng Nai, Việt Nam</t>
  </si>
  <si>
    <t>BHX_DON_XLO - 2734 Tam Hiệp (Chợ Lều Xanh)</t>
  </si>
  <si>
    <t>MINI_BHX.75.680</t>
  </si>
  <si>
    <t>291 đường Lê A, Ấp 1, Phường Bình Lộc, Tỉnh Đồng Nai, Việt Nam</t>
  </si>
  <si>
    <t>BHX_DON_LKH - Bình Lộc</t>
  </si>
  <si>
    <t>3627, đường Quốc Lộ 1A, ấp Hòa Bình, Xã Xuân Định, Tỉnh Đồng Nai</t>
  </si>
  <si>
    <t>MINI_BHX.75.112</t>
  </si>
  <si>
    <t>36-38, đường Hoàng Diệu, khu phố 7, Phường Long Khánh, Tỉnh Đồng Nai</t>
  </si>
  <si>
    <t>BHX_DON_LKH - Hoàng Diệu</t>
  </si>
  <si>
    <t>MINI_BHX.75.2453</t>
  </si>
  <si>
    <t>364, đường Hùng Vương, ấp Gia Ray 5, Xã Xuân Lộc, Tỉnh Đồng Nai</t>
  </si>
  <si>
    <t>BHX_DON_XLO - Gia Ray</t>
  </si>
  <si>
    <t>MINI_BHX.75.605</t>
  </si>
  <si>
    <t>80 Hồ Thị Hương, Khu phố 2, Phường Long Khánh, Tỉnh Đồng Nai, Việt Nam</t>
  </si>
  <si>
    <t>BHX_DON_LKH - 80 Hồ Thị Hương</t>
  </si>
  <si>
    <t>MINI_BHX.75.2398</t>
  </si>
  <si>
    <t>Đường số 7, ấp Hàng Gòn, Phường Hàng Gòn, Tỉnh Đồng Nai, Việt Nam</t>
  </si>
  <si>
    <t>BHX_DON_LKH - Hàng Gòn</t>
  </si>
  <si>
    <t>MINI_BHX.75.140</t>
  </si>
  <si>
    <t>Số 1024, Tổ 20, Ấp 2, Xã Xuân Hòa, Tỉnh Đồng Nai, Việt Nam</t>
  </si>
  <si>
    <t>BHX_DON_XLO - Số 0124 Xuân Hưng</t>
  </si>
  <si>
    <t>MINI_BHX.75.125</t>
  </si>
  <si>
    <t>Số 232 đường Hùng Vương, Khu phố 5, Xã Xuân Lộc, Tỉnh Đồng Nai, Việt Nam</t>
  </si>
  <si>
    <t>BHX_DON_XLO - 232 Hùng Vương (Gia Ray)</t>
  </si>
  <si>
    <t>MINI_BHX.75.2310</t>
  </si>
  <si>
    <t>Số 254 - 256, đường Ngô Quyền, Phường Long Khánh, Tỉnh Đồng Nai</t>
  </si>
  <si>
    <t>BHX_DON_LKH - Ngô Quyền</t>
  </si>
  <si>
    <t>MINI_BHX.75.266</t>
  </si>
  <si>
    <t>Số 378, Ấp Trung Tín, Xã Xuân Lộc, Tỉnh Đồng Nai, Việt Nam</t>
  </si>
  <si>
    <t>BHX_DON_XLO - 378 Trung Tín (Xuân Trường)</t>
  </si>
  <si>
    <t>MINI_BHX.75.2377</t>
  </si>
  <si>
    <t>Số 45, đường Tỉnh Lộ 765, ấp Việt Kiều, Xã Xuân Lộc, Tỉnh Đồng Nai, Việt Nam</t>
  </si>
  <si>
    <t>BHX_DON_XLO - Tỉnh Lộ 765</t>
  </si>
  <si>
    <t>MINI_BHX.75.2452</t>
  </si>
  <si>
    <t>Thửa Đất Số 308, Tờ Bản Đồ Số 07, Xã Bảo Hòa, Huyện Xuân Lộc, Tỉnh Đồng Nai (Nay Là Xã Xuân Định, Tỉnh Đồng Nai)</t>
  </si>
  <si>
    <t>BHX_DON_XDI - Bảo Hòa</t>
  </si>
  <si>
    <t>MINI_BHX.75.356</t>
  </si>
  <si>
    <t>Tổ 1, Ấp Cam Tiên, Xã Cẩm Mỹ, Tỉnh Đồng Nai, Việt Nam</t>
  </si>
  <si>
    <t>BHX_DON_CMY - Cam Tiên (Nhân Nghĩa)</t>
  </si>
  <si>
    <t>MINI_BHX.75.614</t>
  </si>
  <si>
    <t>Tổ 19, Ấp Cọ Dầu 1, Xã Xuân Đông, Tỉnh Đồng Nai, Việt Nam</t>
  </si>
  <si>
    <t>BHX_DON_CMY - Thửa 304 Xuân Đông</t>
  </si>
  <si>
    <t>MINI_BHX.75.653</t>
  </si>
  <si>
    <t>Tổ 6, Ấp Thọ Chánh, Xã Xuân Lộc, Tỉnh Đồng Nai, Việt Nam</t>
  </si>
  <si>
    <t>BHX_DON_XLO - Xuân Thọ</t>
  </si>
  <si>
    <t>MINI_BHX.75.616</t>
  </si>
  <si>
    <t>Tổ 7, ấp 3, Xã Xuân Hòa, Tỉnh Đồng Nai, Việt Nam</t>
  </si>
  <si>
    <t>BHX_DON_XLO - Thửa 263 Xuân Hưng</t>
  </si>
  <si>
    <t>MINI_BHX.75.944</t>
  </si>
  <si>
    <t>Tổ 9, ấp Tân Bảo, Xã Cẩm Mỹ, Tỉnh Đồng Nai, Việt Nam</t>
  </si>
  <si>
    <t>BHX_DON_CMY - Bảo Bình</t>
  </si>
  <si>
    <t>CIRCLE K</t>
  </si>
  <si>
    <t>CVS_CIRCLEK.75.4325</t>
  </si>
  <si>
    <t>CIRCLE_K_DONG_NAI</t>
  </si>
  <si>
    <t>CVS_CIRCLEK.75.4326</t>
  </si>
  <si>
    <t>CVS_THECITY.75.1254</t>
  </si>
  <si>
    <t>HOANG DUC</t>
  </si>
  <si>
    <t>MINI_BHX.75.1986</t>
  </si>
  <si>
    <t>02/1, Ấp Nhân Hòa, Xã Hưng Thịnh, Tỉnh Đồng Nai, Việt Nam</t>
  </si>
  <si>
    <t>BHX_DON_TBO - 02/1 Nhân Hòa (Tây Hòa)</t>
  </si>
  <si>
    <t>ST-01L-3004</t>
  </si>
  <si>
    <t>Lê Trần Bá Kiện</t>
  </si>
  <si>
    <t>MINI_BHX.75.453</t>
  </si>
  <si>
    <t>134 Ấp 2, Xã Dầu Giây, Tỉnh Đồng Nai, Việt Nam</t>
  </si>
  <si>
    <t>BHX_DON_TNH - 134 Xã Lộ 25</t>
  </si>
  <si>
    <t>MINI_BHX.75.1694</t>
  </si>
  <si>
    <t>15 đường Bình Minh - Giang Điền, ấp Trà Cổ, Xã Bình Minh, Tỉnh Đồng Nai, Việt Nam</t>
  </si>
  <si>
    <t>BHX_DON_TBO - 15 Bình Minh</t>
  </si>
  <si>
    <t>MINI_BHX.75.924</t>
  </si>
  <si>
    <t>19/2 khu 3, Xã Bàu Hàm, Tỉnh Đồng Nai, Việt Nam</t>
  </si>
  <si>
    <t>BHX_DON_TBO - Bàu Hàm</t>
  </si>
  <si>
    <t>MINI_BHX.75.280</t>
  </si>
  <si>
    <t>209 Tổ 10, Ấp 5, Xã Trảng Bom, Tỉnh Đồng Nai, Việt Nam</t>
  </si>
  <si>
    <t>BHX_DON_TBO - 209 Tổ 10 Sông Trầu</t>
  </si>
  <si>
    <t>MINI_BHX.75.1886</t>
  </si>
  <si>
    <t>219 đường 3 tháng 2, Tổ 6A, Khu phố 5, Xã Trảng Bom, Tỉnh Đồng Nai, Việt Nam</t>
  </si>
  <si>
    <t>BHX_DON_TBO - 219 Đường 3 Tháng 2</t>
  </si>
  <si>
    <t>MINI_BHX.75.1981</t>
  </si>
  <si>
    <t>22 Đường 767, Tổ 17, Khu Phố 5, Xã Trị An, Tỉnh Đồng Nai, Việt Nam</t>
  </si>
  <si>
    <t>BHX_DON_VCU - 22 Đường 767 Vĩnh An</t>
  </si>
  <si>
    <t>MINI_BHX.75.392</t>
  </si>
  <si>
    <t>235 Yên Thế, Ấp Thái Hòa, Phường Hố Nai, Tỉnh Đồng Nai, Việt Nam</t>
  </si>
  <si>
    <t>BHX_DON_TBO - 235 Yên Thế</t>
  </si>
  <si>
    <t>MINI_BHX.75.1050</t>
  </si>
  <si>
    <t>237 ấp 1, Xã Tân An, Tỉnh Đồng Nai, Việt Nam</t>
  </si>
  <si>
    <t>BHX_DON_VCU - Vĩnh Tân</t>
  </si>
  <si>
    <t>MINI_BHX.75.342</t>
  </si>
  <si>
    <t>344 Ấp Xây Dựng, Xã Trảng Bom, Tỉnh Đồng Nai, Việt Nam</t>
  </si>
  <si>
    <t>BHX_DON_TBO - 344 Xây Dựng (Giang Điền)</t>
  </si>
  <si>
    <t>MINI_BHX.75.2001</t>
  </si>
  <si>
    <t>483 Quốc lộ 1A, Ấp Hòa Bình, Xã Hưng Thịnh, Tỉnh Đồng Nai, Việt Nam</t>
  </si>
  <si>
    <t>BHX_DON_TBO - 483 QL1A Đông Hòa</t>
  </si>
  <si>
    <t>MINI_BHX.75.1887</t>
  </si>
  <si>
    <t>54/4 Khu II, Ấp Thanh Hóa, Phường Hố Nai, Tỉnh Đồng Nai, Việt Nam</t>
  </si>
  <si>
    <t>BHX_DON_TBO - 54/4 Hố Nai 3</t>
  </si>
  <si>
    <t>MINI_BHX.75.1748</t>
  </si>
  <si>
    <t>595 An Chu, Xã Bình Minh, Tỉnh Đồng Nai, Việt Nam</t>
  </si>
  <si>
    <t>BHX_DON_TBO - 595 An Chu</t>
  </si>
  <si>
    <t>MINI_BHX.75.141</t>
  </si>
  <si>
    <t>659 Tổ 12, Khu phố Trần Cao Vân, Xã Dầu Giây, Tỉnh Đồng Nai, Việt Nam</t>
  </si>
  <si>
    <t>BHX_DON_TNH - 659 Khu Phố Trần Cao Vân</t>
  </si>
  <si>
    <t>MINI_BHX.75.1906</t>
  </si>
  <si>
    <t>97 Hùng Vương, Khu phố 1, Xã Trảng Bom, Tỉnh Đồng Nai, Việt Nam</t>
  </si>
  <si>
    <t>BHX_DON_TBO - 97 Hùng Vương</t>
  </si>
  <si>
    <t>MINI_BHX.75.1932</t>
  </si>
  <si>
    <t>Đường 767, Tổ 17, Ấp An Chu, Xã Bình Minh, Tỉnh Đồng Nai, Việt Nam</t>
  </si>
  <si>
    <t>BHX_DON_TBO - Đường 767 Bắc Sơn (Chợ Sông Mây)</t>
  </si>
  <si>
    <t>MINI_BHX.75.388</t>
  </si>
  <si>
    <t>Đường Cây Gáo - Trảng Bom, Ấp Tân Thành, Xã Bàu Hàm, Tỉnh Đồng Nai, Việt Nam</t>
  </si>
  <si>
    <t>BHX_DON_TBO - Cây Gáo (Thanh Bình)</t>
  </si>
  <si>
    <t>Đường DT 768, khu phố Trị An, Phường Trị An, Thành Phố Đồng Nai</t>
  </si>
  <si>
    <t>MINI_BHX.75.2378</t>
  </si>
  <si>
    <t>Đường Huỳnh Văn Nghệ, ấp An Chu, Xã Bình Minh, Tỉnh Đồng Nai, Việt Nam</t>
  </si>
  <si>
    <t>BHX_DON_TBO - Bắc Sơn ( Chợ Tạm Bắc Hợp)</t>
  </si>
  <si>
    <t>Đường Trảng Bom – Đồi 61, tổ 5, ấp Tân Phát, Xã An Viễn, Tỉnh Đồng Nai</t>
  </si>
  <si>
    <t>MINI_BHX.75.575</t>
  </si>
  <si>
    <t>Số 304 Tổ 40, Ấp phú sơn, Xã Bình Minh, Tỉnh Đồng Nai, Việt Nam</t>
  </si>
  <si>
    <t>BHX_DON_TBO - Thửa 434 Bắc Sơn</t>
  </si>
  <si>
    <t>MINI_BHX.75.1852</t>
  </si>
  <si>
    <t>Số 67 Đường 2/9, Tổ 3A, Khu Phố 4, Xã Trảng Bom, Tỉnh Đồng Nai, Việt Nam</t>
  </si>
  <si>
    <t>BHX_DON_TBO - 67 Đường 2/9 (Chợ Bờ Hồ)</t>
  </si>
  <si>
    <t>MINI_BHX.75.470</t>
  </si>
  <si>
    <t>Tổ 1, Ấp An Viễng, Xã Bình An, Tỉnh Đồng Nai, Việt Nam</t>
  </si>
  <si>
    <t>BHX_DON_LTH - An Viễng (Bình An)</t>
  </si>
  <si>
    <t>MINI_BHX.75.468</t>
  </si>
  <si>
    <t>Tổ 6, Ấp Hưng Long, Xã Hưng Thịnh, Tỉnh Đồng Nai, Việt Nam</t>
  </si>
  <si>
    <t>BHX_DON_TBO - Hưng Thịnh (Chợ Hưng Long)</t>
  </si>
  <si>
    <t>7E</t>
  </si>
  <si>
    <t>CVS_7ELEVEN.79.2106</t>
  </si>
  <si>
    <t>B1.01.02, Block B1, KCH - TMDV cao tầng (Opal Boulevard), số 10 Kha Vạn Cân, Phường An Bình, Thành phố Dĩ An, Tỉnh Bình Dương</t>
  </si>
  <si>
    <t>ST-01L-3022</t>
  </si>
  <si>
    <t>Não Thị Anh Đào</t>
  </si>
  <si>
    <t>CVS_7ELEVEN.79.2087</t>
  </si>
  <si>
    <t>Đường Thống Nhất, Phường Đông Hoà, TP Hồ Chí Minh</t>
  </si>
  <si>
    <t>CVS_7ELEVEN.79.2105</t>
  </si>
  <si>
    <t>R01.20, tòa Ruby Charm City, 115 đường ĐT 743C</t>
  </si>
  <si>
    <t>116A Phan Đình Phùng, Khu phố 2, Phường Trấn Biên, Tỉnh Đồng Nai, Việt Nam</t>
  </si>
  <si>
    <t>124B Ấp 1, Phường Biên Hòa, Tỉnh Đồng Nai, Việt Nam</t>
  </si>
  <si>
    <t>156 Hoàng Minh Chánh, Phường Biên Hòa, Tỉnh Đồng Nai, Việt Nam</t>
  </si>
  <si>
    <t>1888/12 Phan Đình Phùng, Khu B, KP 6, Phường Trung Dũng, TP. Biên Hòa, Tỉnh Đồng Nai</t>
  </si>
  <si>
    <t>233, đường N4 Khu dân cư Bửu Long, khu phố Bình Thành, Phường Trấn Biên, Tỉnh Đồng Nai</t>
  </si>
  <si>
    <t>27C Tổ 10B, Khu phố Đồng Nai, Phường Biên Hòa, Tỉnh Đồng Nai, Việt Nam</t>
  </si>
  <si>
    <t>556, đường Huỳnh Văn Nghệ, khu phố 4, Phường Trấn Biên, Tỉnh Đồng Nai, Việt Nam</t>
  </si>
  <si>
    <t>K4/278, Ấp Tân Bình, Phường Biên Hòa, Tỉnh Đồng Nai, Việt Nam</t>
  </si>
  <si>
    <t>Số 106-108, đường Cách Mạng Tháng 8, khu phố Cây Chàm, Phường Trấn Biên, Tỉnh Đồng Nai</t>
  </si>
  <si>
    <t>Số 22, Đường Đặng Văn Trơn, Ấp Nhị Hòa, Phường Trấn Biên, Tỉnh Đồng Nai, Việt Nam</t>
  </si>
  <si>
    <t>Số A2/285 - A3/306, Khu phố 2, Phường Biên Hòa, Tỉnh Đồng Nai, Việt Nam</t>
  </si>
  <si>
    <t>CVS_CIRCLEK.79.4052</t>
  </si>
  <si>
    <t>CIRCLE_K_BINH_DUONG</t>
  </si>
  <si>
    <t>CVS_CIRCLEK.75.4159</t>
  </si>
  <si>
    <t>CVS_CIRCLEK.75.4160</t>
  </si>
  <si>
    <t>CVS_CIRCLEK.75.4097</t>
  </si>
  <si>
    <t>CVS_FAMILYMART.75.2552</t>
  </si>
  <si>
    <t>CVS_FAMILYMART.79.2507</t>
  </si>
  <si>
    <t>TD3001148Q</t>
  </si>
  <si>
    <t>CVS_FAMILYMART.75.2591</t>
  </si>
  <si>
    <t>CVS_GS25.75.6698</t>
  </si>
  <si>
    <t>1363A Nguyễn Ái Quốc, khu phố 6, Phường Tân Tiến, Thành phố Biên Hòa, Tỉnh Đồng Nai</t>
  </si>
  <si>
    <t>GS25 1363A đường Nguyễn Ái Quốc</t>
  </si>
  <si>
    <t>CVS_GS25.75.6696</t>
  </si>
  <si>
    <t>170 Đường 30/4, Phường Trung Dũng, Thành phố Biên Hòa, Tỉnh Đồng Nai</t>
  </si>
  <si>
    <t>GS25 170 đường 30/4 Biên Hòa</t>
  </si>
  <si>
    <t>CVS_GS25.75.6683</t>
  </si>
  <si>
    <t>Cửa hàng R03, Tầng 01, dự án chung cư Block B (Topaz Twins) – Khu trung tâm thương mại kết hợp nhà ở cao tầng, Phường Thống Nhất, Thành phố Biên Hòa, Tỉnh Đồng Nai</t>
  </si>
  <si>
    <t>GS25 Cửa hàng R03, Block B Topaz</t>
  </si>
  <si>
    <t>CVS_GS25.75.6892</t>
  </si>
  <si>
    <t>GS25 196 Võ Thị Sáu  - Đồng Nai</t>
  </si>
  <si>
    <t>CVS_GS25.79.6598</t>
  </si>
  <si>
    <t>GS25 CHARM CITY – BÌNH DƯƠNG</t>
  </si>
  <si>
    <t>CVS_GS25.79.6615</t>
  </si>
  <si>
    <t>GS25 Đường GS01, Đông Hòa Dĩ An - Đường GS01, Phường Đông Hòa, TP Hồ Chí Minh</t>
  </si>
  <si>
    <t>CVS_GS25.79.6597</t>
  </si>
  <si>
    <t>GS25 Đường Số 9 Dĩ An – Bình Dương</t>
  </si>
  <si>
    <t>CVS_GS25.75.6890</t>
  </si>
  <si>
    <t>GS25 Hà Huy Giáp - Biên Hòa</t>
  </si>
  <si>
    <t>CVS_GS25.79.6699</t>
  </si>
  <si>
    <t>Khu B, Tầng 1, Block C, Dự án khu căn hộ chung cư HT – Ngọc Châu (HT – Pearl Apartment), 29/8 Nguyễn Bỉnh Khiêm, Khu phố Tân Hòa, Phường Đông Hòa, Thành phố Dĩ An, Tỉnh Bình Dương</t>
  </si>
  <si>
    <t>GS25 chung cư HT- Pearl Apartment Dĩ An</t>
  </si>
  <si>
    <t>CVS_GS25.75.6889</t>
  </si>
  <si>
    <t>Siêu thị GS-25 165, Cách Mạng Tháng Tám</t>
  </si>
  <si>
    <t>CVS_GS25.79.6596</t>
  </si>
  <si>
    <t>Siêu thị GS-25 167-169, Nguyễn Trãi</t>
  </si>
  <si>
    <t>CVS_GS25.75.6920</t>
  </si>
  <si>
    <t>Siêu thị GS-25 250, Phan Trung</t>
  </si>
  <si>
    <t>CVS_GS25.79.6593</t>
  </si>
  <si>
    <t>Siêu thị GS-25 330A, Lê Hồng Phong</t>
  </si>
  <si>
    <t>CVS_GS25.75.6918</t>
  </si>
  <si>
    <t>Siêu thị GS-25 342, Đồng Khởi</t>
  </si>
  <si>
    <t>CVS_GS25.79.6594</t>
  </si>
  <si>
    <t>Siêu thị GS-25 51A-51B, Lý Thường Kiệt</t>
  </si>
  <si>
    <t>CVS_GS25.75.6888</t>
  </si>
  <si>
    <t>Siêu thị GS-25 9, Đường 30/4</t>
  </si>
  <si>
    <t>CVS_GS25.75.6859</t>
  </si>
  <si>
    <t>Siêu thị GS-25 Số 11/3B, đường Huỳnh Văn Nghệ</t>
  </si>
  <si>
    <t>CVS_GS25.75.6917</t>
  </si>
  <si>
    <t>Siêu thị GS-25 Số 16-A18, Khu dân cư An Bình</t>
  </si>
  <si>
    <t>CVS_GS25.79.6592</t>
  </si>
  <si>
    <t>Siêu thị GS-25 Số 27, Nguyễn Du</t>
  </si>
  <si>
    <t>CVS_GS25.75.6915</t>
  </si>
  <si>
    <t>Siêu thị GS-25 Số 4B,</t>
  </si>
  <si>
    <t>CVS_GS25.75.6916</t>
  </si>
  <si>
    <t>Siêu thị GS-25 Số D4, Tổ 16</t>
  </si>
  <si>
    <t>CVS_GS25.75.6697</t>
  </si>
  <si>
    <t>Tầng 1 và 2, 916 Phạm Văn Thuận, Phường Tân Mai, Thành phố Biên Hòa, Tỉnh Đồng Nai</t>
  </si>
  <si>
    <t>CVS_GS25.79.6996</t>
  </si>
  <si>
    <t>Toàn bộ căn hộ số 01-04 (Mã căn hộ A2.01.05), Block A2, Tầng 1, Dự án Khu thương mại - Dịch vụ - văn phòng - Căn hộ Bcons, số 38 đường Thống Nhất, khu phố Tân Hòa, Phường Đông Hòa, Thành phố Hồ Chí Minh</t>
  </si>
  <si>
    <t>GS25 Bcons Sapphire Dĩ An</t>
  </si>
  <si>
    <t>CVS_7ELEVEN.79.2164</t>
  </si>
  <si>
    <t>Căn TMDV Số 4, , Khu B, Lô C17, Đại lộ Hùng Vương, Chung cư SORA garden II, Phường Bình Dương, TP Hồ Chí Minh</t>
  </si>
  <si>
    <t>ST-02L-3011</t>
  </si>
  <si>
    <t>Nguyễn Đức Hoà</t>
  </si>
  <si>
    <t>CVS_7ELEVEN.79.2104</t>
  </si>
  <si>
    <t>Tòa A Happy One Central, 113 đường 30/4, Phường Phú Hòa, Thủ Dầu Một, Bình Dương</t>
  </si>
  <si>
    <t>CVS_CIRCLEK.79.4100</t>
  </si>
  <si>
    <t>CVS_CIRCLEK.79.4098</t>
  </si>
  <si>
    <t>CVS_CIRCLEK.79.4099</t>
  </si>
  <si>
    <t>CVS_FAMILYMART.79.2567</t>
  </si>
  <si>
    <t>CVS_FAMILYMART.79.2564</t>
  </si>
  <si>
    <t>CVS_FAMILYMART.79.2562</t>
  </si>
  <si>
    <t>CVS_FAMILYMART.79.2569</t>
  </si>
  <si>
    <t>CVS_FAMILYMART.79.2675</t>
  </si>
  <si>
    <t>CVS_FAMILYMART.79.2565</t>
  </si>
  <si>
    <t>CVS_FAMILYMART.79.2504</t>
  </si>
  <si>
    <t>CVS_FAMILYMART.79.2505</t>
  </si>
  <si>
    <t>CVS_FAMILYMART.79.2563</t>
  </si>
  <si>
    <t>CVS_FAMILYMART.79.2561</t>
  </si>
  <si>
    <t>CVS_FAMILYMART.79.2506</t>
  </si>
  <si>
    <t>CVS_FAMILYMART.79.2560</t>
  </si>
  <si>
    <t>CVS_FAMILYMART.79.2558</t>
  </si>
  <si>
    <t>CVS_FAMILYMART.79.2556</t>
  </si>
  <si>
    <t>CVS_FAMILYMART.79.2553</t>
  </si>
  <si>
    <t>CVS_FAMILYMART.79.2568</t>
  </si>
  <si>
    <t>CVS_FAMILYMART.79.2570</t>
  </si>
  <si>
    <t>CVS_FAMILYMART.79.2566</t>
  </si>
  <si>
    <t>CVS_FAMILYMART.79.2555</t>
  </si>
  <si>
    <t>CVS_FAMILYMART.79.2559</t>
  </si>
  <si>
    <t>CVS_FAMILYMART.79.2554</t>
  </si>
  <si>
    <t>CVS_FAMILYMART.79.2557</t>
  </si>
  <si>
    <t>CVS_GS25.79.6857</t>
  </si>
  <si>
    <t>06, Trần Văn Ơn, P,Phú Hòa, TP,Thủ Dầu Một, Bình Dương</t>
  </si>
  <si>
    <t>Siêu thị GS-25 06, Trần Văn Ơn</t>
  </si>
  <si>
    <t>CVS_GS25.79.6616</t>
  </si>
  <si>
    <t>1/1A đường 30/4 Phường Phú Hòa, Thủ Dầu Một, Bình Dương</t>
  </si>
  <si>
    <t>CVS_GS25.79.6894</t>
  </si>
  <si>
    <t>1/291A, tổ 4, khu phố Hòa Lân 2, P,Thuận Giao, TX,Thuận An, Bình Dương</t>
  </si>
  <si>
    <t>Siêu thị GS-25 1/291A, tổ 4, khu phố Hòa Lân 2, P,Thuận Giao</t>
  </si>
  <si>
    <t>CVS_GS25.79.6893</t>
  </si>
  <si>
    <t>1/DC64/2, Đường D1, P,Thuận Giao, TX,Thuận An, Bình Dương</t>
  </si>
  <si>
    <t>GS25 1/DC64/2, Đường D1, P,Thuận Giao, TX,Thuận An, Bình Dương</t>
  </si>
  <si>
    <t>CVS_GS25.79.6856</t>
  </si>
  <si>
    <t>171, Ngô Gia Tự, P,Chánh Nghĩa, TP,Thủ Dầu Một, Bình Dương</t>
  </si>
  <si>
    <t>Siêu thị GS-25 171, Ngô Gia Tự</t>
  </si>
  <si>
    <t>CVS_GS25.79.6997</t>
  </si>
  <si>
    <t>519 Đường Lý Thái Tổ, khu Hòa Phú 2, Bình Dương, Hồ Chí Minh, Việt Nam</t>
  </si>
  <si>
    <t>GS25 519 Lý Thái Tổ, Bình Dương</t>
  </si>
  <si>
    <t>CVS_GS25.79.6595</t>
  </si>
  <si>
    <t>C181A, Cách Mạng Tháng Tám, P,Lái Thiêu, TX,Thuận An, Bình Dương</t>
  </si>
  <si>
    <t>Siêu thị GS-25 C181A, Cách Mạng Tháng Tám</t>
  </si>
  <si>
    <t>CVS_GS25.79.6854</t>
  </si>
  <si>
    <t>Căn B7-5-1,03, B7-5-1,04, B7-5-1,05, B7-5-1,06 và B7-5-1,07, Lô B7-5, Nhà ở xã hội Becamex, Khu Định Hòa, đường D1, P,Định Hòa, TP,Thủ Dầu Một, Bình Dương</t>
  </si>
  <si>
    <t>Siêu thị GS-25 Căn B7-5-1,03, B7-5-1,04</t>
  </si>
  <si>
    <t>CVS_GS25.79.6634</t>
  </si>
  <si>
    <t>Căn hộ chung cư số A.01.02, Khu căn hộ - Thương mại dịch vụ cao tầng đường Nguyễn Văn Tiết, số 11B đường Nguyễn Văn Tiết, Khu phố Bình Hòa, 2 Phường Lái Thiêu Thành Phố Thuận An, Tỉnh Bình Dương</t>
  </si>
  <si>
    <t>CVS_GS25.79.6633</t>
  </si>
  <si>
    <t>Căn hộ kết hợp thương mại dịch vụ A0101, Tầng 1, Khối A thuộc Chung cư Thuận Giao, Tổ 3, Khu phố Hoà Lân 2, Phường Thuận Giao, Thành phố Thuận An, Tỉnh Bình Dương</t>
  </si>
  <si>
    <t>CVS_GS25.79.6661</t>
  </si>
  <si>
    <t>Căn hộ thương mại dịch vụ số A0104, Tầng 1, Khối A, Chung cư Thuận Giao, Tổ 3, khu phố Hòa Lân 2, Phường Thuận Giao, Thành phố Thuận An,Tỉnh Bình Dương</t>
  </si>
  <si>
    <t>CVS_GS25.79.6657</t>
  </si>
  <si>
    <t>Can ho TMDV so 0102, Chung cu Chanh Nghia Quoc Cuong, Block Sky.B, so 161 duong D8-KDC Chanh Nghia, Phuong Chanh Nghia, Thanh pho Thu Dau Mot, Tinh Binh Duong</t>
  </si>
  <si>
    <t>CVS_GS25.79.6656</t>
  </si>
  <si>
    <t>D10, KP 6, Phường Thới Hòa, TP Bến Cát, Bình Dương</t>
  </si>
  <si>
    <t>Siêu thị GS-25 D10 Bến Cát</t>
  </si>
  <si>
    <t>CVS_GS25.79.6591</t>
  </si>
  <si>
    <t>G01-G02, Tầng trệt, block CT2, thửa đất 351, đại lộ Bình Dương, khu phố Hưng Lộc, dự án First home Bình Dương, phường Hưng Định, thành phố Thuận An, tỉnh Bình Dương</t>
  </si>
  <si>
    <t>Siêu thị GS-25 G01-G02, Tầng trệt</t>
  </si>
  <si>
    <t>CVS_GS25.79.6695</t>
  </si>
  <si>
    <t>SH.12 và SH.16, Tháp A1, dự án Khu căn hộ Đạt Phước – Rivana, 60/3 Đại lộ Bình Dương, khu phố Tây, Phường Vĩnh Phú, Thành phố Thuận An, Tỉnh Bình Dương</t>
  </si>
  <si>
    <t>GS25 Đạt Phước – Rivana</t>
  </si>
  <si>
    <t>CVS_GS25.79.6858</t>
  </si>
  <si>
    <t>Siêu thị GS-25 789, Nguyễn Chí Thanh</t>
  </si>
  <si>
    <t>CVS_GS25.79.6853</t>
  </si>
  <si>
    <t>Siêu thị GS-25 Gian hàng G-07, tầng Trệt TTTM Becamex Tower</t>
  </si>
  <si>
    <t>CVS_GS25.79.6855</t>
  </si>
  <si>
    <t>Số 30A/2, Cách Mạng Tháng 8, P,An Thạnh, TX,Thuận An, Bình Dương</t>
  </si>
  <si>
    <t>Siêu thị GS-25 Số 30A/2, Cách Mạng Tháng 8</t>
  </si>
  <si>
    <t>CVS_GS25.79.6658</t>
  </si>
  <si>
    <t>Tang Tret (Mot phan), Tang 2 va Tang 3, 122 Hoang Hoa Tham, Phuong Hiep Thanh, Thanh pho Thu Dau Mot, Tinh Binh Duong</t>
  </si>
  <si>
    <t>CVS_GS25.79.6601</t>
  </si>
  <si>
    <t>Thửa đất số 5630 – 5631, Tờ bản đồ số 34, Tổ 4.3, Khu phố 3A, Khu dân cư Ấp 2, Phường Thới Hòa, Thị xã Bến Cát, Tỉnh Bình Dương</t>
  </si>
  <si>
    <t>GS25 Thới Hòa Bến Cát -  Bình Dương</t>
  </si>
  <si>
    <t>VI3003</t>
  </si>
  <si>
    <t>CVS_GS25.79.6859</t>
  </si>
  <si>
    <t>63 Trần Văn Ơn, Phú Lợi, Hồ Chí Minh, Việt Nam</t>
  </si>
  <si>
    <t>GS25 Trần Văn Ơn</t>
  </si>
  <si>
    <t>CVS_GS25.79.6860</t>
  </si>
  <si>
    <t>8 Hữu Nghị, Bình Hòa, Hồ Chí Minh, Việt Nam</t>
  </si>
  <si>
    <t>GS25 Hữu Nghị</t>
  </si>
  <si>
    <t>1/1 Tổ 1, Ấp Nhân Tiến, Xã Xuyên Mộc, Thành phố Hồ Chí Minh, Việt Nam</t>
  </si>
  <si>
    <t>ST-01K-3004</t>
  </si>
  <si>
    <t>Nguyễn Thanh Nhàn</t>
  </si>
  <si>
    <t>127 Lê Hồng Phong, Xã Ngãi Giao, Thành phố Hồ Chí Minh, Việt Nam</t>
  </si>
  <si>
    <t>158 Tôn Thất Tùng, Tổ 7, Khu phố Tân Hạnh, Phường Phú Mỹ, Thành phố Hồ Chí Minh, Việt Nam</t>
  </si>
  <si>
    <t>224/6 Khu phố Phước Hòa, Xã Hồ Tràm, Thành phố Hồ Chí Minh, Việt Nam</t>
  </si>
  <si>
    <t>254-256 Lê Hồng Phong, Ấp Ngãi Giao, Xã Ngãi Giao, Thành Phố Hồ Chí Minh</t>
  </si>
  <si>
    <t>40 Nguyễn Cư Trinh, Khu phố Tân Ngọc, Phường Phú Mỹ, Thành phố Hồ Chí Minh, Việt Nam</t>
  </si>
  <si>
    <t>Ấp Bình An, Xã Bình Châu, Thành phố Hồ Chí Minh, Việt Nam</t>
  </si>
  <si>
    <t>Đường B1, Tổ 1, Phường Phú Mỹ, Thành phố Hồ Chí Minh, Việt Nam</t>
  </si>
  <si>
    <t>Đường TL328, Ấp 2 Đông, Xã Bàu Lâm, Thành phố Hồ Chí Minh, Việt Nam</t>
  </si>
  <si>
    <t>Đường Trường Chinh, Tổ 11, Khu phố Vạn Hạnh, Phường Phú Mỹ, Thành phố Hồ Chí Minh, Việt Nam</t>
  </si>
  <si>
    <t>Khu phố Mỹ Thạnh, Phường Phú Mỹ, Thành phố Hồ Chí Minh, Việt Nam</t>
  </si>
  <si>
    <t>Khu phố Ông Trịnh, Phường Tân Phước, Thành phố Hồ Chí Minh, Việt Nam</t>
  </si>
  <si>
    <t>Quốc lộ 51, tổ 15, khu phố Hải Sơn, Phường Tân Phước, Thành phố Hồ Chí Minh, Việt Nam</t>
  </si>
  <si>
    <t>Số 73 Đường 328, Ấp 4, Xã Hòa Hội, Thành phố Hồ Chí Minh, Việt Nam</t>
  </si>
  <si>
    <t>Thôn Tân Phú, Xã Châu Pha, Thành phố Hồ Chí Minh, Việt Nam</t>
  </si>
  <si>
    <t>Thôn Vinh Sơn, Xã Nghĩa Thành, Thành phố Hồ Chí Minh, Việt Nam</t>
  </si>
  <si>
    <t>Tổ 1, Ấp 2, Xã Xuyên Mộc, Thành phố Hồ Chí Minh, Việt Nam</t>
  </si>
  <si>
    <t>Tổ 1, Khu Phố 5, Phường Tân Thành, Thành phố Hồ Chí Minh, Việt Nam</t>
  </si>
  <si>
    <t>Tổ 2, Ấp Gia Hòa Yên, Xã Bình Giã, Thành phố Hồ Chí Minh, Việt Nam</t>
  </si>
  <si>
    <t>Tổ 3, đường Hùng Vương, Khu phố Ngãi Giao, Xã Ngãi Giao, Thành phố Hồ Chí Minh, Việt Nam</t>
  </si>
  <si>
    <t>Tổ 4, Khu phố Trảng Cát, Phường Tân Thành, Thành phố Hồ Chí Minh, Việt Nam</t>
  </si>
  <si>
    <t>Tổ 47, Thôn Xuân Hòa, Xã Xuân Sơn, Thành phố Hồ Chí Minh, Việt Nam</t>
  </si>
  <si>
    <t>Tổ 5, khu phố Thị Vải, Phường Phú Mỹ, Thành phố Hồ Chí Minh, Việt Nam</t>
  </si>
  <si>
    <t>Tổ 53, Ấp Liên Lộc, Xã Châu Đức, Thành phố Hồ Chí Minh, Việt Nam</t>
  </si>
  <si>
    <t>Tổ 8, thôn Lạc Long, Xã Kim Long, Thành phố Hồ Chí Minh, Việt Nam</t>
  </si>
  <si>
    <t>01 Nguyễn Bỉnh Khiêm, Phường Vũng Tàu, Thành phố Hồ Chí Minh, Việt Nam</t>
  </si>
  <si>
    <t>ST-12H-3011</t>
  </si>
  <si>
    <t>Nguyễn Thị Thanh Thủy</t>
  </si>
  <si>
    <t>164 Bình Giã, Phường Tam Thắng, Thành phố Hồ Chí Minh, Việt Nam</t>
  </si>
  <si>
    <t>39 Trần Đồng, Phường Vũng Tàu, Thành phố Hồ Chí Minh, Việt Nam</t>
  </si>
  <si>
    <t>64 Võ Thị Sáu, Phường Vũng Tàu, Thành Phố Hồ Chí Minh</t>
  </si>
  <si>
    <t>Số 95 đường Chí Linh 18, Phường Tam Thắng, Thành phố Hồ Chí Minh, Việt Nam</t>
  </si>
  <si>
    <t>thửa đất số: 08 tờ bản đồ số 40, Phường Rạch Dừa, Thành phố Hồ Chí Minh, Việt Nam</t>
  </si>
  <si>
    <t>CVS_CIRCLEK.79.4253</t>
  </si>
  <si>
    <t>CIRCLE_K_VUNG_TAU</t>
  </si>
  <si>
    <t>CVS_CIRCLEK.79.4263</t>
  </si>
  <si>
    <t>CVS_CIRCLEK.79.4261</t>
  </si>
  <si>
    <t>CVS_CIRCLEK.79.4260</t>
  </si>
  <si>
    <t>CVS_CIRCLEK.79.4267</t>
  </si>
  <si>
    <t>CVS_CIRCLEK.79.4252</t>
  </si>
  <si>
    <t>CVS_CIRCLEK.79.4262</t>
  </si>
  <si>
    <t>CVS_CIRCLEK.79.4265</t>
  </si>
  <si>
    <t>CVS_CIRCLEK.79.4268</t>
  </si>
  <si>
    <t>CVS_CIRCLEK.79.4255</t>
  </si>
  <si>
    <t>CVS_CIRCLEK.79.4254</t>
  </si>
  <si>
    <t>CVS_CIRCLEK.79.4269</t>
  </si>
  <si>
    <t>CVS_CIRCLEK.79.4258</t>
  </si>
  <si>
    <t>CVS_CIRCLEK.79.4259</t>
  </si>
  <si>
    <t>CVS_CIRCLEK.79.4256</t>
  </si>
  <si>
    <t>CVS_CIRCLEK.79.4266</t>
  </si>
  <si>
    <t>CVS_CIRCLEK.79.4257</t>
  </si>
  <si>
    <t>CVS_CIRCLEK.79.4566</t>
  </si>
  <si>
    <t>CVS_FAMILYMART.79.2639</t>
  </si>
  <si>
    <t>CVS_FAMILYMART.79.2636</t>
  </si>
  <si>
    <t>CVS_FAMILYMART.79.2637</t>
  </si>
  <si>
    <t>171, Nam Kỳ Khởi Nghĩa, P.6, TP.Vũng Tàu, Bà Rịa Vũng Tàu</t>
  </si>
  <si>
    <t>CVS_FAMILYMART.79.2641</t>
  </si>
  <si>
    <t>CVS_FAMILYMART.79.2638</t>
  </si>
  <si>
    <t>CVS_FAMILYMART.79.2640</t>
  </si>
  <si>
    <t>CVS_FAMILYMART.79.2635</t>
  </si>
  <si>
    <t>CVS_GS25.79.6654</t>
  </si>
  <si>
    <t>12 Trương Công Định, Phường 2, Vũng Tàu</t>
  </si>
  <si>
    <t>GS25 12 Trương Công Định Vũng Tàu</t>
  </si>
  <si>
    <t>CVS_GS25.79.6974</t>
  </si>
  <si>
    <t>28 thi sách, vũng tàu</t>
  </si>
  <si>
    <t>Gs25 The Song</t>
  </si>
  <si>
    <t>CVS_GS25.79.6614</t>
  </si>
  <si>
    <t>41 Phó Đức Chính, Phường Thắng Tam, Vũng Tàu</t>
  </si>
  <si>
    <t>CVS_GS25.79.6965</t>
  </si>
  <si>
    <t>GS25 Hoàng Hoa Thám - Vũng Tàu</t>
  </si>
  <si>
    <t>CVS_GS25.79.6973</t>
  </si>
  <si>
    <t>GS25 Phan Văn Trị - Vũng Tàu</t>
  </si>
  <si>
    <t>CVS_GS25.79.6970</t>
  </si>
  <si>
    <t>Siêu thị GS-25 1A, Phó Đức Chính</t>
  </si>
  <si>
    <t>CVS_GS25.79.6972</t>
  </si>
  <si>
    <t>Siêu thị GS-25 464, Trương Công Định</t>
  </si>
  <si>
    <t>CVS_GS25.79.6969</t>
  </si>
  <si>
    <t>Siêu thị GS-25 87, Thùy Vân</t>
  </si>
  <si>
    <t>CVS_GS25.79.6968</t>
  </si>
  <si>
    <t>Siêu thị GS-25 Số 13, Trần Quý Cáp</t>
  </si>
  <si>
    <t>CVS_GS25.79.6967</t>
  </si>
  <si>
    <t>Siêu thị GS-25 Số 53, Thùy Vân</t>
  </si>
  <si>
    <t>CVS_GS25.79.6746</t>
  </si>
  <si>
    <t>Số 02-04 Đường Võ Thị Sáu, Phường 2, Thành phố Vũng Tàu, Tỉnh Bà Rịa – Vũng Tàu</t>
  </si>
  <si>
    <t>GS25 Vo Thi Sau – Vung Tau</t>
  </si>
  <si>
    <t>CVS_GS25.79.6764</t>
  </si>
  <si>
    <t>Số 51 đường Trưng Nhị (tầng 1 và tầng 2), Phường 1, Thành phố Vũng Tàu, Tỉnh Bà Rịa – Vũng Tàu</t>
  </si>
  <si>
    <t>GS25 Trưng Nhị</t>
  </si>
  <si>
    <t>CVS_GS25.79.6767</t>
  </si>
  <si>
    <t>Tầng 1 và tầng lửng căn hộ chung cư số LK-07, chung cư Vũng Tàu Center, Số 93 Lê Lợi, Phường Thắng Nhì, Thành phố Vũng Tàu, Tỉnh Bà Rịa – Vũng Tàu</t>
  </si>
  <si>
    <t>GS25 CC Vũng Tàu Center</t>
  </si>
  <si>
    <t>MINI_BHX.75.142</t>
  </si>
  <si>
    <t>1459 Quốc lộ 20, Ấp Ngọc Lâm 1, Xã Tân Phú, Tỉnh Đồng Nai, Việt Nam</t>
  </si>
  <si>
    <t>BHX_DON_TPH - 1459 Quốc Lộ 20 (Phú Xuân)</t>
  </si>
  <si>
    <t>ST-06J-3010</t>
  </si>
  <si>
    <t>Phạm Thị Kim Nhung</t>
  </si>
  <si>
    <t>MINI_BHX.75.2383</t>
  </si>
  <si>
    <t>165/1 đường Quốc Lộ 20, ấp Dốc Mơ 1, Xã Thống Nhất, Tỉnh Đồng Nai, Việt Nam</t>
  </si>
  <si>
    <t>BHX_DON_TNH - Gia Tân 1</t>
  </si>
  <si>
    <t>MINI_BHX.75.492</t>
  </si>
  <si>
    <t>2240 Tổ 1, Ấp Phương Mai 1, Xã Phú Lâm, Tỉnh Đồng Nai, Việt Nam</t>
  </si>
  <si>
    <t>BHX_DON_TPH - 2240 Phú Lâm</t>
  </si>
  <si>
    <t>MINI_BHX.75.471</t>
  </si>
  <si>
    <t>40/4 Ấp 1, Xã La Ngà, Tỉnh Đồng Nai, Việt Nam</t>
  </si>
  <si>
    <t>BHX_DON_DQU - 40/4 La Ngà</t>
  </si>
  <si>
    <t>MINI_BHX.75.133</t>
  </si>
  <si>
    <t>548 Tổ 2, Khu 5, Xã Tân Phú, Tỉnh Đồng Nai, Việt Nam</t>
  </si>
  <si>
    <t>BHX_DON_TPH - 548 Tổ 2 (Tân Phú)</t>
  </si>
  <si>
    <t>Đường 600A, tổ 2, ấp 5, Xã Nam Cát Tiên, Thành phố Đồng Nai</t>
  </si>
  <si>
    <t>MINI_BHX.75.2379</t>
  </si>
  <si>
    <t>Đường Tà Lài, tổ 9, khu 2, Xã Tân Phú, Tỉnh Đồng Nai, Việt Nam</t>
  </si>
  <si>
    <t>BHX_DON_TPH - Tân Phú</t>
  </si>
  <si>
    <t>MINI_BHX.75.2125</t>
  </si>
  <si>
    <t>Khu dân cư 17, ấp 3, Xã Phú Hòa, Tỉnh Đồng Nai, Việt Nam</t>
  </si>
  <si>
    <t>BHX_DON_DQU - Phú Hòa</t>
  </si>
  <si>
    <t>Quốc Lộ 20, tổ 15, ấp Hiệp Lợi, Xã Định Quán, Thành phố Đồng Nai</t>
  </si>
  <si>
    <t>MINI_BHX.75.1984</t>
  </si>
  <si>
    <t>Số 1, Ấp Chợ, Xã Thống Nhất, Tỉnh Đồng Nai, Việt Nam</t>
  </si>
  <si>
    <t>BHX_DON_DQU - Số 1 Ấp Chợ Phú Túc</t>
  </si>
  <si>
    <t>MINI_BHX.75.1997</t>
  </si>
  <si>
    <t>Số 1, đường DDT763, Ấp 3, Xã Xuân Bắc, Tỉnh Đồng Nai, Việt Nam</t>
  </si>
  <si>
    <t>BHX_DON_DQU - Số 1 ĐT763 Suối Nho</t>
  </si>
  <si>
    <t>MINI_BHX.75.233</t>
  </si>
  <si>
    <t>Số 13 Quốc Lộ 20, Xã Định Quán, Tỉnh Đồng Nai, Việt Nam</t>
  </si>
  <si>
    <t>BHX_DON_DQU - 13 Quốc Lộ 20 (Phú Ngọc)</t>
  </si>
  <si>
    <t>MINI_BHX.75.1998</t>
  </si>
  <si>
    <t>Số 14, Phố 1, Ấp 3, Xã Phú Vinh, Tỉnh Đồng Nai, Việt Nam</t>
  </si>
  <si>
    <t>BHX_DON_DQU - Số 14 Phú Vinh</t>
  </si>
  <si>
    <t>MINI_BHX.75.2124</t>
  </si>
  <si>
    <t>Số 1447/E, Tổ 10, ấp Phú Tân, Xã Thống Nhất, Tỉnh Đồng Nai, Việt Nam</t>
  </si>
  <si>
    <t>BHX_DON_DQU - 1447/E Phú Tân</t>
  </si>
  <si>
    <t>MINI_BHX.75.2382</t>
  </si>
  <si>
    <t>Số 15-16 Quốc Lộ 20, Tổ 01, ấp Nguyễn Huệ 01, Xã Gia Kiệm, Tỉnh Đồng Nai, Việt Nam</t>
  </si>
  <si>
    <t>BHX_DON_TNH - Quang Trung</t>
  </si>
  <si>
    <t>MINI_BHX.75.208</t>
  </si>
  <si>
    <t>Số 222 Nguyễn Trãi, Khu phố Hiệp Tâm 2, Xã Định Quán, Tỉnh Đồng Nai, Việt Nam</t>
  </si>
  <si>
    <t>BHX_DON_DQU - 222 Nguyễn Trãi</t>
  </si>
  <si>
    <t>MINI_BHX.75.1052</t>
  </si>
  <si>
    <t>Tổ 1, ấp 1, Xã Thanh Sơn, Tỉnh Đồng Nai, Việt Nam</t>
  </si>
  <si>
    <t>BHX_DON_DQU - Thanh Sơn</t>
  </si>
  <si>
    <t>MINI_BHX.75.654</t>
  </si>
  <si>
    <t>Tổ 13, Ấp 1, Xã Tân Phú, Tỉnh Đồng Nai, Việt Nam</t>
  </si>
  <si>
    <t>BHX_DON_TPH - Phú Lộc</t>
  </si>
  <si>
    <t>MINI_BHX.75.561</t>
  </si>
  <si>
    <t>Tổ 3, Khu phố Hiệp Quyết, Xã Định Quán, Tỉnh Đồng Nai, Việt Nam</t>
  </si>
  <si>
    <t>BHX_DON_DQU - Tổ 3 Hiệp Quyết</t>
  </si>
  <si>
    <t>MINI_BHX.75.625</t>
  </si>
  <si>
    <t>Tổ 7, ấp 4, Xã Tà Lài, Tỉnh Đồng Nai, Việt Nam</t>
  </si>
  <si>
    <t>BHX_DON_TPH - Thửa 42 Phú Lập</t>
  </si>
  <si>
    <t>CVS_THECITY.75.1253</t>
  </si>
  <si>
    <t>3210 đường Quốc lộ 51, Ấp 1C, Xã Phước Thái, Tỉnh Đồng Nai, Việt Nam</t>
  </si>
  <si>
    <t>620H, đường Lê Duẩn, Tổ 1, khu Cầu Xéo, Xã Long Thành, Tỉnh Đồng Nai, Việt Nam</t>
  </si>
  <si>
    <t>Đường Hà Huy Giáp, Khu Văn Hải, Xã Long Thành, Tỉnh Đồng Nai, Việt Nam</t>
  </si>
  <si>
    <t>Tổ 1, Ấp Long Phú, Xã Phước Thái, Tỉnh Đồng Nai, Việt Nam</t>
  </si>
  <si>
    <t>Tổ 15, Ấp Phước Hòa, Xã Long Phước, Tỉnh Đồng Nai, Việt Nam</t>
  </si>
  <si>
    <t>Tổ 60, Ấp 5, Xã An Phước, Tỉnh Đồng Nai, Việt Nam</t>
  </si>
  <si>
    <t>Tổ 8, Ấp 2, Xã Phước Thái, Tỉnh Đồng Nai, Việt Nam</t>
  </si>
  <si>
    <t>14/5 - 14/5A, đường Nguyễn văn Tỏ, khu Phố Thái Hòa, Phường Long Hưng, Tỉnh Đồng Nai</t>
  </si>
  <si>
    <t>17/12, khu phố 8, Phường Long Bình, Tỉnh Đồng Nai</t>
  </si>
  <si>
    <t>194 Đường 27/4, Ấp Phước Tiến, Xã Hồ Tràm, Thành phố Hồ Chí Minh</t>
  </si>
  <si>
    <t>2584 Lý Thái Tổ, ấp Phước Lý, Xã Đại Phước, Tỉnh Đồng Nai, Việt Nam</t>
  </si>
  <si>
    <t>2967 đường Hùng Vương, ấp Hoà Bình, Xã Phước An, Tỉnh Đồng Nai</t>
  </si>
  <si>
    <t>343-343A Đường 28 tháng 4, Xã Long Sơn, Thành phố Hồ Chí Minh</t>
  </si>
  <si>
    <t>376 Lý Thái Tổ, Ấp Bến Sắn, Xã Nhơn Trạch, Tỉnh Đồng Nai, Việt Nam</t>
  </si>
  <si>
    <t>420 Hùng Vương, Tổ 9, Khu phố Phước Lai, Xã Nhơn Trạch, Tỉnh Đồng Nai, Việt Nam</t>
  </si>
  <si>
    <t>43 Lê Duẩn, Khu 12,, Xã Bình An, Tỉnh Đồng Nai, Việt Nam</t>
  </si>
  <si>
    <t>484 đường Dương Diên Nghệ, ấp Tam An 2, Xã An Phước, Tỉnh Đồng Nai</t>
  </si>
  <si>
    <t>589 Lý Thái Tổ, ấp Cát Lái, Xã Đại Phước, Tỉnh Đồng Nai</t>
  </si>
  <si>
    <t>Đường Hùng Vương, tổ 2, ấp 3, Xã Phước An, Tỉnh Đồng Nai</t>
  </si>
  <si>
    <t>Đường Lý Thái Tổ, tổ 6, ấp Phú Mỹ 1, Xã Nhơn Trạch, Tỉnh Đồng Nai</t>
  </si>
  <si>
    <t>Hẻm 136, đường Hùng Vương, tổ 16, ấp Mỹ Khoan, Xã Nhơn Trạch, Tỉnh Đồng Nai</t>
  </si>
  <si>
    <t>Số 12, tổ 2, ấp Phước Bình 1, Xã Phước Thái, Thành Phố Đồng Nai</t>
  </si>
  <si>
    <t>Số 232, đường tỉnh 769, tổ 3, ấp 6, Xã Long Thành, Tỉnh Đồng Nai</t>
  </si>
  <si>
    <t>Số 26 Đường TL 769, Tổ 2, Ấp Hàng Gòn, Xã Long Thành, Tỉnh Đồng Nai, Việt Nam</t>
  </si>
  <si>
    <t>Số 550, khu phố Phước Lai, Xã Nhơn Trạch, Tỉnh Đồng Nai, Việt Nam</t>
  </si>
  <si>
    <t>MINI_BHX.75.248</t>
  </si>
  <si>
    <t>Tổ 1, Ấp 3, Xã Long Thành, Tỉnh Đồng Nai, Việt Nam</t>
  </si>
  <si>
    <t>Tổ 10, Ấp 1, Xã Phước An, Tỉnh Đồng Nai, Việt Nam</t>
  </si>
  <si>
    <t>Tổ 10, Ấp 4, Xã Long Thành, Tỉnh Đồng Nai, Việt Nam</t>
  </si>
  <si>
    <t>Tổ 18, Ấp Trầu, Xã Nhơn Trạch, Tỉnh Đồng Nai, Việt Nam</t>
  </si>
  <si>
    <t>Tổ 2, Ấp Long Đức, Xã Bình An, Thành Phố Đồng Nai</t>
  </si>
  <si>
    <t>Tổ 25, Ấp Bến Sắn, Xã Nhơn Trạch, Tỉnh Đồng Nai, Việt Nam</t>
  </si>
  <si>
    <t>Tổ 3, Ấp đất mới,, Xã Nhơn Trạch, Tỉnh Đồng Nai, Việt Nam</t>
  </si>
  <si>
    <t>Tổ 3, Khu 14, Xã Bình An, Tỉnh Đồng Nai, Việt Nam</t>
  </si>
  <si>
    <t>Tổ 31, Ấp Trầu, Xã Nhơn Trạch, Tỉnh Đồng Nai, Việt Nam</t>
  </si>
  <si>
    <t>Tổ 45 Khu B, Ấp Phước Lý, Xã Đại Phước, Tỉnh Đồng Nai, Việt Nam</t>
  </si>
  <si>
    <t>Tổ 6, Ấp 3, Xã Nhơn Trạch, Tỉnh Đồng Nai, Việt Nam</t>
  </si>
  <si>
    <t>Tổ 6, Ấp Đoàn Kết, Xã Phước An, Tỉnh Đồng Nai, Việt Nam</t>
  </si>
  <si>
    <t>Tổ 6, Ấp Vĩnh Tuy, Xã Nhơn Trạch, Tỉnh Đồng Nai, Việt Nam</t>
  </si>
  <si>
    <t>Tổ 8, Ấp 3, Xã Phước An, Tỉnh Đồng Nai, Việt Nam</t>
  </si>
  <si>
    <t>Tổ 8, ấp Bến Cam, Xã Nhơn Trạch, Tỉnh Đồng Nai, Việt Nam</t>
  </si>
  <si>
    <t>Tổ 9, Ấp 3, Xã Nhơn Trạch, Tỉnh Đồng Nai, Việt Nam</t>
  </si>
  <si>
    <t>Số 183 Ấp 6, Xã Phước Thái, Tỉnh Đồng Nai, Việt Nam</t>
  </si>
  <si>
    <t>315/12 Ấp Phú Bình, Xã Hòa Hiệp, Thành phố Hồ Chí Minh, Việt Nam</t>
  </si>
  <si>
    <t>MINI_BHX.75.615</t>
  </si>
  <si>
    <t>701 Ấp Cẩm đường, Xã Xuân Đường, Tỉnh Đồng Nai, Việt Nam</t>
  </si>
  <si>
    <t>BHX_DON_LTH - Thửa 06 Cẩm Đường</t>
  </si>
  <si>
    <t>Ấp An Điền, Xã Phước Hải, Thành phố Hồ Chí Minh, Việt Nam</t>
  </si>
  <si>
    <t>MINI_BHX.75.929</t>
  </si>
  <si>
    <t>Số 440, ấp Lý Lịch 2, Xã Phú Lý, Tỉnh Đồng Nai, Việt Nam</t>
  </si>
  <si>
    <t>BHX_DON_VCU - Phú Lý</t>
  </si>
  <si>
    <t>MINI_BHX.75.284</t>
  </si>
  <si>
    <t>Số 90, Tổ 22, Ấp 3, Xã Xuân Hòa, Tỉnh Đồng Nai, Việt Nam</t>
  </si>
  <si>
    <t>BHX_DON_XLO - 90 Tổ 22 (Xuân Hòa)</t>
  </si>
  <si>
    <t>Tổ 1, Ấp Bàu Bông, Xã Phước An, Tỉnh Đồng Nai, Việt Nam</t>
  </si>
  <si>
    <t>Tổ 14, Ấp 2, Xã Long Phước, Tỉnh Đồng Nai, Việt Nam</t>
  </si>
  <si>
    <t>Tổ 19, Ấp 2, Xã Đại Phước, Tỉnh Đồng Nai, Việt Nam</t>
  </si>
  <si>
    <t>MINI_BHX.75.2103</t>
  </si>
  <si>
    <t>Tổ 19, Ấp Suối Nhát, Xã Xuân Đông, Tỉnh Đồng Nai, Việt Nam</t>
  </si>
  <si>
    <t>BHX_DON_CMY - Tổ 19 Xuân Đông</t>
  </si>
  <si>
    <t>Tổ 3, Ấp Vĩnh Cửu,, Xã Phước An, Tỉnh Đồng Nai, Việt Nam</t>
  </si>
  <si>
    <t>MINI_BHX.75.624</t>
  </si>
  <si>
    <t>Tổ 5, Ấp 1, Xã Xuân Quế, Tỉnh Đồng Nai, Việt Nam</t>
  </si>
  <si>
    <t>BHX_DON_CMY - Thửa số 159 Xuân Quế</t>
  </si>
  <si>
    <t>MINI_BHX.75.656</t>
  </si>
  <si>
    <t>Tổ 8, Ấp Láng Lớn, Xã Cẩm Mỹ, Tỉnh Đồng Nai, Việt Nam</t>
  </si>
  <si>
    <t>BHX_DON_CMY - Thửa 68 Xuân Mỹ</t>
  </si>
  <si>
    <t>CVS_FAMILYMART.75.2647</t>
  </si>
  <si>
    <t>Family Căn 03 Marina Retails, Swanbay</t>
  </si>
  <si>
    <t>CVS_GS25.75.6976</t>
  </si>
  <si>
    <t>GS25 Lê Duẩn - Long Thành</t>
  </si>
  <si>
    <t>CVS_GS25.75.6975</t>
  </si>
  <si>
    <t>Siêu thị GS-25 35, Nguyễn Đình Chiểu</t>
  </si>
  <si>
    <t>MINI_BHX.75.2988</t>
  </si>
  <si>
    <t>Đường Trảng Bom - Đồi 61, tổ 5, ấp Tân Phát, Xã An Viễn, Tỉnh Đồng Nai</t>
  </si>
  <si>
    <t>BHX_DON_AVI - Đồi 61 An Viễn</t>
  </si>
  <si>
    <t>CVS_GS25.79.7021</t>
  </si>
  <si>
    <t>40 Đường Thống Nhất, Đông Hòa, Hồ Chí Minh, Việt Nam</t>
  </si>
  <si>
    <t>GS25 Toà Emerald BCON Dĩ An</t>
  </si>
  <si>
    <t>CVS_FAMILYMART.79.2702</t>
  </si>
  <si>
    <t>29 Trần Hưng Đạo, Kp 6, Thủ Dầu Một, Hồ Chí Minh, Việt Nam</t>
  </si>
  <si>
    <t>FM 29 Trần Hưng Đạo</t>
  </si>
  <si>
    <t>Giảm theo kế hoạch</t>
  </si>
  <si>
    <t>Hàng khô lấy DC</t>
  </si>
  <si>
    <t>Tăng theo Kế hoạch</t>
  </si>
  <si>
    <t>T06</t>
  </si>
  <si>
    <t>T07</t>
  </si>
  <si>
    <t>T08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</si>
</sst>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0.000_);_(* \(#,##0.000\);_(* &quot;-&quot;??_);_(@_)"/>
    <numFmt numFmtId="167" formatCode="_(* #,##0.0000_);_(* \(#,##0.0000\);_(* &quot;-&quot;??_);_(@_)"/>
  </numFmts>
  <fonts count="24" x14ac:knownFonts="1">
    <font>
      <sz val="11"/>
      <color theme="1"/>
      <name val="Aptos Narrow"/>
      <family val="2"/>
      <scheme val="minor"/>
    </font>
    <font>
      <sz val="11"/>
      <color theme="1"/>
      <name val="Aptos Narrow"/>
      <family val="2"/>
      <scheme val="minor"/>
    </font>
    <font>
      <sz val="11"/>
      <color theme="1"/>
      <name val="Times New Roman"/>
      <family val="1"/>
    </font>
    <font>
      <b/>
      <sz val="16"/>
      <color rgb="FFC80085"/>
      <name val="Times New Roman"/>
      <family val="1"/>
    </font>
    <font>
      <sz val="8"/>
      <color theme="1"/>
      <name val="Times New Roman"/>
      <family val="1"/>
    </font>
    <font>
      <b/>
      <sz val="8"/>
      <color rgb="FFC80085"/>
      <name val="Times New Roman"/>
      <family val="1"/>
    </font>
    <font>
      <sz val="8"/>
      <color rgb="FF00B0F0"/>
      <name val="Times New Roman"/>
      <family val="1"/>
    </font>
    <font>
      <i/>
      <sz val="11"/>
      <color rgb="FF00B050"/>
      <name val="Times New Roman"/>
      <family val="1"/>
    </font>
    <font>
      <i/>
      <sz val="11"/>
      <color rgb="FFC80085"/>
      <name val="Times New Roman"/>
      <family val="1"/>
    </font>
    <font>
      <b/>
      <sz val="11"/>
      <color theme="1"/>
      <name val="Times New Roman"/>
      <family val="1"/>
    </font>
    <font>
      <b/>
      <sz val="11"/>
      <color rgb="FF0070C0"/>
      <name val="Times New Roman"/>
      <family val="1"/>
    </font>
    <font>
      <b/>
      <sz val="11"/>
      <color rgb="FFC80085"/>
      <name val="Times New Roman"/>
      <family val="1"/>
    </font>
    <font>
      <b/>
      <sz val="10"/>
      <color rgb="FFC80085"/>
      <name val="Times New Roman"/>
      <family val="1"/>
    </font>
    <font>
      <b/>
      <sz val="10"/>
      <color theme="9" tint="-0.249977111117893"/>
      <name val="Times New Roman"/>
      <family val="1"/>
    </font>
    <font>
      <sz val="11"/>
      <color rgb="FF005A9E"/>
      <name val="Times New Roman"/>
      <family val="1"/>
    </font>
    <font>
      <sz val="11"/>
      <color rgb="FFC80085"/>
      <name val="Times New Roman"/>
      <family val="1"/>
    </font>
    <font>
      <b/>
      <sz val="10"/>
      <color rgb="FF005A9E"/>
      <name val="Times New Roman"/>
      <family val="1"/>
    </font>
    <font>
      <sz val="11"/>
      <color rgb="FFFF0000"/>
      <name val="Times New Roman"/>
      <family val="1"/>
    </font>
    <font>
      <sz val="11"/>
      <color rgb="FF0070C0"/>
      <name val="Times New Roman"/>
      <family val="1"/>
    </font>
    <font>
      <b/>
      <sz val="14"/>
      <color rgb="FF0070C0"/>
      <name val="Times New Roman"/>
      <family val="1"/>
    </font>
    <font>
      <b/>
      <sz val="11"/>
      <color rgb="FFFF0000"/>
      <name val="Times New Roman"/>
      <family val="1"/>
    </font>
    <font>
      <sz val="9"/>
      <color rgb="FFFF0000"/>
      <name val="Times New Roman"/>
      <family val="1"/>
    </font>
    <font>
      <sz val="12"/>
      <color theme="1"/>
      <name val="Times New Roman"/>
      <family val="1"/>
    </font>
    <font>
      <sz val="8"/>
      <name val="Aptos Narrow"/>
      <family val="2"/>
      <scheme val="minor"/>
    </font>
  </fonts>
  <fills count="9">
    <fill>
      <patternFill patternType="none"/>
    </fill>
    <fill>
      <patternFill patternType="gray125"/>
    </fill>
    <fill>
      <patternFill patternType="solid">
        <fgColor rgb="FFFFFFEB"/>
        <bgColor indexed="64"/>
      </patternFill>
    </fill>
    <fill>
      <patternFill patternType="solid">
        <fgColor rgb="FFD0FEE6"/>
        <bgColor indexed="64"/>
      </patternFill>
    </fill>
    <fill>
      <patternFill patternType="solid">
        <fgColor rgb="FFFDE7F9"/>
        <bgColor indexed="64"/>
      </patternFill>
    </fill>
    <fill>
      <patternFill patternType="solid">
        <fgColor rgb="FFE8F8FE"/>
        <bgColor indexed="64"/>
      </patternFill>
    </fill>
    <fill>
      <patternFill patternType="solid">
        <fgColor rgb="FFFFFF00"/>
        <bgColor indexed="64"/>
      </patternFill>
    </fill>
    <fill>
      <patternFill patternType="solid">
        <fgColor rgb="FFC1EFFF"/>
        <bgColor indexed="64"/>
      </patternFill>
    </fill>
    <fill>
      <patternFill patternType="solid">
        <fgColor rgb="FFFEF0FA"/>
        <bgColor indexed="64"/>
      </patternFill>
    </fill>
  </fills>
  <borders count="10">
    <border>
      <left/>
      <right/>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0" fontId="2" fillId="0" borderId="0" xfId="0" applyFont="1" applyAlignment="1">
      <alignment horizontal="left"/>
    </xf>
    <xf numFmtId="0" fontId="4" fillId="0" borderId="0" xfId="0" applyFont="1"/>
    <xf numFmtId="0" fontId="5" fillId="0" borderId="0" xfId="0" applyFont="1"/>
    <xf numFmtId="0" fontId="6" fillId="0" borderId="0" xfId="0" applyFont="1"/>
    <xf numFmtId="0" fontId="4" fillId="0" borderId="0" xfId="0" applyFont="1" applyAlignment="1">
      <alignment horizontal="left"/>
    </xf>
    <xf numFmtId="0" fontId="7" fillId="0" borderId="0" xfId="0" applyFont="1"/>
    <xf numFmtId="0" fontId="8" fillId="0" borderId="0" xfId="0" applyFont="1"/>
    <xf numFmtId="165" fontId="5" fillId="2" borderId="1" xfId="1"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165" fontId="12" fillId="2" borderId="6" xfId="1" applyNumberFormat="1" applyFont="1" applyFill="1" applyBorder="1" applyAlignment="1">
      <alignment vertical="center" wrapText="1"/>
    </xf>
    <xf numFmtId="165" fontId="13" fillId="3" borderId="3" xfId="1" applyNumberFormat="1" applyFont="1" applyFill="1" applyBorder="1" applyAlignment="1">
      <alignment horizontal="center" vertical="center" wrapText="1"/>
    </xf>
    <xf numFmtId="165" fontId="12" fillId="4" borderId="3" xfId="1" applyNumberFormat="1" applyFont="1" applyFill="1" applyBorder="1" applyAlignment="1">
      <alignment horizontal="center" vertical="center" wrapText="1"/>
    </xf>
    <xf numFmtId="165" fontId="13" fillId="3" borderId="1" xfId="1" applyNumberFormat="1" applyFont="1" applyFill="1" applyBorder="1" applyAlignment="1">
      <alignment horizontal="center" vertical="center" wrapText="1"/>
    </xf>
    <xf numFmtId="165" fontId="15" fillId="4" borderId="2" xfId="1" applyNumberFormat="1" applyFont="1" applyFill="1" applyBorder="1" applyAlignment="1">
      <alignment horizontal="center" vertical="center" wrapText="1"/>
    </xf>
    <xf numFmtId="165" fontId="14" fillId="5" borderId="2" xfId="1" applyNumberFormat="1" applyFont="1" applyFill="1" applyBorder="1" applyAlignment="1">
      <alignment horizontal="center" vertical="center" wrapText="1"/>
    </xf>
    <xf numFmtId="165" fontId="2" fillId="0" borderId="0" xfId="1" applyNumberFormat="1" applyFont="1"/>
    <xf numFmtId="165" fontId="13" fillId="3" borderId="5" xfId="1" applyNumberFormat="1" applyFont="1" applyFill="1" applyBorder="1" applyAlignment="1">
      <alignment horizontal="center" vertical="center" wrapText="1"/>
    </xf>
    <xf numFmtId="165" fontId="12" fillId="4" borderId="5" xfId="1" applyNumberFormat="1" applyFont="1" applyFill="1" applyBorder="1" applyAlignment="1">
      <alignment horizontal="center" vertical="center" wrapText="1"/>
    </xf>
    <xf numFmtId="165" fontId="16" fillId="5" borderId="5" xfId="1" applyNumberFormat="1" applyFont="1" applyFill="1" applyBorder="1" applyAlignment="1">
      <alignment horizontal="center" vertical="center" wrapText="1"/>
    </xf>
    <xf numFmtId="0" fontId="9" fillId="2" borderId="5" xfId="0" applyFont="1" applyFill="1" applyBorder="1" applyAlignment="1">
      <alignment horizontal="center" vertical="center" wrapText="1"/>
    </xf>
    <xf numFmtId="0" fontId="17" fillId="0" borderId="0" xfId="0" applyFont="1"/>
    <xf numFmtId="9" fontId="2" fillId="0" borderId="0" xfId="2" applyFont="1"/>
    <xf numFmtId="0" fontId="18" fillId="2" borderId="0" xfId="0" applyFont="1" applyFill="1"/>
    <xf numFmtId="165" fontId="2" fillId="0" borderId="0" xfId="1" applyNumberFormat="1" applyFont="1" applyFill="1"/>
    <xf numFmtId="165" fontId="18" fillId="2" borderId="0" xfId="1" applyNumberFormat="1" applyFont="1" applyFill="1"/>
    <xf numFmtId="14" fontId="18" fillId="2" borderId="0" xfId="0" applyNumberFormat="1" applyFont="1" applyFill="1"/>
    <xf numFmtId="0" fontId="19" fillId="0" borderId="0" xfId="0" applyFont="1"/>
    <xf numFmtId="14" fontId="2" fillId="6" borderId="0" xfId="0" applyNumberFormat="1" applyFont="1" applyFill="1"/>
    <xf numFmtId="0" fontId="17" fillId="6" borderId="0" xfId="0" applyFont="1" applyFill="1"/>
    <xf numFmtId="0" fontId="20" fillId="0" borderId="0" xfId="0" applyFont="1" applyAlignment="1">
      <alignment vertical="center"/>
    </xf>
    <xf numFmtId="165" fontId="21" fillId="0" borderId="0" xfId="1" applyNumberFormat="1" applyFont="1" applyAlignment="1">
      <alignment horizontal="left" vertical="center" wrapText="1"/>
    </xf>
    <xf numFmtId="165" fontId="21" fillId="0" borderId="0" xfId="1" applyNumberFormat="1" applyFont="1" applyFill="1" applyAlignment="1">
      <alignment horizontal="left" vertical="center" wrapText="1"/>
    </xf>
    <xf numFmtId="0" fontId="20" fillId="0" borderId="0" xfId="0" applyFont="1"/>
    <xf numFmtId="0" fontId="9" fillId="0" borderId="0" xfId="0" applyFont="1"/>
    <xf numFmtId="0" fontId="2" fillId="7" borderId="0" xfId="0" applyFont="1" applyFill="1"/>
    <xf numFmtId="0" fontId="20" fillId="7" borderId="0" xfId="0" applyFont="1" applyFill="1"/>
    <xf numFmtId="0" fontId="9" fillId="7" borderId="0" xfId="0" applyFont="1" applyFill="1"/>
    <xf numFmtId="165" fontId="21" fillId="7" borderId="0" xfId="1" applyNumberFormat="1" applyFont="1" applyFill="1" applyAlignment="1">
      <alignment horizontal="left" vertical="center" wrapText="1"/>
    </xf>
    <xf numFmtId="165" fontId="2" fillId="7" borderId="0" xfId="1" applyNumberFormat="1" applyFont="1" applyFill="1"/>
    <xf numFmtId="0" fontId="18" fillId="7" borderId="0" xfId="0" applyFont="1" applyFill="1" applyAlignment="1">
      <alignment horizontal="center" vertical="center" wrapText="1"/>
    </xf>
    <xf numFmtId="165" fontId="18" fillId="2" borderId="0" xfId="1" applyNumberFormat="1" applyFont="1" applyFill="1" applyAlignment="1">
      <alignment horizontal="center" vertical="center" wrapText="1"/>
    </xf>
    <xf numFmtId="165" fontId="18" fillId="8" borderId="0" xfId="1" applyNumberFormat="1" applyFont="1" applyFill="1" applyAlignment="1">
      <alignment horizontal="center" vertical="center" wrapText="1"/>
    </xf>
    <xf numFmtId="165" fontId="18" fillId="0" borderId="0" xfId="1" applyNumberFormat="1" applyFont="1" applyFill="1" applyAlignment="1">
      <alignment horizontal="center" vertical="center" wrapText="1"/>
    </xf>
    <xf numFmtId="0" fontId="2" fillId="0" borderId="0" xfId="0" applyFont="1" applyAlignment="1">
      <alignment horizontal="center" vertical="center" wrapText="1"/>
    </xf>
    <xf numFmtId="164" fontId="2" fillId="0" borderId="0" xfId="1" applyFont="1"/>
    <xf numFmtId="166" fontId="2" fillId="0" borderId="0" xfId="1" applyNumberFormat="1" applyFont="1"/>
    <xf numFmtId="165" fontId="2" fillId="0" borderId="0" xfId="0" applyNumberFormat="1" applyFont="1"/>
    <xf numFmtId="167" fontId="22" fillId="0" borderId="0" xfId="0" applyNumberFormat="1" applyFont="1"/>
    <xf numFmtId="167" fontId="2" fillId="0" borderId="0" xfId="1" applyNumberFormat="1" applyFont="1"/>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165" fontId="12" fillId="2" borderId="6" xfId="1" applyNumberFormat="1" applyFont="1" applyFill="1" applyBorder="1" applyAlignment="1">
      <alignment horizontal="center" vertical="center" wrapText="1"/>
    </xf>
    <xf numFmtId="165" fontId="12" fillId="2" borderId="7" xfId="1" applyNumberFormat="1" applyFont="1" applyFill="1" applyBorder="1" applyAlignment="1">
      <alignment horizontal="center" vertical="center" wrapText="1"/>
    </xf>
    <xf numFmtId="165" fontId="12" fillId="2" borderId="9" xfId="1" applyNumberFormat="1" applyFont="1" applyFill="1" applyBorder="1" applyAlignment="1">
      <alignment horizontal="center" vertical="center" wrapText="1"/>
    </xf>
    <xf numFmtId="165" fontId="13" fillId="3" borderId="2" xfId="1" applyNumberFormat="1" applyFont="1" applyFill="1" applyBorder="1" applyAlignment="1">
      <alignment horizontal="center" vertical="center" wrapText="1"/>
    </xf>
    <xf numFmtId="165" fontId="13" fillId="3" borderId="3" xfId="1" applyNumberFormat="1" applyFont="1" applyFill="1" applyBorder="1" applyAlignment="1">
      <alignment horizontal="center" vertical="center" wrapText="1"/>
    </xf>
    <xf numFmtId="165" fontId="12" fillId="4" borderId="2" xfId="1" applyNumberFormat="1" applyFont="1" applyFill="1" applyBorder="1" applyAlignment="1">
      <alignment horizontal="center" vertical="center" wrapText="1"/>
    </xf>
    <xf numFmtId="165" fontId="12" fillId="4" borderId="3" xfId="1" applyNumberFormat="1" applyFont="1" applyFill="1" applyBorder="1" applyAlignment="1">
      <alignment horizontal="center" vertical="center" wrapText="1"/>
    </xf>
    <xf numFmtId="165" fontId="14" fillId="5" borderId="2" xfId="1" applyNumberFormat="1" applyFont="1" applyFill="1" applyBorder="1" applyAlignment="1">
      <alignment horizontal="center" vertical="center" wrapText="1"/>
    </xf>
    <xf numFmtId="165" fontId="14" fillId="5" borderId="4" xfId="1" applyNumberFormat="1" applyFont="1" applyFill="1" applyBorder="1" applyAlignment="1">
      <alignment horizontal="center" vertical="center" wrapText="1"/>
    </xf>
    <xf numFmtId="165" fontId="14" fillId="5" borderId="8" xfId="1" applyNumberFormat="1" applyFont="1" applyFill="1" applyBorder="1" applyAlignment="1">
      <alignment horizontal="center" vertical="center" wrapText="1"/>
    </xf>
    <xf numFmtId="165" fontId="14" fillId="5" borderId="0" xfId="1" applyNumberFormat="1"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10" fillId="2" borderId="5" xfId="0" applyFont="1" applyFill="1" applyBorder="1" applyAlignment="1">
      <alignment horizontal="center" vertical="center" wrapText="1"/>
    </xf>
    <xf numFmtId="165" fontId="12" fillId="2" borderId="2" xfId="1" applyNumberFormat="1" applyFont="1" applyFill="1" applyBorder="1" applyAlignment="1">
      <alignment horizontal="center" vertical="center"/>
    </xf>
    <xf numFmtId="165" fontId="12" fillId="2" borderId="3" xfId="1" applyNumberFormat="1" applyFont="1" applyFill="1" applyBorder="1" applyAlignment="1">
      <alignment horizontal="center" vertical="center"/>
    </xf>
    <xf numFmtId="165" fontId="12" fillId="2" borderId="4" xfId="1" applyNumberFormat="1" applyFont="1" applyFill="1" applyBorder="1" applyAlignment="1">
      <alignment horizontal="center" vertical="center"/>
    </xf>
    <xf numFmtId="165" fontId="10" fillId="2" borderId="5" xfId="1" applyNumberFormat="1" applyFont="1" applyFill="1" applyBorder="1" applyAlignment="1">
      <alignment horizontal="center" vertical="center" wrapText="1"/>
    </xf>
    <xf numFmtId="0" fontId="11" fillId="2" borderId="5" xfId="0" applyFont="1" applyFill="1" applyBorder="1" applyAlignment="1">
      <alignment horizontal="center" vertical="center" wrapText="1"/>
    </xf>
    <xf numFmtId="0" fontId="10" fillId="2" borderId="5" xfId="0" applyFont="1" applyFill="1" applyBorder="1" applyAlignment="1">
      <alignment horizontal="left"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9" xfId="0" applyFont="1" applyFill="1" applyBorder="1" applyAlignment="1">
      <alignment horizontal="center" vertical="center" wrapText="1"/>
    </xf>
  </cellXfs>
  <cellStyles count="3">
    <cellStyle name="Bình thường" xfId="0" builtinId="0"/>
    <cellStyle name="Dấu phẩy" xfId="1" builtinId="3"/>
    <cellStyle name="Phần trăm" xfId="2"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EF4E-4280-4587-98DE-D75C9784F875}">
  <sheetPr filterMode="1"/>
  <dimension ref="A1:YN1097"/>
  <sheetViews>
    <sheetView topLeftCell="A8" zoomScale="55" zoomScaleNormal="55" workbookViewId="0">
      <pane xSplit="6" ySplit="6" topLeftCell="G214" activePane="bottomRight" state="frozen"/>
      <selection activeCell="A6" sqref="A6:A9"/>
      <selection pane="topRight" activeCell="A6" sqref="A6:A9"/>
      <selection pane="bottomLeft" activeCell="A6" sqref="A6:A9"/>
      <selection pane="bottomRight" activeCell="BC14" sqref="BC14:BC214"/>
    </sheetView>
  </sheetViews>
  <sheetFormatPr defaultColWidth="8.7265625" defaultRowHeight="14" outlineLevelRow="1" x14ac:dyDescent="0.3"/>
  <cols>
    <col min="1" max="1" width="8.7265625" style="1"/>
    <col min="2" max="2" width="10.7265625" style="1" bestFit="1" customWidth="1"/>
    <col min="3" max="3" width="10.1796875" style="1" customWidth="1"/>
    <col min="4" max="4" width="13.54296875" style="1" customWidth="1"/>
    <col min="5" max="6" width="8.81640625" style="1" bestFit="1" customWidth="1"/>
    <col min="7" max="7" width="21.54296875" style="1" customWidth="1"/>
    <col min="8" max="8" width="14.7265625" style="1" customWidth="1"/>
    <col min="9" max="12" width="8.7265625" style="1"/>
    <col min="13" max="13" width="14" style="20" hidden="1" customWidth="1"/>
    <col min="14" max="14" width="18.26953125" style="20" hidden="1" customWidth="1"/>
    <col min="15" max="15" width="17.453125" style="20" hidden="1" customWidth="1"/>
    <col min="16" max="16" width="15.7265625" style="20" hidden="1" customWidth="1"/>
    <col min="17" max="17" width="16.453125" style="20" hidden="1" customWidth="1"/>
    <col min="18" max="21" width="17.453125" style="20" hidden="1" customWidth="1"/>
    <col min="22" max="22" width="15.54296875" style="20" hidden="1" customWidth="1"/>
    <col min="23" max="24" width="15.7265625" style="20" hidden="1" customWidth="1"/>
    <col min="25" max="25" width="18.453125" style="20" hidden="1" customWidth="1"/>
    <col min="26" max="26" width="22.7265625" style="20" hidden="1" customWidth="1"/>
    <col min="27" max="28" width="15.7265625" style="20" hidden="1" customWidth="1"/>
    <col min="29" max="29" width="16.1796875" style="20" hidden="1" customWidth="1"/>
    <col min="30" max="31" width="17.453125" style="20" hidden="1" customWidth="1"/>
    <col min="32" max="32" width="12.1796875" style="20" hidden="1" customWidth="1"/>
    <col min="33" max="35" width="17.453125" style="20" hidden="1" customWidth="1"/>
    <col min="36" max="37" width="15.7265625" style="20" hidden="1" customWidth="1"/>
    <col min="38" max="38" width="18.453125" style="20" hidden="1" customWidth="1"/>
    <col min="39" max="39" width="17.453125" style="20" hidden="1" customWidth="1"/>
    <col min="40" max="52" width="15.7265625" style="20" hidden="1" customWidth="1"/>
    <col min="53" max="53" width="12.90625" style="20" customWidth="1"/>
    <col min="54" max="54" width="15.453125" style="20" bestFit="1" customWidth="1"/>
    <col min="55" max="55" width="28.54296875" style="20" bestFit="1" customWidth="1"/>
    <col min="56" max="56" width="24.90625" style="28" bestFit="1" customWidth="1"/>
    <col min="57" max="57" width="18.6328125" style="28" bestFit="1" customWidth="1"/>
    <col min="58" max="58" width="18.453125" style="28" bestFit="1" customWidth="1"/>
    <col min="59" max="59" width="20.81640625" style="28" customWidth="1"/>
    <col min="60" max="61" width="17.453125" style="28" customWidth="1"/>
    <col min="62" max="62" width="15.7265625" style="28" customWidth="1"/>
    <col min="63" max="63" width="15.7265625" style="28" hidden="1" customWidth="1"/>
    <col min="64" max="65" width="18.453125" style="28" hidden="1" customWidth="1"/>
    <col min="66" max="85" width="8.7265625" style="1" hidden="1" customWidth="1"/>
    <col min="86" max="662" width="8.7265625" style="1" customWidth="1"/>
    <col min="663" max="664" width="18.453125" style="28" customWidth="1"/>
    <col min="665" max="16384" width="8.7265625" style="1"/>
  </cols>
  <sheetData>
    <row r="1" spans="1:664" hidden="1" outlineLevel="1" x14ac:dyDescent="0.3">
      <c r="B1" s="27" t="s">
        <v>56</v>
      </c>
      <c r="C1" s="27"/>
      <c r="D1" s="27" t="s">
        <v>57</v>
      </c>
      <c r="E1" s="27" t="s">
        <v>58</v>
      </c>
      <c r="F1" s="27" t="s">
        <v>59</v>
      </c>
      <c r="G1" s="27" t="s">
        <v>60</v>
      </c>
    </row>
    <row r="2" spans="1:664" ht="14.5" hidden="1" customHeight="1" outlineLevel="1" x14ac:dyDescent="0.3">
      <c r="B2" s="27"/>
      <c r="C2" s="27"/>
      <c r="D2" s="29">
        <v>2</v>
      </c>
      <c r="E2" s="29">
        <v>3</v>
      </c>
      <c r="F2" s="29">
        <v>4</v>
      </c>
      <c r="G2" s="27">
        <v>5</v>
      </c>
    </row>
    <row r="3" spans="1:664" hidden="1" outlineLevel="1" x14ac:dyDescent="0.3">
      <c r="B3" s="27" t="s">
        <v>61</v>
      </c>
      <c r="C3" s="30">
        <v>45778</v>
      </c>
      <c r="D3" s="30">
        <v>45808</v>
      </c>
      <c r="E3" s="27"/>
      <c r="F3" s="27" t="s">
        <v>2341</v>
      </c>
      <c r="G3" s="27"/>
    </row>
    <row r="4" spans="1:664" ht="11.5" hidden="1" customHeight="1" outlineLevel="1" x14ac:dyDescent="0.3">
      <c r="B4" s="27"/>
      <c r="C4" s="30"/>
      <c r="D4" s="27"/>
      <c r="E4" s="27"/>
      <c r="F4" s="27"/>
      <c r="G4" s="27"/>
    </row>
    <row r="5" spans="1:664" ht="13.5" customHeight="1" collapsed="1" x14ac:dyDescent="0.35">
      <c r="C5" s="31" t="s">
        <v>2342</v>
      </c>
    </row>
    <row r="6" spans="1:664" ht="7" customHeight="1" x14ac:dyDescent="0.3"/>
    <row r="7" spans="1:664" ht="8.15" customHeight="1" x14ac:dyDescent="0.3"/>
    <row r="8" spans="1:664" ht="17.5" customHeight="1" x14ac:dyDescent="0.3">
      <c r="A8" s="1" t="s">
        <v>61</v>
      </c>
      <c r="B8" s="32">
        <v>46266</v>
      </c>
      <c r="C8" s="33" t="s">
        <v>2343</v>
      </c>
      <c r="I8" s="34" t="s">
        <v>62</v>
      </c>
      <c r="J8" s="25"/>
      <c r="L8" s="25"/>
      <c r="M8" s="35" t="s">
        <v>2338</v>
      </c>
      <c r="N8" s="35" t="s">
        <v>2338</v>
      </c>
      <c r="O8" s="35" t="s">
        <v>2338</v>
      </c>
      <c r="P8" s="35" t="s">
        <v>2338</v>
      </c>
      <c r="Q8" s="35" t="s">
        <v>2338</v>
      </c>
      <c r="R8" s="35" t="s">
        <v>2338</v>
      </c>
      <c r="S8" s="35" t="s">
        <v>2339</v>
      </c>
      <c r="T8" s="35" t="s">
        <v>2339</v>
      </c>
      <c r="U8" s="35" t="s">
        <v>2339</v>
      </c>
      <c r="V8" s="35" t="s">
        <v>2340</v>
      </c>
      <c r="W8" s="35" t="s">
        <v>2340</v>
      </c>
      <c r="X8" s="35" t="s">
        <v>2340</v>
      </c>
      <c r="Y8" s="35" t="s">
        <v>2340</v>
      </c>
      <c r="Z8" s="35" t="s">
        <v>2340</v>
      </c>
      <c r="AA8" s="35" t="s">
        <v>2340</v>
      </c>
      <c r="AB8" s="35">
        <v>0</v>
      </c>
      <c r="AC8" s="35" t="s">
        <v>2338</v>
      </c>
      <c r="AD8" s="35" t="s">
        <v>2338</v>
      </c>
      <c r="AE8" s="35" t="s">
        <v>2338</v>
      </c>
      <c r="AF8" s="35" t="s">
        <v>2338</v>
      </c>
      <c r="AG8" s="35" t="s">
        <v>2338</v>
      </c>
      <c r="AH8" s="35" t="s">
        <v>2338</v>
      </c>
      <c r="AI8" s="35" t="s">
        <v>2339</v>
      </c>
      <c r="AJ8" s="35" t="s">
        <v>2339</v>
      </c>
      <c r="AK8" s="35" t="s">
        <v>2339</v>
      </c>
      <c r="AL8" s="35" t="s">
        <v>2340</v>
      </c>
      <c r="AM8" s="35" t="s">
        <v>2340</v>
      </c>
      <c r="AN8" s="35" t="s">
        <v>2340</v>
      </c>
      <c r="AO8" s="35" t="s">
        <v>2340</v>
      </c>
      <c r="AP8" s="35" t="s">
        <v>2340</v>
      </c>
      <c r="AQ8" s="35" t="s">
        <v>2340</v>
      </c>
      <c r="AR8" s="35">
        <v>0</v>
      </c>
      <c r="AS8" s="35" t="s">
        <v>2338</v>
      </c>
      <c r="AT8" s="35" t="s">
        <v>2338</v>
      </c>
      <c r="AU8" s="35" t="s">
        <v>2338</v>
      </c>
      <c r="AV8" s="35" t="s">
        <v>2338</v>
      </c>
      <c r="AW8" s="35" t="s">
        <v>2338</v>
      </c>
      <c r="AX8" s="35" t="s">
        <v>2338</v>
      </c>
      <c r="AY8" s="35" t="s">
        <v>2339</v>
      </c>
      <c r="AZ8" s="35" t="s">
        <v>2339</v>
      </c>
      <c r="BA8" s="35" t="s">
        <v>2339</v>
      </c>
      <c r="BB8" s="35" t="s">
        <v>2340</v>
      </c>
      <c r="BC8" s="35" t="s">
        <v>2340</v>
      </c>
      <c r="BD8" s="36" t="s">
        <v>2340</v>
      </c>
      <c r="BE8" s="36" t="s">
        <v>2340</v>
      </c>
      <c r="BF8" s="36" t="s">
        <v>2340</v>
      </c>
      <c r="BG8" s="36" t="s">
        <v>2340</v>
      </c>
      <c r="BH8" s="36">
        <v>0</v>
      </c>
      <c r="BI8" s="36">
        <v>0</v>
      </c>
      <c r="BJ8" s="36">
        <v>0</v>
      </c>
      <c r="BK8" s="36">
        <v>0</v>
      </c>
      <c r="BL8" s="36">
        <v>0</v>
      </c>
      <c r="BM8" s="36">
        <v>0</v>
      </c>
    </row>
    <row r="9" spans="1:664" ht="14.15" customHeight="1" x14ac:dyDescent="0.3">
      <c r="I9" s="37" t="s">
        <v>63</v>
      </c>
      <c r="J9" s="38"/>
      <c r="K9" s="1">
        <v>0</v>
      </c>
      <c r="M9" s="35">
        <v>0</v>
      </c>
      <c r="N9" s="35" t="s">
        <v>44</v>
      </c>
      <c r="O9" s="35" t="s">
        <v>46</v>
      </c>
      <c r="P9" s="35" t="s">
        <v>45</v>
      </c>
      <c r="Q9" s="35" t="s">
        <v>3</v>
      </c>
      <c r="R9" s="35" t="s">
        <v>4</v>
      </c>
      <c r="S9" s="35">
        <v>0</v>
      </c>
      <c r="T9" s="35" t="s">
        <v>48</v>
      </c>
      <c r="U9" s="35" t="s">
        <v>47</v>
      </c>
      <c r="V9" s="35">
        <v>0</v>
      </c>
      <c r="W9" s="35" t="s">
        <v>44</v>
      </c>
      <c r="X9" s="35" t="s">
        <v>46</v>
      </c>
      <c r="Y9" s="35" t="s">
        <v>45</v>
      </c>
      <c r="Z9" s="35" t="s">
        <v>3</v>
      </c>
      <c r="AA9" s="35" t="s">
        <v>4</v>
      </c>
      <c r="AB9" s="35">
        <v>0</v>
      </c>
      <c r="AC9" s="35">
        <v>0</v>
      </c>
      <c r="AD9" s="35" t="s">
        <v>44</v>
      </c>
      <c r="AE9" s="35" t="s">
        <v>46</v>
      </c>
      <c r="AF9" s="35" t="s">
        <v>45</v>
      </c>
      <c r="AG9" s="35" t="s">
        <v>3</v>
      </c>
      <c r="AH9" s="35" t="s">
        <v>4</v>
      </c>
      <c r="AI9" s="35">
        <v>0</v>
      </c>
      <c r="AJ9" s="35" t="s">
        <v>48</v>
      </c>
      <c r="AK9" s="35" t="s">
        <v>47</v>
      </c>
      <c r="AL9" s="35">
        <v>0</v>
      </c>
      <c r="AM9" s="35" t="s">
        <v>44</v>
      </c>
      <c r="AN9" s="35" t="s">
        <v>46</v>
      </c>
      <c r="AO9" s="35" t="s">
        <v>45</v>
      </c>
      <c r="AP9" s="35" t="s">
        <v>3</v>
      </c>
      <c r="AQ9" s="35" t="s">
        <v>4</v>
      </c>
      <c r="AR9" s="35">
        <v>0</v>
      </c>
      <c r="AS9" s="35">
        <v>0</v>
      </c>
      <c r="AT9" s="35" t="s">
        <v>44</v>
      </c>
      <c r="AU9" s="35" t="s">
        <v>46</v>
      </c>
      <c r="AV9" s="35" t="s">
        <v>45</v>
      </c>
      <c r="AW9" s="35" t="s">
        <v>3</v>
      </c>
      <c r="AX9" s="35" t="s">
        <v>4</v>
      </c>
      <c r="AY9" s="35">
        <v>0</v>
      </c>
      <c r="AZ9" s="35" t="s">
        <v>48</v>
      </c>
      <c r="BA9" s="35" t="s">
        <v>47</v>
      </c>
      <c r="BB9" s="35">
        <v>0</v>
      </c>
      <c r="BC9" s="35">
        <v>0</v>
      </c>
      <c r="BD9" s="36" t="s">
        <v>46</v>
      </c>
      <c r="BE9" s="36" t="s">
        <v>45</v>
      </c>
      <c r="BF9" s="36" t="s">
        <v>3</v>
      </c>
      <c r="BG9" s="36" t="s">
        <v>4</v>
      </c>
      <c r="BH9" s="36">
        <v>0</v>
      </c>
      <c r="BI9" s="36">
        <v>0</v>
      </c>
      <c r="BJ9" s="36">
        <v>0</v>
      </c>
      <c r="BK9" s="36">
        <v>0</v>
      </c>
      <c r="BL9" s="36">
        <v>0</v>
      </c>
      <c r="BM9" s="36">
        <v>0</v>
      </c>
    </row>
    <row r="10" spans="1:664" ht="14.15" customHeight="1" x14ac:dyDescent="0.3">
      <c r="A10" s="39" t="s">
        <v>64</v>
      </c>
      <c r="B10" s="39"/>
      <c r="C10" s="39"/>
      <c r="D10" s="39"/>
      <c r="E10" s="39"/>
      <c r="F10" s="39"/>
      <c r="G10" s="39"/>
      <c r="H10" s="39"/>
      <c r="I10" s="40"/>
      <c r="J10" s="41"/>
      <c r="K10" s="39"/>
      <c r="L10" s="39"/>
      <c r="M10" s="42" t="s">
        <v>65</v>
      </c>
      <c r="N10" s="42" t="s">
        <v>66</v>
      </c>
      <c r="O10" s="42" t="s">
        <v>67</v>
      </c>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c r="NQ10" s="36"/>
      <c r="NR10" s="36"/>
      <c r="NS10" s="36"/>
      <c r="NT10" s="36"/>
      <c r="NU10" s="36"/>
      <c r="NV10" s="36"/>
      <c r="NW10" s="36"/>
      <c r="NX10" s="36"/>
      <c r="NY10" s="36"/>
      <c r="NZ10" s="36"/>
      <c r="OA10" s="36"/>
      <c r="OB10" s="36"/>
      <c r="OC10" s="36"/>
      <c r="OD10" s="36"/>
      <c r="OE10" s="36"/>
      <c r="OF10" s="36"/>
      <c r="OG10" s="36"/>
      <c r="OH10" s="36"/>
      <c r="OI10" s="36"/>
      <c r="OJ10" s="36"/>
      <c r="OK10" s="36"/>
      <c r="OL10" s="36"/>
      <c r="OM10" s="36"/>
      <c r="ON10" s="36"/>
      <c r="OO10" s="36"/>
      <c r="OP10" s="36"/>
      <c r="OQ10" s="36"/>
      <c r="OR10" s="36"/>
      <c r="OS10" s="36"/>
      <c r="OT10" s="36"/>
      <c r="OU10" s="36"/>
      <c r="OV10" s="36"/>
      <c r="OW10" s="36"/>
      <c r="OX10" s="36"/>
      <c r="OY10" s="36"/>
      <c r="OZ10" s="36"/>
      <c r="PA10" s="36"/>
      <c r="PB10" s="36"/>
      <c r="PC10" s="36"/>
      <c r="PD10" s="36"/>
      <c r="PE10" s="36"/>
      <c r="PF10" s="36"/>
      <c r="PG10" s="36"/>
      <c r="PH10" s="36"/>
      <c r="PI10" s="36"/>
      <c r="PJ10" s="36"/>
      <c r="PK10" s="36"/>
      <c r="PL10" s="36"/>
      <c r="PM10" s="36"/>
      <c r="PN10" s="36"/>
      <c r="PO10" s="36"/>
      <c r="PP10" s="36"/>
      <c r="PQ10" s="36"/>
      <c r="PR10" s="36"/>
      <c r="PS10" s="36"/>
      <c r="PT10" s="36"/>
      <c r="PU10" s="36"/>
      <c r="PV10" s="36"/>
      <c r="PW10" s="36"/>
      <c r="PX10" s="36"/>
      <c r="PY10" s="36"/>
      <c r="PZ10" s="36"/>
      <c r="QA10" s="36"/>
      <c r="QB10" s="36"/>
      <c r="QC10" s="36"/>
      <c r="QD10" s="36"/>
      <c r="QE10" s="36"/>
      <c r="QF10" s="36"/>
      <c r="QG10" s="36"/>
      <c r="QH10" s="36"/>
      <c r="QI10" s="36"/>
      <c r="QJ10" s="36"/>
      <c r="QK10" s="36"/>
      <c r="QL10" s="36"/>
      <c r="QM10" s="36"/>
      <c r="QN10" s="36"/>
      <c r="QO10" s="36"/>
      <c r="QP10" s="36"/>
      <c r="QQ10" s="36"/>
      <c r="QR10" s="36"/>
      <c r="QS10" s="36"/>
      <c r="QT10" s="36"/>
      <c r="QU10" s="36"/>
      <c r="QV10" s="36"/>
      <c r="QW10" s="36"/>
      <c r="QX10" s="36"/>
      <c r="QY10" s="36"/>
      <c r="QZ10" s="36"/>
      <c r="RA10" s="36"/>
      <c r="RB10" s="36"/>
      <c r="RC10" s="36"/>
      <c r="RD10" s="36"/>
      <c r="RE10" s="36"/>
      <c r="RF10" s="36"/>
      <c r="RG10" s="36"/>
      <c r="RH10" s="36"/>
      <c r="RI10" s="36"/>
      <c r="RJ10" s="36"/>
      <c r="RK10" s="36"/>
      <c r="RL10" s="36"/>
      <c r="RM10" s="36"/>
      <c r="RN10" s="36"/>
      <c r="RO10" s="36"/>
      <c r="RP10" s="36"/>
      <c r="RQ10" s="36"/>
      <c r="RR10" s="36"/>
      <c r="RS10" s="36"/>
      <c r="RT10" s="36"/>
      <c r="RU10" s="36"/>
      <c r="RV10" s="36"/>
      <c r="RW10" s="36"/>
      <c r="RX10" s="36"/>
      <c r="RY10" s="36"/>
      <c r="RZ10" s="36"/>
      <c r="SA10" s="36"/>
      <c r="SB10" s="36"/>
      <c r="SC10" s="36"/>
      <c r="SD10" s="36"/>
      <c r="SE10" s="36"/>
      <c r="SF10" s="36"/>
      <c r="SG10" s="36"/>
      <c r="SH10" s="36"/>
      <c r="SI10" s="36"/>
      <c r="SJ10" s="36"/>
      <c r="SK10" s="36"/>
      <c r="SL10" s="36"/>
      <c r="SM10" s="36"/>
      <c r="SN10" s="36"/>
      <c r="SO10" s="36"/>
      <c r="SP10" s="36"/>
      <c r="SQ10" s="36"/>
      <c r="SR10" s="36"/>
      <c r="SS10" s="36"/>
      <c r="ST10" s="36"/>
      <c r="SU10" s="36"/>
      <c r="SV10" s="36"/>
      <c r="SW10" s="36"/>
      <c r="SX10" s="36"/>
      <c r="SY10" s="36"/>
      <c r="SZ10" s="36"/>
      <c r="TA10" s="36"/>
      <c r="TB10" s="36"/>
      <c r="TC10" s="36"/>
      <c r="TD10" s="36"/>
      <c r="TE10" s="36"/>
      <c r="TF10" s="36"/>
      <c r="TG10" s="36"/>
      <c r="TH10" s="36"/>
      <c r="TI10" s="36"/>
      <c r="TJ10" s="36"/>
      <c r="TK10" s="36"/>
      <c r="TL10" s="36"/>
      <c r="TM10" s="36"/>
      <c r="TN10" s="36"/>
      <c r="TO10" s="36"/>
      <c r="TP10" s="36"/>
      <c r="TQ10" s="36"/>
      <c r="TR10" s="36"/>
      <c r="TS10" s="36"/>
      <c r="TT10" s="36"/>
      <c r="TU10" s="36"/>
      <c r="TV10" s="36"/>
      <c r="TW10" s="36"/>
      <c r="TX10" s="36"/>
      <c r="TY10" s="36"/>
      <c r="TZ10" s="36"/>
      <c r="UA10" s="36"/>
      <c r="UB10" s="36"/>
      <c r="UC10" s="36"/>
      <c r="UD10" s="36"/>
      <c r="UE10" s="36"/>
      <c r="UF10" s="36"/>
      <c r="UG10" s="36"/>
      <c r="UH10" s="36"/>
      <c r="UI10" s="36"/>
      <c r="UJ10" s="36"/>
      <c r="UK10" s="36"/>
      <c r="UL10" s="36"/>
      <c r="UM10" s="36"/>
      <c r="UN10" s="36"/>
      <c r="UO10" s="36"/>
      <c r="UP10" s="36"/>
      <c r="UQ10" s="36"/>
      <c r="UR10" s="36"/>
      <c r="US10" s="36"/>
      <c r="UT10" s="36"/>
      <c r="UU10" s="36"/>
      <c r="UV10" s="36"/>
      <c r="UW10" s="36"/>
      <c r="UX10" s="36"/>
      <c r="UY10" s="36"/>
      <c r="UZ10" s="36"/>
      <c r="VA10" s="36"/>
      <c r="VB10" s="36"/>
      <c r="VC10" s="36"/>
      <c r="VD10" s="36"/>
      <c r="VE10" s="36"/>
      <c r="VF10" s="36"/>
      <c r="VG10" s="36"/>
      <c r="VH10" s="36"/>
      <c r="VI10" s="36"/>
      <c r="VJ10" s="36"/>
      <c r="VK10" s="36"/>
      <c r="VL10" s="36"/>
      <c r="VM10" s="36"/>
      <c r="VN10" s="36"/>
      <c r="VO10" s="36"/>
      <c r="VP10" s="36"/>
      <c r="VQ10" s="36"/>
      <c r="VR10" s="36"/>
      <c r="VS10" s="36"/>
      <c r="VT10" s="36"/>
      <c r="VU10" s="36"/>
      <c r="VV10" s="36"/>
      <c r="VW10" s="36"/>
      <c r="VX10" s="36"/>
      <c r="VY10" s="36"/>
      <c r="VZ10" s="36"/>
      <c r="WA10" s="36"/>
      <c r="WB10" s="36"/>
      <c r="WC10" s="36"/>
      <c r="WD10" s="36"/>
      <c r="WE10" s="36"/>
      <c r="WF10" s="36"/>
      <c r="WG10" s="36"/>
      <c r="WH10" s="36"/>
      <c r="WI10" s="36"/>
      <c r="WJ10" s="36"/>
      <c r="WK10" s="36"/>
      <c r="WL10" s="36"/>
      <c r="WM10" s="36"/>
      <c r="WN10" s="36"/>
      <c r="WO10" s="36"/>
      <c r="WP10" s="36"/>
      <c r="WQ10" s="36"/>
      <c r="WR10" s="36"/>
      <c r="WS10" s="36"/>
      <c r="WT10" s="36"/>
      <c r="WU10" s="36"/>
      <c r="WV10" s="36"/>
      <c r="WW10" s="36"/>
      <c r="WX10" s="36"/>
      <c r="WY10" s="36"/>
      <c r="WZ10" s="36"/>
      <c r="XA10" s="36"/>
      <c r="XB10" s="36"/>
      <c r="XC10" s="36"/>
      <c r="XD10" s="36"/>
      <c r="XE10" s="36"/>
      <c r="XF10" s="36"/>
      <c r="XG10" s="36"/>
      <c r="XH10" s="36"/>
      <c r="XI10" s="36"/>
      <c r="XJ10" s="36"/>
      <c r="XK10" s="36"/>
      <c r="XL10" s="36"/>
      <c r="XM10" s="36"/>
      <c r="XN10" s="36"/>
      <c r="XO10" s="36"/>
      <c r="XP10" s="36"/>
      <c r="XQ10" s="36"/>
      <c r="XR10" s="36"/>
      <c r="XS10" s="36"/>
      <c r="XT10" s="36"/>
      <c r="XU10" s="36"/>
      <c r="XV10" s="36"/>
      <c r="XW10" s="36"/>
      <c r="XX10" s="36"/>
      <c r="XY10" s="36"/>
      <c r="XZ10" s="36"/>
      <c r="YA10" s="36"/>
      <c r="YB10" s="36"/>
      <c r="YC10" s="36"/>
      <c r="YD10" s="36"/>
      <c r="YE10" s="36"/>
      <c r="YF10" s="36"/>
      <c r="YG10" s="36"/>
      <c r="YH10" s="36"/>
      <c r="YI10" s="36"/>
      <c r="YJ10" s="36"/>
      <c r="YK10" s="36"/>
      <c r="YL10" s="36"/>
      <c r="YM10" s="36"/>
      <c r="YN10" s="36"/>
    </row>
    <row r="11" spans="1:664" ht="16.5" customHeight="1" x14ac:dyDescent="0.3">
      <c r="A11" s="39"/>
      <c r="B11" s="39"/>
      <c r="C11" s="39"/>
      <c r="D11" s="39"/>
      <c r="E11" s="39"/>
      <c r="F11" s="39"/>
      <c r="G11" s="39"/>
      <c r="H11" s="39"/>
      <c r="I11" s="40"/>
      <c r="J11" s="41"/>
      <c r="K11" s="39"/>
      <c r="L11" s="41"/>
      <c r="M11" s="43">
        <v>6</v>
      </c>
      <c r="N11" s="43">
        <v>6</v>
      </c>
      <c r="O11" s="43">
        <v>6</v>
      </c>
      <c r="P11" s="43">
        <v>6</v>
      </c>
      <c r="Q11" s="43">
        <v>6</v>
      </c>
      <c r="R11" s="43">
        <v>6</v>
      </c>
      <c r="S11" s="43">
        <v>6</v>
      </c>
      <c r="T11" s="43">
        <v>6</v>
      </c>
      <c r="U11" s="43">
        <v>6</v>
      </c>
      <c r="V11" s="43">
        <v>6</v>
      </c>
      <c r="W11" s="43">
        <v>6</v>
      </c>
      <c r="X11" s="43">
        <v>6</v>
      </c>
      <c r="Y11" s="43">
        <v>6</v>
      </c>
      <c r="Z11" s="43">
        <v>6</v>
      </c>
      <c r="AA11" s="43">
        <v>6</v>
      </c>
      <c r="AB11" s="43" t="s">
        <v>68</v>
      </c>
      <c r="AC11" s="43">
        <v>7</v>
      </c>
      <c r="AD11" s="43">
        <v>7</v>
      </c>
      <c r="AE11" s="43">
        <v>7</v>
      </c>
      <c r="AF11" s="43">
        <v>7</v>
      </c>
      <c r="AG11" s="43">
        <v>7</v>
      </c>
      <c r="AH11" s="43">
        <v>7</v>
      </c>
      <c r="AI11" s="43">
        <v>7</v>
      </c>
      <c r="AJ11" s="43">
        <v>7</v>
      </c>
      <c r="AK11" s="43">
        <v>7</v>
      </c>
      <c r="AL11" s="43">
        <v>7</v>
      </c>
      <c r="AM11" s="43">
        <v>7</v>
      </c>
      <c r="AN11" s="43">
        <v>7</v>
      </c>
      <c r="AO11" s="43">
        <v>7</v>
      </c>
      <c r="AP11" s="43">
        <v>7</v>
      </c>
      <c r="AQ11" s="43">
        <v>7</v>
      </c>
      <c r="AR11" s="43" t="s">
        <v>69</v>
      </c>
      <c r="AS11" s="43">
        <v>8</v>
      </c>
      <c r="AT11" s="43">
        <v>8</v>
      </c>
      <c r="AU11" s="43">
        <v>8</v>
      </c>
      <c r="AV11" s="43">
        <v>8</v>
      </c>
      <c r="AW11" s="43">
        <v>8</v>
      </c>
      <c r="AX11" s="43">
        <v>8</v>
      </c>
      <c r="AY11" s="43">
        <v>8</v>
      </c>
      <c r="AZ11" s="43">
        <v>8</v>
      </c>
      <c r="BA11" s="43">
        <v>8</v>
      </c>
      <c r="BB11" s="43">
        <v>8</v>
      </c>
      <c r="BC11" s="43">
        <v>8</v>
      </c>
      <c r="BD11" s="43">
        <v>8</v>
      </c>
      <c r="BE11" s="43">
        <v>8</v>
      </c>
      <c r="BF11" s="43">
        <v>8</v>
      </c>
      <c r="BG11" s="43">
        <v>8</v>
      </c>
      <c r="BH11" s="43" t="s">
        <v>70</v>
      </c>
      <c r="BI11" s="43" t="s">
        <v>71</v>
      </c>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8"/>
      <c r="KO11" s="28"/>
      <c r="KP11" s="28"/>
      <c r="KQ11" s="28"/>
      <c r="KR11" s="28"/>
      <c r="KS11" s="28"/>
      <c r="KT11" s="28"/>
      <c r="KU11" s="28"/>
      <c r="KV11" s="28"/>
      <c r="KW11" s="28"/>
      <c r="KX11" s="28"/>
      <c r="KY11" s="28"/>
      <c r="KZ11" s="28"/>
      <c r="LA11" s="28"/>
      <c r="LB11" s="28"/>
      <c r="LC11" s="28"/>
      <c r="LD11" s="28"/>
      <c r="LE11" s="28"/>
      <c r="LF11" s="28"/>
      <c r="LG11" s="28"/>
      <c r="LH11" s="28"/>
      <c r="LI11" s="28"/>
      <c r="LJ11" s="28"/>
      <c r="LK11" s="28"/>
      <c r="LL11" s="28"/>
      <c r="LM11" s="28"/>
      <c r="LN11" s="28"/>
      <c r="LO11" s="28"/>
      <c r="LP11" s="28"/>
      <c r="LQ11" s="28"/>
      <c r="LR11" s="28"/>
      <c r="LS11" s="28"/>
      <c r="LT11" s="28"/>
      <c r="LU11" s="28"/>
      <c r="LV11" s="28"/>
      <c r="LW11" s="28"/>
      <c r="LX11" s="28"/>
      <c r="LY11" s="28"/>
      <c r="LZ11" s="28"/>
      <c r="MA11" s="28"/>
      <c r="MB11" s="28"/>
      <c r="MC11" s="28"/>
      <c r="MD11" s="28"/>
      <c r="ME11" s="28"/>
      <c r="MF11" s="28"/>
      <c r="MG11" s="28"/>
      <c r="MH11" s="28"/>
      <c r="MI11" s="28"/>
      <c r="MJ11" s="28"/>
      <c r="MK11" s="28"/>
      <c r="ML11" s="28"/>
      <c r="MM11" s="28"/>
      <c r="MN11" s="28"/>
      <c r="MO11" s="28"/>
      <c r="MP11" s="28"/>
      <c r="MQ11" s="28"/>
      <c r="MR11" s="28"/>
      <c r="MS11" s="28"/>
      <c r="MT11" s="28"/>
      <c r="MU11" s="28"/>
      <c r="MV11" s="28"/>
      <c r="MW11" s="28"/>
      <c r="MX11" s="28"/>
      <c r="MY11" s="28"/>
      <c r="MZ11" s="28"/>
      <c r="NA11" s="28"/>
      <c r="NB11" s="28"/>
      <c r="NC11" s="28"/>
      <c r="ND11" s="28"/>
      <c r="NE11" s="28"/>
      <c r="NF11" s="28"/>
      <c r="NG11" s="28"/>
      <c r="NH11" s="28"/>
      <c r="NI11" s="28"/>
      <c r="NJ11" s="28"/>
      <c r="NK11" s="28"/>
      <c r="NL11" s="28"/>
      <c r="NM11" s="28"/>
      <c r="NN11" s="28"/>
      <c r="NO11" s="28"/>
      <c r="NP11" s="28"/>
      <c r="NQ11" s="28"/>
      <c r="NR11" s="28"/>
      <c r="NS11" s="28"/>
      <c r="NT11" s="28"/>
      <c r="NU11" s="28"/>
      <c r="NV11" s="28"/>
      <c r="NW11" s="28"/>
      <c r="NX11" s="28"/>
      <c r="NY11" s="28"/>
      <c r="NZ11" s="28"/>
      <c r="OA11" s="28"/>
      <c r="OB11" s="28"/>
      <c r="OC11" s="28"/>
      <c r="OD11" s="28"/>
      <c r="OE11" s="28"/>
      <c r="OF11" s="28"/>
      <c r="OG11" s="28"/>
      <c r="OH11" s="28"/>
      <c r="OI11" s="28"/>
      <c r="OJ11" s="28"/>
      <c r="OK11" s="28"/>
      <c r="OL11" s="28"/>
      <c r="OM11" s="28"/>
      <c r="ON11" s="28"/>
      <c r="OO11" s="28"/>
      <c r="OP11" s="28"/>
      <c r="OQ11" s="28"/>
      <c r="OR11" s="28"/>
      <c r="OS11" s="28"/>
      <c r="OT11" s="28"/>
      <c r="OU11" s="28"/>
      <c r="OV11" s="28"/>
      <c r="OW11" s="28"/>
      <c r="OX11" s="28"/>
      <c r="OY11" s="28"/>
      <c r="OZ11" s="28"/>
      <c r="PA11" s="28"/>
      <c r="PB11" s="28"/>
      <c r="PC11" s="28"/>
      <c r="PD11" s="28"/>
      <c r="PE11" s="28"/>
      <c r="PF11" s="28"/>
      <c r="PG11" s="28"/>
      <c r="PH11" s="28"/>
      <c r="PI11" s="28"/>
      <c r="PJ11" s="28"/>
      <c r="PK11" s="28"/>
      <c r="PL11" s="28"/>
      <c r="PM11" s="28"/>
      <c r="PN11" s="28"/>
      <c r="PO11" s="28"/>
      <c r="PP11" s="28"/>
      <c r="PQ11" s="28"/>
      <c r="PR11" s="28"/>
      <c r="PS11" s="28"/>
      <c r="PT11" s="28"/>
      <c r="PU11" s="28"/>
      <c r="PV11" s="28"/>
      <c r="PW11" s="28"/>
      <c r="PX11" s="28"/>
      <c r="PY11" s="28"/>
      <c r="PZ11" s="28"/>
      <c r="QA11" s="28"/>
      <c r="QB11" s="28"/>
      <c r="QC11" s="28"/>
      <c r="QD11" s="28"/>
      <c r="QE11" s="28"/>
      <c r="QF11" s="28"/>
      <c r="QG11" s="28"/>
      <c r="QH11" s="28"/>
      <c r="QI11" s="28"/>
      <c r="QJ11" s="28"/>
      <c r="QK11" s="28"/>
      <c r="QL11" s="28"/>
      <c r="QM11" s="28"/>
      <c r="QN11" s="28"/>
      <c r="QO11" s="28"/>
      <c r="QP11" s="28"/>
      <c r="QQ11" s="28"/>
      <c r="QR11" s="28"/>
      <c r="QS11" s="28"/>
      <c r="QT11" s="28"/>
      <c r="QU11" s="28"/>
      <c r="QV11" s="28"/>
      <c r="QW11" s="28"/>
      <c r="QX11" s="28"/>
      <c r="QY11" s="28"/>
      <c r="QZ11" s="28"/>
      <c r="RA11" s="28"/>
      <c r="RB11" s="28"/>
      <c r="RC11" s="28"/>
      <c r="RD11" s="28"/>
      <c r="RE11" s="28"/>
      <c r="RF11" s="28"/>
      <c r="RG11" s="28"/>
      <c r="RH11" s="28"/>
      <c r="RI11" s="28"/>
      <c r="RJ11" s="28"/>
      <c r="RK11" s="28"/>
      <c r="RL11" s="28"/>
      <c r="RM11" s="28"/>
      <c r="RN11" s="28"/>
      <c r="RO11" s="28"/>
      <c r="RP11" s="28"/>
      <c r="RQ11" s="28"/>
      <c r="RR11" s="28"/>
      <c r="RS11" s="28"/>
      <c r="RT11" s="28"/>
      <c r="RU11" s="28"/>
      <c r="RV11" s="28"/>
      <c r="RW11" s="28"/>
      <c r="RX11" s="28"/>
      <c r="RY11" s="28"/>
      <c r="RZ11" s="28"/>
      <c r="SA11" s="28"/>
      <c r="SB11" s="28"/>
      <c r="SC11" s="28"/>
      <c r="SD11" s="28"/>
      <c r="SE11" s="28"/>
      <c r="SF11" s="28"/>
      <c r="SG11" s="28"/>
      <c r="SH11" s="28"/>
      <c r="SI11" s="28"/>
      <c r="SJ11" s="28"/>
      <c r="SK11" s="28"/>
      <c r="SL11" s="28"/>
      <c r="SM11" s="28"/>
      <c r="SN11" s="28"/>
      <c r="SO11" s="28"/>
      <c r="SP11" s="28"/>
      <c r="SQ11" s="28"/>
      <c r="SR11" s="28"/>
      <c r="SS11" s="28"/>
      <c r="ST11" s="28"/>
      <c r="SU11" s="28"/>
      <c r="SV11" s="28"/>
      <c r="SW11" s="28"/>
      <c r="SX11" s="28"/>
      <c r="SY11" s="28"/>
      <c r="SZ11" s="28"/>
      <c r="TA11" s="28"/>
      <c r="TB11" s="28"/>
      <c r="TC11" s="28"/>
      <c r="TD11" s="28"/>
      <c r="TE11" s="28"/>
      <c r="TF11" s="28"/>
      <c r="TG11" s="28"/>
      <c r="TH11" s="28"/>
      <c r="TI11" s="28"/>
      <c r="TJ11" s="28"/>
      <c r="TK11" s="28"/>
      <c r="TL11" s="28"/>
      <c r="TM11" s="28"/>
      <c r="TN11" s="28"/>
      <c r="TO11" s="28"/>
      <c r="TP11" s="28"/>
      <c r="TQ11" s="28"/>
      <c r="TR11" s="28"/>
      <c r="TS11" s="28"/>
      <c r="TT11" s="28"/>
      <c r="TU11" s="28"/>
      <c r="TV11" s="28"/>
      <c r="TW11" s="28"/>
      <c r="TX11" s="28"/>
      <c r="TY11" s="28"/>
      <c r="TZ11" s="28"/>
      <c r="UA11" s="28"/>
      <c r="UB11" s="28"/>
      <c r="UC11" s="28"/>
      <c r="UD11" s="28"/>
      <c r="UE11" s="28"/>
      <c r="UF11" s="28"/>
      <c r="UG11" s="28"/>
      <c r="UH11" s="28"/>
      <c r="UI11" s="28"/>
      <c r="UJ11" s="28"/>
      <c r="UK11" s="28"/>
      <c r="UL11" s="28"/>
      <c r="UM11" s="28"/>
      <c r="UN11" s="28"/>
      <c r="UO11" s="28"/>
      <c r="UP11" s="28"/>
      <c r="UQ11" s="28"/>
      <c r="UR11" s="28"/>
      <c r="US11" s="28"/>
      <c r="UT11" s="28"/>
      <c r="UU11" s="28"/>
      <c r="UV11" s="28"/>
      <c r="UW11" s="28"/>
      <c r="UX11" s="28"/>
      <c r="UY11" s="28"/>
      <c r="UZ11" s="28"/>
      <c r="VA11" s="28"/>
      <c r="VB11" s="28"/>
      <c r="VC11" s="28"/>
      <c r="VD11" s="28"/>
      <c r="VE11" s="28"/>
      <c r="VF11" s="28"/>
      <c r="VG11" s="28"/>
      <c r="VH11" s="28"/>
      <c r="VI11" s="28"/>
      <c r="VJ11" s="28"/>
      <c r="VK11" s="28"/>
      <c r="VL11" s="28"/>
      <c r="VM11" s="28"/>
      <c r="VN11" s="28"/>
      <c r="VO11" s="28"/>
      <c r="VP11" s="28"/>
      <c r="VQ11" s="28"/>
      <c r="VR11" s="28"/>
      <c r="VS11" s="28"/>
      <c r="VT11" s="28"/>
      <c r="VU11" s="28"/>
      <c r="VV11" s="28"/>
      <c r="VW11" s="28"/>
      <c r="VX11" s="28"/>
      <c r="VY11" s="28"/>
      <c r="VZ11" s="28"/>
      <c r="WA11" s="28"/>
      <c r="WB11" s="28"/>
      <c r="WC11" s="28"/>
      <c r="WD11" s="28"/>
      <c r="WE11" s="28"/>
      <c r="WF11" s="28"/>
      <c r="WG11" s="28"/>
      <c r="WH11" s="28"/>
      <c r="WI11" s="28"/>
      <c r="WJ11" s="28"/>
      <c r="WK11" s="28"/>
      <c r="WL11" s="28"/>
      <c r="WM11" s="28"/>
      <c r="WN11" s="28"/>
      <c r="WO11" s="28"/>
      <c r="WP11" s="28"/>
      <c r="WQ11" s="28"/>
      <c r="WR11" s="28"/>
      <c r="WS11" s="28"/>
      <c r="WT11" s="28"/>
      <c r="WU11" s="28"/>
      <c r="WV11" s="28"/>
      <c r="WW11" s="28"/>
      <c r="WX11" s="28"/>
      <c r="WY11" s="28"/>
      <c r="WZ11" s="28"/>
      <c r="XA11" s="28"/>
      <c r="XB11" s="28"/>
      <c r="XC11" s="28"/>
      <c r="XD11" s="28"/>
      <c r="XE11" s="28"/>
      <c r="XF11" s="28"/>
      <c r="XG11" s="28"/>
      <c r="XH11" s="28"/>
      <c r="XI11" s="28"/>
      <c r="XJ11" s="28"/>
      <c r="XK11" s="28"/>
      <c r="XL11" s="28"/>
      <c r="XM11" s="28"/>
      <c r="XN11" s="28"/>
      <c r="XO11" s="28"/>
      <c r="XP11" s="28"/>
      <c r="XQ11" s="28"/>
      <c r="XR11" s="28"/>
      <c r="XS11" s="28"/>
      <c r="XT11" s="28"/>
      <c r="XU11" s="28"/>
      <c r="XV11" s="28"/>
      <c r="XW11" s="28"/>
      <c r="XX11" s="28"/>
      <c r="XY11" s="28"/>
      <c r="XZ11" s="28"/>
      <c r="YA11" s="28"/>
      <c r="YB11" s="28"/>
      <c r="YC11" s="28"/>
      <c r="YD11" s="28"/>
      <c r="YE11" s="28"/>
      <c r="YF11" s="28"/>
      <c r="YG11" s="28"/>
      <c r="YH11" s="28"/>
      <c r="YI11" s="28"/>
      <c r="YJ11" s="28"/>
      <c r="YK11" s="28"/>
      <c r="YL11" s="28"/>
    </row>
    <row r="12" spans="1:664" ht="11.5" customHeight="1" x14ac:dyDescent="0.3">
      <c r="A12" s="39"/>
      <c r="B12" s="39"/>
      <c r="C12" s="39"/>
      <c r="D12" s="39"/>
      <c r="E12" s="39"/>
      <c r="F12" s="39"/>
      <c r="G12" s="39"/>
      <c r="H12" s="39"/>
      <c r="I12" s="40"/>
      <c r="J12" s="41"/>
      <c r="K12" s="39"/>
      <c r="L12" s="41"/>
      <c r="M12" s="43" t="s">
        <v>72</v>
      </c>
      <c r="N12" s="43" t="s">
        <v>72</v>
      </c>
      <c r="O12" s="43" t="s">
        <v>72</v>
      </c>
      <c r="P12" s="43" t="s">
        <v>72</v>
      </c>
      <c r="Q12" s="43" t="s">
        <v>72</v>
      </c>
      <c r="R12" s="43" t="s">
        <v>72</v>
      </c>
      <c r="S12" s="43" t="s">
        <v>73</v>
      </c>
      <c r="T12" s="43" t="s">
        <v>73</v>
      </c>
      <c r="U12" s="43" t="s">
        <v>73</v>
      </c>
      <c r="V12" s="43" t="s">
        <v>74</v>
      </c>
      <c r="W12" s="43" t="s">
        <v>74</v>
      </c>
      <c r="X12" s="43" t="s">
        <v>74</v>
      </c>
      <c r="Y12" s="43" t="s">
        <v>74</v>
      </c>
      <c r="Z12" s="43" t="s">
        <v>74</v>
      </c>
      <c r="AA12" s="43" t="s">
        <v>74</v>
      </c>
      <c r="AB12" s="43"/>
      <c r="AC12" s="43" t="s">
        <v>72</v>
      </c>
      <c r="AD12" s="43" t="s">
        <v>72</v>
      </c>
      <c r="AE12" s="43" t="s">
        <v>72</v>
      </c>
      <c r="AF12" s="43" t="s">
        <v>72</v>
      </c>
      <c r="AG12" s="43" t="s">
        <v>72</v>
      </c>
      <c r="AH12" s="43" t="s">
        <v>72</v>
      </c>
      <c r="AI12" s="43" t="s">
        <v>73</v>
      </c>
      <c r="AJ12" s="43" t="s">
        <v>73</v>
      </c>
      <c r="AK12" s="43" t="s">
        <v>73</v>
      </c>
      <c r="AL12" s="43" t="s">
        <v>74</v>
      </c>
      <c r="AM12" s="43" t="s">
        <v>74</v>
      </c>
      <c r="AN12" s="43" t="s">
        <v>74</v>
      </c>
      <c r="AO12" s="43" t="s">
        <v>74</v>
      </c>
      <c r="AP12" s="43" t="s">
        <v>74</v>
      </c>
      <c r="AQ12" s="43" t="s">
        <v>74</v>
      </c>
      <c r="AR12" s="43"/>
      <c r="AS12" s="43" t="s">
        <v>72</v>
      </c>
      <c r="AT12" s="43" t="s">
        <v>72</v>
      </c>
      <c r="AU12" s="43" t="s">
        <v>72</v>
      </c>
      <c r="AV12" s="43" t="s">
        <v>72</v>
      </c>
      <c r="AW12" s="43" t="s">
        <v>72</v>
      </c>
      <c r="AX12" s="43" t="s">
        <v>72</v>
      </c>
      <c r="AY12" s="43" t="s">
        <v>73</v>
      </c>
      <c r="AZ12" s="43" t="s">
        <v>73</v>
      </c>
      <c r="BA12" s="43" t="s">
        <v>73</v>
      </c>
      <c r="BB12" s="43" t="s">
        <v>74</v>
      </c>
      <c r="BC12" s="43" t="s">
        <v>74</v>
      </c>
      <c r="BD12" s="43" t="s">
        <v>74</v>
      </c>
      <c r="BE12" s="43" t="s">
        <v>74</v>
      </c>
      <c r="BF12" s="43" t="s">
        <v>74</v>
      </c>
      <c r="BG12" s="43" t="s">
        <v>74</v>
      </c>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c r="KL12" s="28"/>
      <c r="KM12" s="28"/>
      <c r="KN12" s="28"/>
      <c r="KO12" s="28"/>
      <c r="KP12" s="28"/>
      <c r="KQ12" s="28"/>
      <c r="KR12" s="28"/>
      <c r="KS12" s="28"/>
      <c r="KT12" s="28"/>
      <c r="KU12" s="28"/>
      <c r="KV12" s="28"/>
      <c r="KW12" s="28"/>
      <c r="KX12" s="28"/>
      <c r="KY12" s="28"/>
      <c r="KZ12" s="28"/>
      <c r="LA12" s="28"/>
      <c r="LB12" s="28"/>
      <c r="LC12" s="28"/>
      <c r="LD12" s="28"/>
      <c r="LE12" s="28"/>
      <c r="LF12" s="28"/>
      <c r="LG12" s="28"/>
      <c r="LH12" s="28"/>
      <c r="LI12" s="28"/>
      <c r="LJ12" s="28"/>
      <c r="LK12" s="28"/>
      <c r="LL12" s="28"/>
      <c r="LM12" s="28"/>
      <c r="LN12" s="28"/>
      <c r="LO12" s="28"/>
      <c r="LP12" s="28"/>
      <c r="LQ12" s="28"/>
      <c r="LR12" s="28"/>
      <c r="LS12" s="28"/>
      <c r="LT12" s="28"/>
      <c r="LU12" s="28"/>
      <c r="LV12" s="28"/>
      <c r="LW12" s="28"/>
      <c r="LX12" s="28"/>
      <c r="LY12" s="28"/>
      <c r="LZ12" s="28"/>
      <c r="MA12" s="28"/>
      <c r="MB12" s="28"/>
      <c r="MC12" s="28"/>
      <c r="MD12" s="28"/>
      <c r="ME12" s="28"/>
      <c r="MF12" s="28"/>
      <c r="MG12" s="28"/>
      <c r="MH12" s="28"/>
      <c r="MI12" s="28"/>
      <c r="MJ12" s="28"/>
      <c r="MK12" s="28"/>
      <c r="ML12" s="28"/>
      <c r="MM12" s="28"/>
      <c r="MN12" s="28"/>
      <c r="MO12" s="28"/>
      <c r="MP12" s="28"/>
      <c r="MQ12" s="28"/>
      <c r="MR12" s="28"/>
      <c r="MS12" s="28"/>
      <c r="MT12" s="28"/>
      <c r="MU12" s="28"/>
      <c r="MV12" s="28"/>
      <c r="MW12" s="28"/>
      <c r="MX12" s="28"/>
      <c r="MY12" s="28"/>
      <c r="MZ12" s="28"/>
      <c r="NA12" s="28"/>
      <c r="NB12" s="28"/>
      <c r="NC12" s="28"/>
      <c r="ND12" s="28"/>
      <c r="NE12" s="28"/>
      <c r="NF12" s="28"/>
      <c r="NG12" s="28"/>
      <c r="NH12" s="28"/>
      <c r="NI12" s="28"/>
      <c r="NJ12" s="28"/>
      <c r="NK12" s="28"/>
      <c r="NL12" s="28"/>
      <c r="NM12" s="28"/>
      <c r="NN12" s="28"/>
      <c r="NO12" s="28"/>
      <c r="NP12" s="28"/>
      <c r="NQ12" s="28"/>
      <c r="NR12" s="28"/>
      <c r="NS12" s="28"/>
      <c r="NT12" s="28"/>
      <c r="NU12" s="28"/>
      <c r="NV12" s="28"/>
      <c r="NW12" s="28"/>
      <c r="NX12" s="28"/>
      <c r="NY12" s="28"/>
      <c r="NZ12" s="28"/>
      <c r="OA12" s="28"/>
      <c r="OB12" s="28"/>
      <c r="OC12" s="28"/>
      <c r="OD12" s="28"/>
      <c r="OE12" s="28"/>
      <c r="OF12" s="28"/>
      <c r="OG12" s="28"/>
      <c r="OH12" s="28"/>
      <c r="OI12" s="28"/>
      <c r="OJ12" s="28"/>
      <c r="OK12" s="28"/>
      <c r="OL12" s="28"/>
      <c r="OM12" s="28"/>
      <c r="ON12" s="28"/>
      <c r="OO12" s="28"/>
      <c r="OP12" s="28"/>
      <c r="OQ12" s="28"/>
      <c r="OR12" s="28"/>
      <c r="OS12" s="28"/>
      <c r="OT12" s="28"/>
      <c r="OU12" s="28"/>
      <c r="OV12" s="28"/>
      <c r="OW12" s="28"/>
      <c r="OX12" s="28"/>
      <c r="OY12" s="28"/>
      <c r="OZ12" s="28"/>
      <c r="PA12" s="28"/>
      <c r="PB12" s="28"/>
      <c r="PC12" s="28"/>
      <c r="PD12" s="28"/>
      <c r="PE12" s="28"/>
      <c r="PF12" s="28"/>
      <c r="PG12" s="28"/>
      <c r="PH12" s="28"/>
      <c r="PI12" s="28"/>
      <c r="PJ12" s="28"/>
      <c r="PK12" s="28"/>
      <c r="PL12" s="28"/>
      <c r="PM12" s="28"/>
      <c r="PN12" s="28"/>
      <c r="PO12" s="28"/>
      <c r="PP12" s="28"/>
      <c r="PQ12" s="28"/>
      <c r="PR12" s="28"/>
      <c r="PS12" s="28"/>
      <c r="PT12" s="28"/>
      <c r="PU12" s="28"/>
      <c r="PV12" s="28"/>
      <c r="PW12" s="28"/>
      <c r="PX12" s="28"/>
      <c r="PY12" s="28"/>
      <c r="PZ12" s="28"/>
      <c r="QA12" s="28"/>
      <c r="QB12" s="28"/>
      <c r="QC12" s="28"/>
      <c r="QD12" s="28"/>
      <c r="QE12" s="28"/>
      <c r="QF12" s="28"/>
      <c r="QG12" s="28"/>
      <c r="QH12" s="28"/>
      <c r="QI12" s="28"/>
      <c r="QJ12" s="28"/>
      <c r="QK12" s="28"/>
      <c r="QL12" s="28"/>
      <c r="QM12" s="28"/>
      <c r="QN12" s="28"/>
      <c r="QO12" s="28"/>
      <c r="QP12" s="28"/>
      <c r="QQ12" s="28"/>
      <c r="QR12" s="28"/>
      <c r="QS12" s="28"/>
      <c r="QT12" s="28"/>
      <c r="QU12" s="28"/>
      <c r="QV12" s="28"/>
      <c r="QW12" s="28"/>
      <c r="QX12" s="28"/>
      <c r="QY12" s="28"/>
      <c r="QZ12" s="28"/>
      <c r="RA12" s="28"/>
      <c r="RB12" s="28"/>
      <c r="RC12" s="28"/>
      <c r="RD12" s="28"/>
      <c r="RE12" s="28"/>
      <c r="RF12" s="28"/>
      <c r="RG12" s="28"/>
      <c r="RH12" s="28"/>
      <c r="RI12" s="28"/>
      <c r="RJ12" s="28"/>
      <c r="RK12" s="28"/>
      <c r="RL12" s="28"/>
      <c r="RM12" s="28"/>
      <c r="RN12" s="28"/>
      <c r="RO12" s="28"/>
      <c r="RP12" s="28"/>
      <c r="RQ12" s="28"/>
      <c r="RR12" s="28"/>
      <c r="RS12" s="28"/>
      <c r="RT12" s="28"/>
      <c r="RU12" s="28"/>
      <c r="RV12" s="28"/>
      <c r="RW12" s="28"/>
      <c r="RX12" s="28"/>
      <c r="RY12" s="28"/>
      <c r="RZ12" s="28"/>
      <c r="SA12" s="28"/>
      <c r="SB12" s="28"/>
      <c r="SC12" s="28"/>
      <c r="SD12" s="28"/>
      <c r="SE12" s="28"/>
      <c r="SF12" s="28"/>
      <c r="SG12" s="28"/>
      <c r="SH12" s="28"/>
      <c r="SI12" s="28"/>
      <c r="SJ12" s="28"/>
      <c r="SK12" s="28"/>
      <c r="SL12" s="28"/>
      <c r="SM12" s="28"/>
      <c r="SN12" s="28"/>
      <c r="SO12" s="28"/>
      <c r="SP12" s="28"/>
      <c r="SQ12" s="28"/>
      <c r="SR12" s="28"/>
      <c r="SS12" s="28"/>
      <c r="ST12" s="28"/>
      <c r="SU12" s="28"/>
      <c r="SV12" s="28"/>
      <c r="SW12" s="28"/>
      <c r="SX12" s="28"/>
      <c r="SY12" s="28"/>
      <c r="SZ12" s="28"/>
      <c r="TA12" s="28"/>
      <c r="TB12" s="28"/>
      <c r="TC12" s="28"/>
      <c r="TD12" s="28"/>
      <c r="TE12" s="28"/>
      <c r="TF12" s="28"/>
      <c r="TG12" s="28"/>
      <c r="TH12" s="28"/>
      <c r="TI12" s="28"/>
      <c r="TJ12" s="28"/>
      <c r="TK12" s="28"/>
      <c r="TL12" s="28"/>
      <c r="TM12" s="28"/>
      <c r="TN12" s="28"/>
      <c r="TO12" s="28"/>
      <c r="TP12" s="28"/>
      <c r="TQ12" s="28"/>
      <c r="TR12" s="28"/>
      <c r="TS12" s="28"/>
      <c r="TT12" s="28"/>
      <c r="TU12" s="28"/>
      <c r="TV12" s="28"/>
      <c r="TW12" s="28"/>
      <c r="TX12" s="28"/>
      <c r="TY12" s="28"/>
      <c r="TZ12" s="28"/>
      <c r="UA12" s="28"/>
      <c r="UB12" s="28"/>
      <c r="UC12" s="28"/>
      <c r="UD12" s="28"/>
      <c r="UE12" s="28"/>
      <c r="UF12" s="28"/>
      <c r="UG12" s="28"/>
      <c r="UH12" s="28"/>
      <c r="UI12" s="28"/>
      <c r="UJ12" s="28"/>
      <c r="UK12" s="28"/>
      <c r="UL12" s="28"/>
      <c r="UM12" s="28"/>
      <c r="UN12" s="28"/>
      <c r="UO12" s="28"/>
      <c r="UP12" s="28"/>
      <c r="UQ12" s="28"/>
      <c r="UR12" s="28"/>
      <c r="US12" s="28"/>
      <c r="UT12" s="28"/>
      <c r="UU12" s="28"/>
      <c r="UV12" s="28"/>
      <c r="UW12" s="28"/>
      <c r="UX12" s="28"/>
      <c r="UY12" s="28"/>
      <c r="UZ12" s="28"/>
      <c r="VA12" s="28"/>
      <c r="VB12" s="28"/>
      <c r="VC12" s="28"/>
      <c r="VD12" s="28"/>
      <c r="VE12" s="28"/>
      <c r="VF12" s="28"/>
      <c r="VG12" s="28"/>
      <c r="VH12" s="28"/>
      <c r="VI12" s="28"/>
      <c r="VJ12" s="28"/>
      <c r="VK12" s="28"/>
      <c r="VL12" s="28"/>
      <c r="VM12" s="28"/>
      <c r="VN12" s="28"/>
      <c r="VO12" s="28"/>
      <c r="VP12" s="28"/>
      <c r="VQ12" s="28"/>
      <c r="VR12" s="28"/>
      <c r="VS12" s="28"/>
      <c r="VT12" s="28"/>
      <c r="VU12" s="28"/>
      <c r="VV12" s="28"/>
      <c r="VW12" s="28"/>
      <c r="VX12" s="28"/>
      <c r="VY12" s="28"/>
      <c r="VZ12" s="28"/>
      <c r="WA12" s="28"/>
      <c r="WB12" s="28"/>
      <c r="WC12" s="28"/>
      <c r="WD12" s="28"/>
      <c r="WE12" s="28"/>
      <c r="WF12" s="28"/>
      <c r="WG12" s="28"/>
      <c r="WH12" s="28"/>
      <c r="WI12" s="28"/>
      <c r="WJ12" s="28"/>
      <c r="WK12" s="28"/>
      <c r="WL12" s="28"/>
      <c r="WM12" s="28"/>
      <c r="WN12" s="28"/>
      <c r="WO12" s="28"/>
      <c r="WP12" s="28"/>
      <c r="WQ12" s="28"/>
      <c r="WR12" s="28"/>
      <c r="WS12" s="28"/>
      <c r="WT12" s="28"/>
      <c r="WU12" s="28"/>
      <c r="WV12" s="28"/>
      <c r="WW12" s="28"/>
      <c r="WX12" s="28"/>
      <c r="WY12" s="28"/>
      <c r="WZ12" s="28"/>
      <c r="XA12" s="28"/>
      <c r="XB12" s="28"/>
      <c r="XC12" s="28"/>
      <c r="XD12" s="28"/>
      <c r="XE12" s="28"/>
      <c r="XF12" s="28"/>
      <c r="XG12" s="28"/>
      <c r="XH12" s="28"/>
      <c r="XI12" s="28"/>
      <c r="XJ12" s="28"/>
      <c r="XK12" s="28"/>
      <c r="XL12" s="28"/>
      <c r="XM12" s="28"/>
      <c r="XN12" s="28"/>
      <c r="XO12" s="28"/>
      <c r="XP12" s="28"/>
      <c r="XQ12" s="28"/>
      <c r="XR12" s="28"/>
      <c r="XS12" s="28"/>
      <c r="XT12" s="28"/>
      <c r="XU12" s="28"/>
      <c r="XV12" s="28"/>
      <c r="XW12" s="28"/>
      <c r="XX12" s="28"/>
      <c r="XY12" s="28"/>
      <c r="XZ12" s="28"/>
      <c r="YA12" s="28"/>
      <c r="YB12" s="28"/>
      <c r="YC12" s="28"/>
      <c r="YD12" s="28"/>
      <c r="YE12" s="28"/>
      <c r="YF12" s="28"/>
      <c r="YG12" s="28"/>
      <c r="YH12" s="28"/>
      <c r="YI12" s="28"/>
      <c r="YJ12" s="28"/>
      <c r="YK12" s="28"/>
      <c r="YL12" s="28"/>
    </row>
    <row r="13" spans="1:664" s="48" customFormat="1" ht="42.65" customHeight="1" x14ac:dyDescent="0.35">
      <c r="A13" s="44" t="s">
        <v>75</v>
      </c>
      <c r="B13" s="44" t="s">
        <v>76</v>
      </c>
      <c r="C13" s="44" t="s">
        <v>77</v>
      </c>
      <c r="D13" s="44" t="s">
        <v>78</v>
      </c>
      <c r="E13" s="44" t="s">
        <v>79</v>
      </c>
      <c r="F13" s="44" t="s">
        <v>80</v>
      </c>
      <c r="G13" s="44" t="s">
        <v>81</v>
      </c>
      <c r="H13" s="44" t="s">
        <v>82</v>
      </c>
      <c r="I13" s="44" t="s">
        <v>83</v>
      </c>
      <c r="J13" s="44" t="s">
        <v>84</v>
      </c>
      <c r="K13" s="44" t="s">
        <v>85</v>
      </c>
      <c r="L13" s="44" t="s">
        <v>86</v>
      </c>
      <c r="M13" s="45" t="s">
        <v>87</v>
      </c>
      <c r="N13" s="45" t="s">
        <v>51</v>
      </c>
      <c r="O13" s="45" t="s">
        <v>53</v>
      </c>
      <c r="P13" s="45" t="s">
        <v>52</v>
      </c>
      <c r="Q13" s="45" t="s">
        <v>50</v>
      </c>
      <c r="R13" s="45" t="s">
        <v>49</v>
      </c>
      <c r="S13" s="45" t="s">
        <v>87</v>
      </c>
      <c r="T13" s="45" t="s">
        <v>55</v>
      </c>
      <c r="U13" s="45" t="s">
        <v>54</v>
      </c>
      <c r="V13" s="45" t="s">
        <v>87</v>
      </c>
      <c r="W13" s="45" t="s">
        <v>51</v>
      </c>
      <c r="X13" s="45" t="s">
        <v>53</v>
      </c>
      <c r="Y13" s="45" t="s">
        <v>52</v>
      </c>
      <c r="Z13" s="45" t="s">
        <v>50</v>
      </c>
      <c r="AA13" s="46" t="s">
        <v>49</v>
      </c>
      <c r="AB13" s="46"/>
      <c r="AC13" s="46" t="s">
        <v>87</v>
      </c>
      <c r="AD13" s="46" t="s">
        <v>51</v>
      </c>
      <c r="AE13" s="46" t="s">
        <v>53</v>
      </c>
      <c r="AF13" s="46" t="s">
        <v>52</v>
      </c>
      <c r="AG13" s="46" t="s">
        <v>50</v>
      </c>
      <c r="AH13" s="46" t="s">
        <v>49</v>
      </c>
      <c r="AI13" s="46" t="s">
        <v>87</v>
      </c>
      <c r="AJ13" s="46" t="s">
        <v>55</v>
      </c>
      <c r="AK13" s="46" t="s">
        <v>54</v>
      </c>
      <c r="AL13" s="46" t="s">
        <v>87</v>
      </c>
      <c r="AM13" s="46" t="s">
        <v>51</v>
      </c>
      <c r="AN13" s="46" t="s">
        <v>53</v>
      </c>
      <c r="AO13" s="46" t="s">
        <v>52</v>
      </c>
      <c r="AP13" s="46" t="s">
        <v>50</v>
      </c>
      <c r="AQ13" s="46" t="s">
        <v>49</v>
      </c>
      <c r="AR13" s="46"/>
      <c r="AS13" s="46" t="s">
        <v>87</v>
      </c>
      <c r="AT13" s="46" t="s">
        <v>51</v>
      </c>
      <c r="AU13" s="46" t="s">
        <v>53</v>
      </c>
      <c r="AV13" s="46" t="s">
        <v>52</v>
      </c>
      <c r="AW13" s="46" t="s">
        <v>50</v>
      </c>
      <c r="AX13" s="46" t="s">
        <v>49</v>
      </c>
      <c r="AY13" s="46" t="s">
        <v>87</v>
      </c>
      <c r="AZ13" s="46" t="s">
        <v>55</v>
      </c>
      <c r="BA13" s="46" t="s">
        <v>54</v>
      </c>
      <c r="BB13" s="46" t="s">
        <v>87</v>
      </c>
      <c r="BC13" s="46" t="s">
        <v>51</v>
      </c>
      <c r="BD13" s="46" t="s">
        <v>53</v>
      </c>
      <c r="BE13" s="46" t="s">
        <v>52</v>
      </c>
      <c r="BF13" s="46" t="s">
        <v>50</v>
      </c>
      <c r="BG13" s="46" t="s">
        <v>49</v>
      </c>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c r="NI13" s="47"/>
      <c r="NJ13" s="47"/>
      <c r="NK13" s="47"/>
      <c r="NL13" s="47"/>
      <c r="NM13" s="47"/>
      <c r="NN13" s="47"/>
      <c r="NO13" s="47"/>
      <c r="NP13" s="47"/>
      <c r="NQ13" s="47"/>
      <c r="NR13" s="47"/>
      <c r="NS13" s="47"/>
      <c r="NT13" s="47"/>
      <c r="NU13" s="47"/>
      <c r="NV13" s="47"/>
      <c r="NW13" s="47"/>
      <c r="NX13" s="47"/>
      <c r="NY13" s="47"/>
      <c r="NZ13" s="47"/>
      <c r="OA13" s="47"/>
      <c r="OB13" s="47"/>
      <c r="OC13" s="47"/>
      <c r="OD13" s="47"/>
      <c r="OE13" s="47"/>
      <c r="OF13" s="47"/>
      <c r="OG13" s="47"/>
      <c r="OH13" s="47"/>
      <c r="OI13" s="47"/>
      <c r="OJ13" s="47"/>
      <c r="OK13" s="47"/>
      <c r="OL13" s="47"/>
      <c r="OM13" s="47"/>
      <c r="ON13" s="47"/>
      <c r="OO13" s="47"/>
      <c r="OP13" s="47"/>
      <c r="OQ13" s="47"/>
      <c r="OR13" s="47"/>
      <c r="OS13" s="47"/>
      <c r="OT13" s="47"/>
      <c r="OU13" s="47"/>
      <c r="OV13" s="47"/>
      <c r="OW13" s="47"/>
      <c r="OX13" s="47"/>
      <c r="OY13" s="47"/>
      <c r="OZ13" s="47"/>
      <c r="PA13" s="47"/>
      <c r="PB13" s="47"/>
      <c r="PC13" s="47"/>
      <c r="PD13" s="47"/>
      <c r="PE13" s="47"/>
      <c r="PF13" s="47"/>
      <c r="PG13" s="47"/>
      <c r="PH13" s="47"/>
      <c r="PI13" s="47"/>
      <c r="PJ13" s="47"/>
      <c r="PK13" s="47"/>
      <c r="PL13" s="47"/>
      <c r="PM13" s="47"/>
      <c r="PN13" s="47"/>
      <c r="PO13" s="47"/>
      <c r="PP13" s="47"/>
      <c r="PQ13" s="47"/>
      <c r="PR13" s="47"/>
      <c r="PS13" s="47"/>
      <c r="PT13" s="47"/>
      <c r="PU13" s="47"/>
      <c r="PV13" s="47"/>
      <c r="PW13" s="47"/>
      <c r="PX13" s="47"/>
      <c r="PY13" s="47"/>
      <c r="PZ13" s="47"/>
      <c r="QA13" s="47"/>
      <c r="QB13" s="47"/>
      <c r="QC13" s="47"/>
      <c r="QD13" s="47"/>
      <c r="QE13" s="47"/>
      <c r="QF13" s="47"/>
      <c r="QG13" s="47"/>
      <c r="QH13" s="47"/>
      <c r="QI13" s="47"/>
      <c r="QJ13" s="47"/>
      <c r="QK13" s="47"/>
      <c r="QL13" s="47"/>
      <c r="QM13" s="47"/>
      <c r="QN13" s="47"/>
      <c r="QO13" s="47"/>
      <c r="QP13" s="47"/>
      <c r="QQ13" s="47"/>
      <c r="QR13" s="47"/>
      <c r="QS13" s="47"/>
      <c r="QT13" s="47"/>
      <c r="QU13" s="47"/>
      <c r="QV13" s="47"/>
      <c r="QW13" s="47"/>
      <c r="QX13" s="47"/>
      <c r="QY13" s="47"/>
      <c r="QZ13" s="47"/>
      <c r="RA13" s="47"/>
      <c r="RB13" s="47"/>
      <c r="RC13" s="47"/>
      <c r="RD13" s="47"/>
      <c r="RE13" s="47"/>
      <c r="RF13" s="47"/>
      <c r="RG13" s="47"/>
      <c r="RH13" s="47"/>
      <c r="RI13" s="47"/>
      <c r="RJ13" s="47"/>
      <c r="RK13" s="47"/>
      <c r="RL13" s="47"/>
      <c r="RM13" s="47"/>
      <c r="RN13" s="47"/>
      <c r="RO13" s="47"/>
      <c r="RP13" s="47"/>
      <c r="RQ13" s="47"/>
      <c r="RR13" s="47"/>
      <c r="RS13" s="47"/>
      <c r="RT13" s="47"/>
      <c r="RU13" s="47"/>
      <c r="RV13" s="47"/>
      <c r="RW13" s="47"/>
      <c r="RX13" s="47"/>
      <c r="RY13" s="47"/>
      <c r="RZ13" s="47"/>
      <c r="SA13" s="47"/>
      <c r="SB13" s="47"/>
      <c r="SC13" s="47"/>
      <c r="SD13" s="47"/>
      <c r="SE13" s="47"/>
      <c r="SF13" s="47"/>
      <c r="SG13" s="47"/>
      <c r="SH13" s="47"/>
      <c r="SI13" s="47"/>
      <c r="SJ13" s="47"/>
      <c r="SK13" s="47"/>
      <c r="SL13" s="47"/>
      <c r="SM13" s="47"/>
      <c r="SN13" s="47"/>
      <c r="SO13" s="47"/>
      <c r="SP13" s="47"/>
      <c r="SQ13" s="47"/>
      <c r="SR13" s="47"/>
      <c r="SS13" s="47"/>
      <c r="ST13" s="47"/>
      <c r="SU13" s="47"/>
      <c r="SV13" s="47"/>
      <c r="SW13" s="47"/>
      <c r="SX13" s="47"/>
      <c r="SY13" s="47"/>
      <c r="SZ13" s="47"/>
      <c r="TA13" s="47"/>
      <c r="TB13" s="47"/>
      <c r="TC13" s="47"/>
      <c r="TD13" s="47"/>
      <c r="TE13" s="47"/>
      <c r="TF13" s="47"/>
      <c r="TG13" s="47"/>
      <c r="TH13" s="47"/>
      <c r="TI13" s="47"/>
      <c r="TJ13" s="47"/>
      <c r="TK13" s="47"/>
      <c r="TL13" s="47"/>
      <c r="TM13" s="47"/>
      <c r="TN13" s="47"/>
      <c r="TO13" s="47"/>
      <c r="TP13" s="47"/>
      <c r="TQ13" s="47"/>
      <c r="TR13" s="47"/>
      <c r="TS13" s="47"/>
      <c r="TT13" s="47"/>
      <c r="TU13" s="47"/>
      <c r="TV13" s="47"/>
      <c r="TW13" s="47"/>
      <c r="TX13" s="47"/>
      <c r="TY13" s="47"/>
      <c r="TZ13" s="47"/>
      <c r="UA13" s="47"/>
      <c r="UB13" s="47"/>
      <c r="UC13" s="47"/>
      <c r="UD13" s="47"/>
      <c r="UE13" s="47"/>
      <c r="UF13" s="47"/>
      <c r="UG13" s="47"/>
      <c r="UH13" s="47"/>
      <c r="UI13" s="47"/>
      <c r="UJ13" s="47"/>
      <c r="UK13" s="47"/>
      <c r="UL13" s="47"/>
      <c r="UM13" s="47"/>
      <c r="UN13" s="47"/>
      <c r="UO13" s="47"/>
      <c r="UP13" s="47"/>
      <c r="UQ13" s="47"/>
      <c r="UR13" s="47"/>
      <c r="US13" s="47"/>
      <c r="UT13" s="47"/>
      <c r="UU13" s="47"/>
      <c r="UV13" s="47"/>
      <c r="UW13" s="47"/>
      <c r="UX13" s="47"/>
      <c r="UY13" s="47"/>
      <c r="UZ13" s="47"/>
      <c r="VA13" s="47"/>
      <c r="VB13" s="47"/>
      <c r="VC13" s="47"/>
      <c r="VD13" s="47"/>
      <c r="VE13" s="47"/>
      <c r="VF13" s="47"/>
      <c r="VG13" s="47"/>
      <c r="VH13" s="47"/>
      <c r="VI13" s="47"/>
      <c r="VJ13" s="47"/>
      <c r="VK13" s="47"/>
      <c r="VL13" s="47"/>
      <c r="VM13" s="47"/>
      <c r="VN13" s="47"/>
      <c r="VO13" s="47"/>
      <c r="VP13" s="47"/>
      <c r="VQ13" s="47"/>
      <c r="VR13" s="47"/>
      <c r="VS13" s="47"/>
      <c r="VT13" s="47"/>
      <c r="VU13" s="47"/>
      <c r="VV13" s="47"/>
      <c r="VW13" s="47"/>
      <c r="VX13" s="47"/>
      <c r="VY13" s="47"/>
      <c r="VZ13" s="47"/>
      <c r="WA13" s="47"/>
      <c r="WB13" s="47"/>
      <c r="WC13" s="47"/>
      <c r="WD13" s="47"/>
      <c r="WE13" s="47"/>
      <c r="WF13" s="47"/>
      <c r="WG13" s="47"/>
      <c r="WH13" s="47"/>
      <c r="WI13" s="47"/>
      <c r="WJ13" s="47"/>
      <c r="WK13" s="47"/>
      <c r="WL13" s="47"/>
      <c r="WM13" s="47"/>
      <c r="WN13" s="47"/>
      <c r="WO13" s="47"/>
      <c r="WP13" s="47"/>
      <c r="WQ13" s="47"/>
      <c r="WR13" s="47"/>
      <c r="WS13" s="47"/>
      <c r="WT13" s="47"/>
      <c r="WU13" s="47"/>
      <c r="WV13" s="47"/>
      <c r="WW13" s="47"/>
      <c r="WX13" s="47"/>
      <c r="WY13" s="47"/>
      <c r="WZ13" s="47"/>
      <c r="XA13" s="47"/>
      <c r="XB13" s="47"/>
      <c r="XC13" s="47"/>
      <c r="XD13" s="47"/>
      <c r="XE13" s="47"/>
      <c r="XF13" s="47"/>
      <c r="XG13" s="47"/>
      <c r="XH13" s="47"/>
      <c r="XI13" s="47"/>
      <c r="XJ13" s="47"/>
      <c r="XK13" s="47"/>
      <c r="XL13" s="47"/>
      <c r="XM13" s="47"/>
      <c r="XN13" s="47"/>
      <c r="XO13" s="47"/>
      <c r="XP13" s="47"/>
      <c r="XQ13" s="47"/>
      <c r="XR13" s="47"/>
      <c r="XS13" s="47"/>
      <c r="XT13" s="47"/>
      <c r="XU13" s="47"/>
      <c r="XV13" s="47"/>
      <c r="XW13" s="47"/>
      <c r="XX13" s="47"/>
      <c r="XY13" s="47"/>
      <c r="XZ13" s="47"/>
      <c r="YA13" s="47"/>
      <c r="YB13" s="47"/>
      <c r="YC13" s="47"/>
      <c r="YD13" s="47"/>
      <c r="YE13" s="47"/>
      <c r="YF13" s="47"/>
      <c r="YG13" s="47"/>
      <c r="YH13" s="47"/>
      <c r="YI13" s="47"/>
      <c r="YJ13" s="47"/>
      <c r="YK13" s="47"/>
      <c r="YL13" s="47"/>
      <c r="YM13" s="47"/>
      <c r="YN13" s="47"/>
    </row>
    <row r="14" spans="1:664" x14ac:dyDescent="0.3">
      <c r="A14" s="1" t="s">
        <v>114</v>
      </c>
      <c r="B14" s="1" t="s">
        <v>90</v>
      </c>
      <c r="C14" s="1" t="s">
        <v>91</v>
      </c>
      <c r="D14" s="1" t="s">
        <v>92</v>
      </c>
      <c r="E14" s="1" t="s">
        <v>91</v>
      </c>
      <c r="F14" s="1" t="s">
        <v>92</v>
      </c>
      <c r="G14" s="1" t="s">
        <v>115</v>
      </c>
      <c r="H14" s="1" t="s">
        <v>116</v>
      </c>
      <c r="I14" s="1" t="s">
        <v>90</v>
      </c>
      <c r="J14" s="1" t="s">
        <v>117</v>
      </c>
      <c r="K14" s="1" t="s">
        <v>118</v>
      </c>
      <c r="L14" s="1" t="s">
        <v>93</v>
      </c>
      <c r="V14" s="20">
        <v>283145822</v>
      </c>
      <c r="W14" s="20">
        <v>19527600</v>
      </c>
      <c r="X14" s="20">
        <v>3672000</v>
      </c>
      <c r="Y14" s="20">
        <v>1154400</v>
      </c>
      <c r="Z14" s="20">
        <v>99905180</v>
      </c>
      <c r="AA14" s="20">
        <v>118095600</v>
      </c>
      <c r="AB14" s="20">
        <v>525500602</v>
      </c>
      <c r="AL14" s="20">
        <v>308238448</v>
      </c>
      <c r="AM14" s="20">
        <v>8199600</v>
      </c>
      <c r="AN14" s="20">
        <v>4896000</v>
      </c>
      <c r="AO14" s="20">
        <v>1154400</v>
      </c>
      <c r="AP14" s="20">
        <v>90134660</v>
      </c>
      <c r="AQ14" s="20">
        <v>94539600</v>
      </c>
      <c r="AR14" s="20">
        <v>507162708</v>
      </c>
      <c r="BB14" s="20">
        <v>288146400</v>
      </c>
      <c r="BC14" s="20">
        <v>17936400</v>
      </c>
      <c r="BD14" s="28">
        <v>6120000</v>
      </c>
      <c r="BE14" s="28">
        <v>3463200</v>
      </c>
      <c r="BF14" s="28">
        <v>116895340</v>
      </c>
      <c r="BG14" s="28">
        <v>117770400</v>
      </c>
      <c r="BH14" s="28">
        <v>550331740</v>
      </c>
      <c r="BI14" s="28">
        <v>1582995050</v>
      </c>
    </row>
    <row r="15" spans="1:664" x14ac:dyDescent="0.3">
      <c r="A15" s="1" t="s">
        <v>114</v>
      </c>
      <c r="B15" s="1" t="s">
        <v>90</v>
      </c>
      <c r="C15" s="1" t="s">
        <v>91</v>
      </c>
      <c r="D15" s="1" t="s">
        <v>92</v>
      </c>
      <c r="E15" s="1" t="s">
        <v>91</v>
      </c>
      <c r="F15" s="1" t="s">
        <v>92</v>
      </c>
      <c r="G15" s="1" t="s">
        <v>119</v>
      </c>
      <c r="H15" s="1" t="s">
        <v>120</v>
      </c>
      <c r="I15" s="1" t="s">
        <v>90</v>
      </c>
      <c r="J15" s="1" t="s">
        <v>117</v>
      </c>
      <c r="K15" s="1" t="s">
        <v>118</v>
      </c>
      <c r="L15" s="1" t="s">
        <v>93</v>
      </c>
      <c r="V15" s="20">
        <v>214555848</v>
      </c>
      <c r="W15" s="20">
        <v>12601200</v>
      </c>
      <c r="X15" s="20">
        <v>5772000</v>
      </c>
      <c r="Y15" s="20">
        <v>1924000</v>
      </c>
      <c r="Z15" s="20">
        <v>105254060</v>
      </c>
      <c r="AA15" s="20">
        <v>99448800</v>
      </c>
      <c r="AB15" s="20">
        <v>439555908</v>
      </c>
      <c r="AL15" s="20">
        <v>198472548</v>
      </c>
      <c r="AM15" s="20">
        <v>5356800</v>
      </c>
      <c r="AN15" s="20">
        <v>7752000</v>
      </c>
      <c r="AO15" s="20">
        <v>1924000</v>
      </c>
      <c r="AP15" s="20">
        <v>97888700</v>
      </c>
      <c r="AQ15" s="20">
        <v>106114800</v>
      </c>
      <c r="AR15" s="20">
        <v>417508848</v>
      </c>
      <c r="BB15" s="20">
        <v>207376200</v>
      </c>
      <c r="BC15" s="20">
        <v>14500800</v>
      </c>
      <c r="BD15" s="28">
        <v>10260000</v>
      </c>
      <c r="BE15" s="28">
        <v>1924000</v>
      </c>
      <c r="BF15" s="28">
        <v>119981260</v>
      </c>
      <c r="BG15" s="28">
        <v>111370800</v>
      </c>
      <c r="BH15" s="28">
        <v>465413060</v>
      </c>
      <c r="BI15" s="28">
        <v>1322477816</v>
      </c>
    </row>
    <row r="16" spans="1:664" x14ac:dyDescent="0.3">
      <c r="A16" s="1" t="s">
        <v>114</v>
      </c>
      <c r="B16" s="1" t="s">
        <v>90</v>
      </c>
      <c r="C16" s="1" t="s">
        <v>91</v>
      </c>
      <c r="D16" s="1" t="s">
        <v>92</v>
      </c>
      <c r="E16" s="1" t="s">
        <v>91</v>
      </c>
      <c r="F16" s="1" t="s">
        <v>92</v>
      </c>
      <c r="G16" s="1" t="s">
        <v>121</v>
      </c>
      <c r="H16" s="1" t="s">
        <v>122</v>
      </c>
      <c r="I16" s="1" t="s">
        <v>90</v>
      </c>
      <c r="J16" s="1" t="s">
        <v>117</v>
      </c>
      <c r="K16" s="1" t="s">
        <v>118</v>
      </c>
      <c r="L16" s="1" t="s">
        <v>93</v>
      </c>
      <c r="V16" s="20">
        <v>1397125110</v>
      </c>
      <c r="W16" s="20">
        <v>87505800</v>
      </c>
      <c r="X16" s="20">
        <v>13056000</v>
      </c>
      <c r="Y16" s="20">
        <v>19233600</v>
      </c>
      <c r="Z16" s="20">
        <v>296222680</v>
      </c>
      <c r="AA16" s="20">
        <v>307908000</v>
      </c>
      <c r="AB16" s="20">
        <v>2121051190</v>
      </c>
      <c r="AL16" s="20">
        <v>442507744</v>
      </c>
      <c r="AM16" s="20">
        <v>96986400</v>
      </c>
      <c r="AN16" s="20">
        <v>14688000</v>
      </c>
      <c r="AO16" s="20">
        <v>19076800</v>
      </c>
      <c r="AP16" s="20">
        <v>219595660</v>
      </c>
      <c r="AQ16" s="20">
        <v>291592800</v>
      </c>
      <c r="AR16" s="20">
        <v>1084447404</v>
      </c>
      <c r="BB16" s="20">
        <v>890376350</v>
      </c>
      <c r="BC16" s="20">
        <v>64920600</v>
      </c>
      <c r="BD16" s="28">
        <v>17376000</v>
      </c>
      <c r="BE16" s="28">
        <v>29456800</v>
      </c>
      <c r="BF16" s="28">
        <v>234464780</v>
      </c>
      <c r="BG16" s="28">
        <v>302032800</v>
      </c>
      <c r="BH16" s="28">
        <v>1538627330</v>
      </c>
      <c r="BI16" s="28">
        <v>4744125924</v>
      </c>
    </row>
    <row r="17" spans="1:61" x14ac:dyDescent="0.3">
      <c r="A17" s="1" t="s">
        <v>114</v>
      </c>
      <c r="B17" s="1" t="s">
        <v>94</v>
      </c>
      <c r="C17" s="1" t="s">
        <v>95</v>
      </c>
      <c r="D17" s="1" t="s">
        <v>96</v>
      </c>
      <c r="E17" s="1" t="s">
        <v>95</v>
      </c>
      <c r="F17" s="1" t="s">
        <v>96</v>
      </c>
      <c r="G17" s="1" t="s">
        <v>123</v>
      </c>
      <c r="H17" s="1" t="s">
        <v>124</v>
      </c>
      <c r="I17" s="1" t="s">
        <v>94</v>
      </c>
      <c r="J17" s="1" t="s">
        <v>117</v>
      </c>
      <c r="K17" s="1" t="s">
        <v>118</v>
      </c>
      <c r="L17" s="1" t="s">
        <v>97</v>
      </c>
      <c r="V17" s="20">
        <v>329880300</v>
      </c>
      <c r="Z17" s="20">
        <v>773450850</v>
      </c>
      <c r="AA17" s="20">
        <v>1090885284</v>
      </c>
      <c r="AB17" s="20">
        <v>2194216434</v>
      </c>
      <c r="AL17" s="20">
        <v>254782500</v>
      </c>
      <c r="AP17" s="20">
        <v>817861200</v>
      </c>
      <c r="AQ17" s="20">
        <v>944062484</v>
      </c>
      <c r="AR17" s="20">
        <v>2016706184</v>
      </c>
      <c r="BB17" s="20">
        <v>371687850</v>
      </c>
      <c r="BF17" s="28">
        <v>940108350</v>
      </c>
      <c r="BG17" s="28">
        <v>1292211396</v>
      </c>
      <c r="BH17" s="28">
        <v>2604007596</v>
      </c>
      <c r="BI17" s="28">
        <v>6814930214</v>
      </c>
    </row>
    <row r="18" spans="1:61" x14ac:dyDescent="0.3">
      <c r="A18" s="1" t="s">
        <v>114</v>
      </c>
      <c r="B18" s="1" t="s">
        <v>94</v>
      </c>
      <c r="C18" s="1" t="s">
        <v>95</v>
      </c>
      <c r="D18" s="1" t="s">
        <v>96</v>
      </c>
      <c r="E18" s="1" t="s">
        <v>95</v>
      </c>
      <c r="F18" s="1" t="s">
        <v>96</v>
      </c>
      <c r="G18" s="1" t="s">
        <v>125</v>
      </c>
      <c r="H18" s="1" t="s">
        <v>126</v>
      </c>
      <c r="I18" s="1" t="s">
        <v>94</v>
      </c>
      <c r="J18" s="1" t="s">
        <v>117</v>
      </c>
      <c r="K18" s="1" t="s">
        <v>118</v>
      </c>
      <c r="L18" s="1" t="s">
        <v>97</v>
      </c>
      <c r="V18" s="20">
        <v>20747260650</v>
      </c>
      <c r="W18" s="20">
        <v>353804000</v>
      </c>
      <c r="X18" s="20">
        <v>320951500</v>
      </c>
      <c r="AB18" s="20">
        <v>21422016150</v>
      </c>
      <c r="AL18" s="20">
        <v>3198415750</v>
      </c>
      <c r="AM18" s="20">
        <v>183073000</v>
      </c>
      <c r="AN18" s="20">
        <v>245505500</v>
      </c>
      <c r="AR18" s="20">
        <v>3626994250</v>
      </c>
      <c r="BB18" s="20">
        <v>3654233260</v>
      </c>
      <c r="BC18" s="20">
        <v>220099000</v>
      </c>
      <c r="BD18" s="28">
        <v>163965000</v>
      </c>
      <c r="BH18" s="28">
        <v>4038297260</v>
      </c>
      <c r="BI18" s="28">
        <v>29087307660</v>
      </c>
    </row>
    <row r="19" spans="1:61" x14ac:dyDescent="0.3">
      <c r="A19" s="1" t="s">
        <v>114</v>
      </c>
      <c r="B19" s="1" t="s">
        <v>94</v>
      </c>
      <c r="C19" s="1" t="s">
        <v>95</v>
      </c>
      <c r="D19" s="1" t="s">
        <v>96</v>
      </c>
      <c r="E19" s="1" t="s">
        <v>95</v>
      </c>
      <c r="F19" s="1" t="s">
        <v>96</v>
      </c>
      <c r="G19" s="1" t="s">
        <v>127</v>
      </c>
      <c r="H19" s="1" t="s">
        <v>128</v>
      </c>
      <c r="I19" s="1" t="s">
        <v>94</v>
      </c>
      <c r="J19" s="1" t="s">
        <v>117</v>
      </c>
      <c r="K19" s="1" t="s">
        <v>118</v>
      </c>
      <c r="L19" s="1" t="s">
        <v>97</v>
      </c>
      <c r="V19" s="20">
        <v>1249887750</v>
      </c>
      <c r="W19" s="20">
        <v>59101350</v>
      </c>
      <c r="X19" s="20">
        <v>135600500</v>
      </c>
      <c r="AB19" s="20">
        <v>1444589600</v>
      </c>
      <c r="AL19" s="20">
        <v>1200443950</v>
      </c>
      <c r="AM19" s="20">
        <v>82280000</v>
      </c>
      <c r="AN19" s="20">
        <v>104992000</v>
      </c>
      <c r="AR19" s="20">
        <v>1387715950</v>
      </c>
      <c r="BB19" s="20">
        <v>2038246118</v>
      </c>
      <c r="BC19" s="20">
        <v>104907000</v>
      </c>
      <c r="BD19" s="28">
        <v>74587500</v>
      </c>
      <c r="BH19" s="28">
        <v>2217740618</v>
      </c>
      <c r="BI19" s="28">
        <v>5050046168</v>
      </c>
    </row>
    <row r="20" spans="1:61" x14ac:dyDescent="0.3">
      <c r="A20" s="1" t="s">
        <v>114</v>
      </c>
      <c r="B20" s="1" t="s">
        <v>94</v>
      </c>
      <c r="C20" s="1" t="s">
        <v>95</v>
      </c>
      <c r="D20" s="1" t="s">
        <v>96</v>
      </c>
      <c r="E20" s="1" t="s">
        <v>95</v>
      </c>
      <c r="F20" s="1" t="s">
        <v>96</v>
      </c>
      <c r="G20" s="1" t="s">
        <v>129</v>
      </c>
      <c r="H20" s="1" t="s">
        <v>130</v>
      </c>
      <c r="I20" s="1" t="s">
        <v>94</v>
      </c>
      <c r="J20" s="1" t="s">
        <v>117</v>
      </c>
      <c r="K20" s="1" t="s">
        <v>118</v>
      </c>
      <c r="L20" s="1" t="s">
        <v>97</v>
      </c>
      <c r="V20" s="20">
        <v>283282650</v>
      </c>
      <c r="Z20" s="20">
        <v>650825400</v>
      </c>
      <c r="AA20" s="20">
        <v>864236250</v>
      </c>
      <c r="AB20" s="20">
        <v>1798344300</v>
      </c>
      <c r="AL20" s="20">
        <v>173587350</v>
      </c>
      <c r="AP20" s="20">
        <v>672361050</v>
      </c>
      <c r="AQ20" s="20">
        <v>703771756</v>
      </c>
      <c r="AR20" s="20">
        <v>1549720156</v>
      </c>
      <c r="BB20" s="20">
        <v>295737900</v>
      </c>
      <c r="BF20" s="28">
        <v>839006550</v>
      </c>
      <c r="BG20" s="28">
        <v>1079857640</v>
      </c>
      <c r="BH20" s="28">
        <v>2214602090</v>
      </c>
      <c r="BI20" s="28">
        <v>5562666546</v>
      </c>
    </row>
    <row r="21" spans="1:61" x14ac:dyDescent="0.3">
      <c r="A21" s="1" t="s">
        <v>114</v>
      </c>
      <c r="B21" s="1" t="s">
        <v>94</v>
      </c>
      <c r="C21" s="1" t="s">
        <v>95</v>
      </c>
      <c r="D21" s="1" t="s">
        <v>96</v>
      </c>
      <c r="E21" s="1" t="s">
        <v>95</v>
      </c>
      <c r="F21" s="1" t="s">
        <v>96</v>
      </c>
      <c r="G21" s="1" t="s">
        <v>131</v>
      </c>
      <c r="H21" s="1" t="s">
        <v>132</v>
      </c>
      <c r="I21" s="1" t="s">
        <v>94</v>
      </c>
      <c r="J21" s="1" t="s">
        <v>117</v>
      </c>
      <c r="K21" s="1" t="s">
        <v>118</v>
      </c>
      <c r="L21" s="1" t="s">
        <v>97</v>
      </c>
      <c r="V21" s="20">
        <v>319896750</v>
      </c>
      <c r="Z21" s="20">
        <v>686739300</v>
      </c>
      <c r="AA21" s="20">
        <v>1023840492</v>
      </c>
      <c r="AB21" s="20">
        <v>2030476542</v>
      </c>
      <c r="AL21" s="20">
        <v>245732550</v>
      </c>
      <c r="AP21" s="20">
        <v>752094600</v>
      </c>
      <c r="AQ21" s="20">
        <v>953611946</v>
      </c>
      <c r="AR21" s="20">
        <v>1951439096</v>
      </c>
      <c r="BB21" s="20">
        <v>334661100</v>
      </c>
      <c r="BF21" s="28">
        <v>779229750</v>
      </c>
      <c r="BG21" s="28">
        <v>1227417114</v>
      </c>
      <c r="BH21" s="28">
        <v>2341307964</v>
      </c>
      <c r="BI21" s="28">
        <v>6323223602</v>
      </c>
    </row>
    <row r="22" spans="1:61" x14ac:dyDescent="0.3">
      <c r="A22" s="1" t="s">
        <v>114</v>
      </c>
      <c r="B22" s="1" t="s">
        <v>133</v>
      </c>
      <c r="C22" s="1" t="s">
        <v>134</v>
      </c>
      <c r="D22" s="1" t="s">
        <v>135</v>
      </c>
      <c r="E22" s="1" t="s">
        <v>134</v>
      </c>
      <c r="F22" s="1" t="s">
        <v>135</v>
      </c>
      <c r="G22" s="1" t="s">
        <v>136</v>
      </c>
      <c r="H22" s="1" t="s">
        <v>137</v>
      </c>
      <c r="I22" s="1" t="s">
        <v>133</v>
      </c>
      <c r="J22" s="1" t="s">
        <v>117</v>
      </c>
      <c r="K22" s="1" t="s">
        <v>118</v>
      </c>
      <c r="L22" s="1" t="s">
        <v>138</v>
      </c>
      <c r="S22" s="20">
        <v>3540200</v>
      </c>
      <c r="AB22" s="20">
        <v>3540200</v>
      </c>
      <c r="AI22" s="20">
        <v>4077800</v>
      </c>
      <c r="AR22" s="20">
        <v>4077800</v>
      </c>
      <c r="AY22" s="20">
        <v>890000</v>
      </c>
      <c r="BH22" s="28">
        <v>890000</v>
      </c>
      <c r="BI22" s="28">
        <v>8508000</v>
      </c>
    </row>
    <row r="23" spans="1:61" x14ac:dyDescent="0.3">
      <c r="A23" s="1" t="s">
        <v>114</v>
      </c>
      <c r="B23" s="1" t="s">
        <v>133</v>
      </c>
      <c r="C23" s="1" t="s">
        <v>134</v>
      </c>
      <c r="D23" s="1" t="s">
        <v>135</v>
      </c>
      <c r="E23" s="1" t="s">
        <v>134</v>
      </c>
      <c r="F23" s="1" t="s">
        <v>135</v>
      </c>
      <c r="G23" s="1" t="s">
        <v>139</v>
      </c>
      <c r="H23" s="1" t="s">
        <v>140</v>
      </c>
      <c r="I23" s="1" t="s">
        <v>133</v>
      </c>
      <c r="J23" s="1" t="s">
        <v>117</v>
      </c>
      <c r="K23" s="1" t="s">
        <v>118</v>
      </c>
      <c r="L23" s="1" t="s">
        <v>138</v>
      </c>
      <c r="S23" s="20">
        <v>2010100</v>
      </c>
      <c r="AB23" s="20">
        <v>2010100</v>
      </c>
      <c r="AI23" s="20">
        <v>2232600</v>
      </c>
      <c r="AR23" s="20">
        <v>2232600</v>
      </c>
      <c r="BI23" s="28">
        <v>4242700</v>
      </c>
    </row>
    <row r="24" spans="1:61" x14ac:dyDescent="0.3">
      <c r="A24" s="1" t="s">
        <v>114</v>
      </c>
      <c r="B24" s="1" t="s">
        <v>133</v>
      </c>
      <c r="C24" s="1" t="s">
        <v>134</v>
      </c>
      <c r="D24" s="1" t="s">
        <v>135</v>
      </c>
      <c r="E24" s="1" t="s">
        <v>134</v>
      </c>
      <c r="F24" s="1" t="s">
        <v>135</v>
      </c>
      <c r="G24" s="1" t="s">
        <v>141</v>
      </c>
      <c r="H24" s="1" t="s">
        <v>142</v>
      </c>
      <c r="I24" s="1" t="s">
        <v>133</v>
      </c>
      <c r="J24" s="1" t="s">
        <v>117</v>
      </c>
      <c r="K24" s="1" t="s">
        <v>118</v>
      </c>
      <c r="L24" s="1" t="s">
        <v>138</v>
      </c>
      <c r="S24" s="20">
        <v>2084500</v>
      </c>
      <c r="AB24" s="20">
        <v>2084500</v>
      </c>
      <c r="AI24" s="20">
        <v>1845200</v>
      </c>
      <c r="AR24" s="20">
        <v>1845200</v>
      </c>
      <c r="AY24" s="20">
        <v>1455700</v>
      </c>
      <c r="BH24" s="28">
        <v>1455700</v>
      </c>
      <c r="BI24" s="28">
        <v>5385400</v>
      </c>
    </row>
    <row r="25" spans="1:61" x14ac:dyDescent="0.3">
      <c r="A25" s="1" t="s">
        <v>114</v>
      </c>
      <c r="B25" s="1" t="s">
        <v>133</v>
      </c>
      <c r="C25" s="1" t="s">
        <v>134</v>
      </c>
      <c r="D25" s="1" t="s">
        <v>135</v>
      </c>
      <c r="E25" s="1" t="s">
        <v>134</v>
      </c>
      <c r="F25" s="1" t="s">
        <v>135</v>
      </c>
      <c r="G25" s="1" t="s">
        <v>143</v>
      </c>
      <c r="H25" s="1" t="s">
        <v>144</v>
      </c>
      <c r="I25" s="1" t="s">
        <v>133</v>
      </c>
      <c r="J25" s="1" t="s">
        <v>117</v>
      </c>
      <c r="K25" s="1" t="s">
        <v>118</v>
      </c>
      <c r="L25" s="1" t="s">
        <v>138</v>
      </c>
      <c r="S25" s="20">
        <v>2232600</v>
      </c>
      <c r="AB25" s="20">
        <v>2232600</v>
      </c>
      <c r="AI25" s="20">
        <v>2677600</v>
      </c>
      <c r="AR25" s="20">
        <v>2677600</v>
      </c>
      <c r="AY25" s="20">
        <v>2142100</v>
      </c>
      <c r="BH25" s="28">
        <v>2142100</v>
      </c>
      <c r="BI25" s="28">
        <v>7052300</v>
      </c>
    </row>
    <row r="26" spans="1:61" x14ac:dyDescent="0.3">
      <c r="A26" s="1" t="s">
        <v>114</v>
      </c>
      <c r="B26" s="1" t="s">
        <v>133</v>
      </c>
      <c r="C26" s="1" t="s">
        <v>134</v>
      </c>
      <c r="D26" s="1" t="s">
        <v>135</v>
      </c>
      <c r="E26" s="1" t="s">
        <v>134</v>
      </c>
      <c r="F26" s="1" t="s">
        <v>135</v>
      </c>
      <c r="G26" s="1" t="s">
        <v>145</v>
      </c>
      <c r="H26" s="1" t="s">
        <v>146</v>
      </c>
      <c r="I26" s="1" t="s">
        <v>133</v>
      </c>
      <c r="J26" s="1" t="s">
        <v>117</v>
      </c>
      <c r="K26" s="1" t="s">
        <v>118</v>
      </c>
      <c r="L26" s="1" t="s">
        <v>138</v>
      </c>
      <c r="S26" s="20">
        <v>3300900</v>
      </c>
      <c r="AB26" s="20">
        <v>3300900</v>
      </c>
      <c r="AI26" s="20">
        <v>2660800</v>
      </c>
      <c r="AR26" s="20">
        <v>2660800</v>
      </c>
      <c r="AY26" s="20">
        <v>2142100</v>
      </c>
      <c r="BH26" s="28">
        <v>2142100</v>
      </c>
      <c r="BI26" s="28">
        <v>8103800</v>
      </c>
    </row>
    <row r="27" spans="1:61" x14ac:dyDescent="0.3">
      <c r="A27" s="1" t="s">
        <v>114</v>
      </c>
      <c r="B27" s="1" t="s">
        <v>133</v>
      </c>
      <c r="C27" s="1" t="s">
        <v>134</v>
      </c>
      <c r="D27" s="1" t="s">
        <v>135</v>
      </c>
      <c r="E27" s="1" t="s">
        <v>134</v>
      </c>
      <c r="F27" s="1" t="s">
        <v>135</v>
      </c>
      <c r="G27" s="1" t="s">
        <v>147</v>
      </c>
      <c r="H27" s="1" t="s">
        <v>148</v>
      </c>
      <c r="I27" s="1" t="s">
        <v>133</v>
      </c>
      <c r="J27" s="1" t="s">
        <v>117</v>
      </c>
      <c r="K27" s="1" t="s">
        <v>118</v>
      </c>
      <c r="L27" s="1" t="s">
        <v>138</v>
      </c>
      <c r="S27" s="20">
        <v>3438400</v>
      </c>
      <c r="AB27" s="20">
        <v>3438400</v>
      </c>
      <c r="AI27" s="20">
        <v>3180200</v>
      </c>
      <c r="AR27" s="20">
        <v>3180200</v>
      </c>
      <c r="AY27" s="20">
        <v>2930300</v>
      </c>
      <c r="BH27" s="28">
        <v>2930300</v>
      </c>
      <c r="BI27" s="28">
        <v>9548900</v>
      </c>
    </row>
    <row r="28" spans="1:61" x14ac:dyDescent="0.3">
      <c r="A28" s="1" t="s">
        <v>114</v>
      </c>
      <c r="B28" s="1" t="s">
        <v>133</v>
      </c>
      <c r="C28" s="1" t="s">
        <v>134</v>
      </c>
      <c r="D28" s="1" t="s">
        <v>135</v>
      </c>
      <c r="E28" s="1" t="s">
        <v>134</v>
      </c>
      <c r="F28" s="1" t="s">
        <v>135</v>
      </c>
      <c r="G28" s="1" t="s">
        <v>149</v>
      </c>
      <c r="H28" s="1" t="s">
        <v>150</v>
      </c>
      <c r="I28" s="1" t="s">
        <v>133</v>
      </c>
      <c r="J28" s="1" t="s">
        <v>117</v>
      </c>
      <c r="K28" s="1" t="s">
        <v>118</v>
      </c>
      <c r="L28" s="1" t="s">
        <v>138</v>
      </c>
      <c r="S28" s="20">
        <v>2169500</v>
      </c>
      <c r="AB28" s="20">
        <v>2169500</v>
      </c>
      <c r="AI28" s="20">
        <v>2633400</v>
      </c>
      <c r="AR28" s="20">
        <v>2633400</v>
      </c>
      <c r="BI28" s="28">
        <v>4802900</v>
      </c>
    </row>
    <row r="29" spans="1:61" x14ac:dyDescent="0.3">
      <c r="A29" s="1" t="s">
        <v>114</v>
      </c>
      <c r="B29" s="1" t="s">
        <v>133</v>
      </c>
      <c r="C29" s="1" t="s">
        <v>134</v>
      </c>
      <c r="D29" s="1" t="s">
        <v>135</v>
      </c>
      <c r="E29" s="1" t="s">
        <v>134</v>
      </c>
      <c r="F29" s="1" t="s">
        <v>135</v>
      </c>
      <c r="G29" s="1" t="s">
        <v>151</v>
      </c>
      <c r="H29" s="1" t="s">
        <v>152</v>
      </c>
      <c r="I29" s="1" t="s">
        <v>133</v>
      </c>
      <c r="J29" s="1" t="s">
        <v>117</v>
      </c>
      <c r="K29" s="1" t="s">
        <v>118</v>
      </c>
      <c r="L29" s="1" t="s">
        <v>138</v>
      </c>
      <c r="S29" s="20">
        <v>3523400</v>
      </c>
      <c r="AB29" s="20">
        <v>3523400</v>
      </c>
      <c r="AI29" s="20">
        <v>4050400</v>
      </c>
      <c r="AR29" s="20">
        <v>4050400</v>
      </c>
      <c r="AY29" s="20">
        <v>2364600</v>
      </c>
      <c r="BH29" s="28">
        <v>2364600</v>
      </c>
      <c r="BI29" s="28">
        <v>9938400</v>
      </c>
    </row>
    <row r="30" spans="1:61" x14ac:dyDescent="0.3">
      <c r="A30" s="1" t="s">
        <v>114</v>
      </c>
      <c r="B30" s="1" t="s">
        <v>133</v>
      </c>
      <c r="C30" s="1" t="s">
        <v>134</v>
      </c>
      <c r="D30" s="1" t="s">
        <v>135</v>
      </c>
      <c r="E30" s="1" t="s">
        <v>134</v>
      </c>
      <c r="F30" s="1" t="s">
        <v>135</v>
      </c>
      <c r="G30" s="1" t="s">
        <v>153</v>
      </c>
      <c r="H30" s="1" t="s">
        <v>154</v>
      </c>
      <c r="I30" s="1" t="s">
        <v>133</v>
      </c>
      <c r="J30" s="1" t="s">
        <v>117</v>
      </c>
      <c r="K30" s="1" t="s">
        <v>118</v>
      </c>
      <c r="L30" s="1" t="s">
        <v>138</v>
      </c>
      <c r="S30" s="20">
        <v>667500</v>
      </c>
      <c r="AB30" s="20">
        <v>667500</v>
      </c>
      <c r="AI30" s="20">
        <v>713800</v>
      </c>
      <c r="AR30" s="20">
        <v>713800</v>
      </c>
      <c r="BI30" s="28">
        <v>1381300</v>
      </c>
    </row>
    <row r="31" spans="1:61" x14ac:dyDescent="0.3">
      <c r="A31" s="1" t="s">
        <v>114</v>
      </c>
      <c r="B31" s="1" t="s">
        <v>133</v>
      </c>
      <c r="C31" s="1" t="s">
        <v>134</v>
      </c>
      <c r="D31" s="1" t="s">
        <v>135</v>
      </c>
      <c r="E31" s="1" t="s">
        <v>134</v>
      </c>
      <c r="F31" s="1" t="s">
        <v>135</v>
      </c>
      <c r="G31" s="1" t="s">
        <v>155</v>
      </c>
      <c r="H31" s="1" t="s">
        <v>156</v>
      </c>
      <c r="I31" s="1" t="s">
        <v>133</v>
      </c>
      <c r="J31" s="1" t="s">
        <v>117</v>
      </c>
      <c r="K31" s="1" t="s">
        <v>118</v>
      </c>
      <c r="L31" s="1" t="s">
        <v>138</v>
      </c>
      <c r="S31" s="20">
        <v>1057000</v>
      </c>
      <c r="AB31" s="20">
        <v>1057000</v>
      </c>
      <c r="AI31" s="20">
        <v>730600</v>
      </c>
      <c r="AR31" s="20">
        <v>730600</v>
      </c>
      <c r="BI31" s="28">
        <v>1787600</v>
      </c>
    </row>
    <row r="32" spans="1:61" x14ac:dyDescent="0.3">
      <c r="A32" s="1" t="s">
        <v>114</v>
      </c>
      <c r="B32" s="1" t="s">
        <v>133</v>
      </c>
      <c r="C32" s="1" t="s">
        <v>134</v>
      </c>
      <c r="D32" s="1" t="s">
        <v>135</v>
      </c>
      <c r="E32" s="1" t="s">
        <v>134</v>
      </c>
      <c r="F32" s="1" t="s">
        <v>135</v>
      </c>
      <c r="G32" s="1" t="s">
        <v>157</v>
      </c>
      <c r="H32" s="1" t="s">
        <v>158</v>
      </c>
      <c r="I32" s="1" t="s">
        <v>133</v>
      </c>
      <c r="J32" s="1" t="s">
        <v>117</v>
      </c>
      <c r="K32" s="1" t="s">
        <v>118</v>
      </c>
      <c r="L32" s="1" t="s">
        <v>138</v>
      </c>
      <c r="S32" s="20">
        <v>788200</v>
      </c>
      <c r="AB32" s="20">
        <v>788200</v>
      </c>
      <c r="AI32" s="20">
        <v>713800</v>
      </c>
      <c r="AR32" s="20">
        <v>713800</v>
      </c>
      <c r="AY32" s="20">
        <v>788200</v>
      </c>
      <c r="BH32" s="28">
        <v>788200</v>
      </c>
      <c r="BI32" s="28">
        <v>2290200</v>
      </c>
    </row>
    <row r="33" spans="1:61" x14ac:dyDescent="0.3">
      <c r="A33" s="1" t="s">
        <v>114</v>
      </c>
      <c r="B33" s="1" t="s">
        <v>133</v>
      </c>
      <c r="C33" s="1" t="s">
        <v>134</v>
      </c>
      <c r="D33" s="1" t="s">
        <v>135</v>
      </c>
      <c r="E33" s="1" t="s">
        <v>134</v>
      </c>
      <c r="F33" s="1" t="s">
        <v>135</v>
      </c>
      <c r="G33" s="1" t="s">
        <v>159</v>
      </c>
      <c r="H33" s="1" t="s">
        <v>160</v>
      </c>
      <c r="I33" s="1" t="s">
        <v>133</v>
      </c>
      <c r="J33" s="1" t="s">
        <v>117</v>
      </c>
      <c r="K33" s="1" t="s">
        <v>118</v>
      </c>
      <c r="L33" s="1" t="s">
        <v>138</v>
      </c>
      <c r="S33" s="20">
        <v>897600</v>
      </c>
      <c r="AB33" s="20">
        <v>897600</v>
      </c>
      <c r="AY33" s="20">
        <v>1798900</v>
      </c>
      <c r="BH33" s="28">
        <v>1798900</v>
      </c>
      <c r="BI33" s="28">
        <v>2696500</v>
      </c>
    </row>
    <row r="34" spans="1:61" x14ac:dyDescent="0.3">
      <c r="A34" s="1" t="s">
        <v>114</v>
      </c>
      <c r="B34" s="1" t="s">
        <v>133</v>
      </c>
      <c r="C34" s="1" t="s">
        <v>134</v>
      </c>
      <c r="D34" s="1" t="s">
        <v>135</v>
      </c>
      <c r="E34" s="1" t="s">
        <v>134</v>
      </c>
      <c r="F34" s="1" t="s">
        <v>135</v>
      </c>
      <c r="G34" s="1" t="s">
        <v>161</v>
      </c>
      <c r="H34" s="1" t="s">
        <v>162</v>
      </c>
      <c r="I34" s="1" t="s">
        <v>133</v>
      </c>
      <c r="J34" s="1" t="s">
        <v>117</v>
      </c>
      <c r="K34" s="1" t="s">
        <v>118</v>
      </c>
      <c r="L34" s="1" t="s">
        <v>138</v>
      </c>
      <c r="S34" s="20">
        <v>1296300</v>
      </c>
      <c r="AB34" s="20">
        <v>1296300</v>
      </c>
      <c r="AI34" s="20">
        <v>1787600</v>
      </c>
      <c r="AR34" s="20">
        <v>1787600</v>
      </c>
      <c r="BI34" s="28">
        <v>3083900</v>
      </c>
    </row>
    <row r="35" spans="1:61" x14ac:dyDescent="0.3">
      <c r="A35" s="1" t="s">
        <v>114</v>
      </c>
      <c r="B35" s="1" t="s">
        <v>133</v>
      </c>
      <c r="C35" s="1" t="s">
        <v>134</v>
      </c>
      <c r="D35" s="1" t="s">
        <v>135</v>
      </c>
      <c r="E35" s="1" t="s">
        <v>134</v>
      </c>
      <c r="F35" s="1" t="s">
        <v>135</v>
      </c>
      <c r="G35" s="1" t="s">
        <v>163</v>
      </c>
      <c r="H35" s="1" t="s">
        <v>164</v>
      </c>
      <c r="I35" s="1" t="s">
        <v>133</v>
      </c>
      <c r="J35" s="1" t="s">
        <v>117</v>
      </c>
      <c r="K35" s="1" t="s">
        <v>118</v>
      </c>
      <c r="L35" s="1" t="s">
        <v>138</v>
      </c>
      <c r="AI35" s="20">
        <v>972000</v>
      </c>
      <c r="AR35" s="20">
        <v>972000</v>
      </c>
      <c r="AY35" s="20">
        <v>1798900</v>
      </c>
      <c r="BH35" s="28">
        <v>1798900</v>
      </c>
      <c r="BI35" s="28">
        <v>2770900</v>
      </c>
    </row>
    <row r="36" spans="1:61" x14ac:dyDescent="0.3">
      <c r="A36" s="1" t="s">
        <v>114</v>
      </c>
      <c r="B36" s="1" t="s">
        <v>133</v>
      </c>
      <c r="C36" s="1" t="s">
        <v>134</v>
      </c>
      <c r="D36" s="1" t="s">
        <v>135</v>
      </c>
      <c r="E36" s="1" t="s">
        <v>134</v>
      </c>
      <c r="F36" s="1" t="s">
        <v>135</v>
      </c>
      <c r="G36" s="1" t="s">
        <v>165</v>
      </c>
      <c r="H36" s="1" t="s">
        <v>166</v>
      </c>
      <c r="I36" s="1" t="s">
        <v>133</v>
      </c>
      <c r="J36" s="1" t="s">
        <v>117</v>
      </c>
      <c r="K36" s="1" t="s">
        <v>118</v>
      </c>
      <c r="L36" s="1" t="s">
        <v>138</v>
      </c>
      <c r="S36" s="20">
        <v>972000</v>
      </c>
      <c r="AB36" s="20">
        <v>972000</v>
      </c>
      <c r="BI36" s="28">
        <v>972000</v>
      </c>
    </row>
    <row r="37" spans="1:61" x14ac:dyDescent="0.3">
      <c r="A37" s="1" t="s">
        <v>114</v>
      </c>
      <c r="B37" s="1" t="s">
        <v>133</v>
      </c>
      <c r="C37" s="1" t="s">
        <v>134</v>
      </c>
      <c r="D37" s="1" t="s">
        <v>135</v>
      </c>
      <c r="E37" s="1" t="s">
        <v>134</v>
      </c>
      <c r="F37" s="1" t="s">
        <v>135</v>
      </c>
      <c r="G37" s="1" t="s">
        <v>167</v>
      </c>
      <c r="H37" s="1" t="s">
        <v>168</v>
      </c>
      <c r="I37" s="1" t="s">
        <v>133</v>
      </c>
      <c r="J37" s="1" t="s">
        <v>117</v>
      </c>
      <c r="K37" s="1" t="s">
        <v>118</v>
      </c>
      <c r="L37" s="1" t="s">
        <v>138</v>
      </c>
      <c r="AY37" s="20">
        <v>908900</v>
      </c>
      <c r="BH37" s="28">
        <v>908900</v>
      </c>
      <c r="BI37" s="28">
        <v>908900</v>
      </c>
    </row>
    <row r="38" spans="1:61" x14ac:dyDescent="0.3">
      <c r="A38" s="1" t="s">
        <v>114</v>
      </c>
      <c r="B38" s="1" t="s">
        <v>133</v>
      </c>
      <c r="C38" s="1" t="s">
        <v>134</v>
      </c>
      <c r="D38" s="1" t="s">
        <v>135</v>
      </c>
      <c r="E38" s="1" t="s">
        <v>134</v>
      </c>
      <c r="F38" s="1" t="s">
        <v>135</v>
      </c>
      <c r="G38" s="1" t="s">
        <v>169</v>
      </c>
      <c r="H38" s="1" t="s">
        <v>170</v>
      </c>
      <c r="I38" s="1" t="s">
        <v>133</v>
      </c>
      <c r="J38" s="1" t="s">
        <v>117</v>
      </c>
      <c r="K38" s="1" t="s">
        <v>118</v>
      </c>
      <c r="L38" s="1" t="s">
        <v>138</v>
      </c>
      <c r="AY38" s="20">
        <v>1724500</v>
      </c>
      <c r="BH38" s="28">
        <v>1724500</v>
      </c>
      <c r="BI38" s="28">
        <v>1724500</v>
      </c>
    </row>
    <row r="39" spans="1:61" x14ac:dyDescent="0.3">
      <c r="A39" s="1" t="s">
        <v>114</v>
      </c>
      <c r="B39" s="1" t="s">
        <v>133</v>
      </c>
      <c r="C39" s="1" t="s">
        <v>134</v>
      </c>
      <c r="D39" s="1" t="s">
        <v>135</v>
      </c>
      <c r="E39" s="1" t="s">
        <v>134</v>
      </c>
      <c r="F39" s="1" t="s">
        <v>135</v>
      </c>
      <c r="G39" s="1" t="s">
        <v>171</v>
      </c>
      <c r="H39" s="1" t="s">
        <v>172</v>
      </c>
      <c r="I39" s="1" t="s">
        <v>133</v>
      </c>
      <c r="J39" s="1" t="s">
        <v>117</v>
      </c>
      <c r="K39" s="1" t="s">
        <v>118</v>
      </c>
      <c r="L39" s="1" t="s">
        <v>138</v>
      </c>
      <c r="AY39" s="20">
        <v>1798900</v>
      </c>
      <c r="BH39" s="28">
        <v>1798900</v>
      </c>
      <c r="BI39" s="28">
        <v>1798900</v>
      </c>
    </row>
    <row r="40" spans="1:61" x14ac:dyDescent="0.3">
      <c r="A40" s="1" t="s">
        <v>114</v>
      </c>
      <c r="B40" s="1" t="s">
        <v>133</v>
      </c>
      <c r="C40" s="1" t="s">
        <v>134</v>
      </c>
      <c r="D40" s="1" t="s">
        <v>135</v>
      </c>
      <c r="E40" s="1" t="s">
        <v>134</v>
      </c>
      <c r="F40" s="1" t="s">
        <v>135</v>
      </c>
      <c r="G40" s="1" t="s">
        <v>173</v>
      </c>
      <c r="H40" s="1" t="s">
        <v>174</v>
      </c>
      <c r="I40" s="1" t="s">
        <v>133</v>
      </c>
      <c r="J40" s="1" t="s">
        <v>117</v>
      </c>
      <c r="K40" s="1" t="s">
        <v>118</v>
      </c>
      <c r="L40" s="1" t="s">
        <v>138</v>
      </c>
      <c r="AY40" s="20">
        <v>1576400</v>
      </c>
      <c r="BH40" s="28">
        <v>1576400</v>
      </c>
      <c r="BI40" s="28">
        <v>1576400</v>
      </c>
    </row>
    <row r="41" spans="1:61" x14ac:dyDescent="0.3">
      <c r="A41" s="1" t="s">
        <v>114</v>
      </c>
      <c r="B41" s="1" t="s">
        <v>133</v>
      </c>
      <c r="C41" s="1" t="s">
        <v>134</v>
      </c>
      <c r="D41" s="1" t="s">
        <v>135</v>
      </c>
      <c r="E41" s="1" t="s">
        <v>134</v>
      </c>
      <c r="F41" s="1" t="s">
        <v>135</v>
      </c>
      <c r="G41" s="1" t="s">
        <v>175</v>
      </c>
      <c r="H41" s="1" t="s">
        <v>176</v>
      </c>
      <c r="I41" s="1" t="s">
        <v>133</v>
      </c>
      <c r="J41" s="1" t="s">
        <v>117</v>
      </c>
      <c r="K41" s="1" t="s">
        <v>118</v>
      </c>
      <c r="L41" s="1" t="s">
        <v>138</v>
      </c>
      <c r="AY41" s="20">
        <v>2930300</v>
      </c>
      <c r="BH41" s="28">
        <v>2930300</v>
      </c>
      <c r="BI41" s="28">
        <v>2930300</v>
      </c>
    </row>
    <row r="42" spans="1:61" x14ac:dyDescent="0.3">
      <c r="A42" s="1" t="s">
        <v>114</v>
      </c>
      <c r="B42" s="1" t="s">
        <v>133</v>
      </c>
      <c r="C42" s="1" t="s">
        <v>134</v>
      </c>
      <c r="D42" s="1" t="s">
        <v>135</v>
      </c>
      <c r="E42" s="1" t="s">
        <v>134</v>
      </c>
      <c r="F42" s="1" t="s">
        <v>135</v>
      </c>
      <c r="G42" s="1" t="s">
        <v>177</v>
      </c>
      <c r="H42" s="1" t="s">
        <v>178</v>
      </c>
      <c r="I42" s="1" t="s">
        <v>133</v>
      </c>
      <c r="J42" s="1" t="s">
        <v>117</v>
      </c>
      <c r="K42" s="1" t="s">
        <v>118</v>
      </c>
      <c r="L42" s="1" t="s">
        <v>138</v>
      </c>
      <c r="AY42" s="20">
        <v>2169500</v>
      </c>
      <c r="BH42" s="28">
        <v>2169500</v>
      </c>
      <c r="BI42" s="28">
        <v>2169500</v>
      </c>
    </row>
    <row r="43" spans="1:61" x14ac:dyDescent="0.3">
      <c r="A43" s="1" t="s">
        <v>114</v>
      </c>
      <c r="B43" s="1" t="s">
        <v>133</v>
      </c>
      <c r="C43" s="1" t="s">
        <v>134</v>
      </c>
      <c r="D43" s="1" t="s">
        <v>135</v>
      </c>
      <c r="E43" s="1" t="s">
        <v>134</v>
      </c>
      <c r="F43" s="1" t="s">
        <v>135</v>
      </c>
      <c r="G43" s="1" t="s">
        <v>179</v>
      </c>
      <c r="H43" s="1" t="s">
        <v>180</v>
      </c>
      <c r="I43" s="1" t="s">
        <v>133</v>
      </c>
      <c r="J43" s="1" t="s">
        <v>117</v>
      </c>
      <c r="K43" s="1" t="s">
        <v>118</v>
      </c>
      <c r="L43" s="1" t="s">
        <v>138</v>
      </c>
      <c r="AY43" s="20">
        <v>1010700</v>
      </c>
      <c r="BH43" s="28">
        <v>1010700</v>
      </c>
      <c r="BI43" s="28">
        <v>1010700</v>
      </c>
    </row>
    <row r="44" spans="1:61" x14ac:dyDescent="0.3">
      <c r="A44" s="1" t="s">
        <v>114</v>
      </c>
      <c r="B44" s="1" t="s">
        <v>100</v>
      </c>
      <c r="C44" s="1" t="s">
        <v>101</v>
      </c>
      <c r="D44" s="1" t="s">
        <v>98</v>
      </c>
      <c r="E44" s="1" t="s">
        <v>101</v>
      </c>
      <c r="F44" s="1" t="s">
        <v>98</v>
      </c>
      <c r="G44" s="1" t="s">
        <v>181</v>
      </c>
      <c r="H44" s="1" t="s">
        <v>182</v>
      </c>
      <c r="I44" s="1" t="s">
        <v>100</v>
      </c>
      <c r="J44" s="1" t="s">
        <v>117</v>
      </c>
      <c r="K44" s="1" t="s">
        <v>118</v>
      </c>
      <c r="L44" s="1" t="s">
        <v>99</v>
      </c>
      <c r="V44" s="20">
        <v>206331954</v>
      </c>
      <c r="W44" s="20">
        <v>26966904</v>
      </c>
      <c r="X44" s="20">
        <v>10728000</v>
      </c>
      <c r="Y44" s="20">
        <v>15839120</v>
      </c>
      <c r="Z44" s="20">
        <v>97270700</v>
      </c>
      <c r="AA44" s="20">
        <v>120362400</v>
      </c>
      <c r="AB44" s="20">
        <v>477499078</v>
      </c>
      <c r="AL44" s="20">
        <v>230666125</v>
      </c>
      <c r="AM44" s="20">
        <v>18196488</v>
      </c>
      <c r="AN44" s="20">
        <v>6528000</v>
      </c>
      <c r="AO44" s="20">
        <v>7724192</v>
      </c>
      <c r="AP44" s="20">
        <v>81935200</v>
      </c>
      <c r="AQ44" s="20">
        <v>103076400</v>
      </c>
      <c r="AR44" s="20">
        <v>448126405</v>
      </c>
      <c r="BB44" s="20">
        <v>289597630</v>
      </c>
      <c r="BC44" s="20">
        <v>55698120</v>
      </c>
      <c r="BD44" s="28">
        <v>15216000</v>
      </c>
      <c r="BE44" s="28">
        <v>12754400</v>
      </c>
      <c r="BF44" s="28">
        <v>105103140</v>
      </c>
      <c r="BG44" s="28">
        <v>140449200</v>
      </c>
      <c r="BH44" s="28">
        <v>618818490</v>
      </c>
      <c r="BI44" s="28">
        <v>1544443973</v>
      </c>
    </row>
    <row r="45" spans="1:61" x14ac:dyDescent="0.3">
      <c r="A45" s="1" t="s">
        <v>114</v>
      </c>
      <c r="B45" s="1" t="s">
        <v>100</v>
      </c>
      <c r="C45" s="1" t="s">
        <v>101</v>
      </c>
      <c r="D45" s="1" t="s">
        <v>98</v>
      </c>
      <c r="E45" s="1" t="s">
        <v>101</v>
      </c>
      <c r="F45" s="1" t="s">
        <v>98</v>
      </c>
      <c r="G45" s="1" t="s">
        <v>183</v>
      </c>
      <c r="H45" s="1" t="s">
        <v>184</v>
      </c>
      <c r="I45" s="1" t="s">
        <v>100</v>
      </c>
      <c r="J45" s="1" t="s">
        <v>117</v>
      </c>
      <c r="K45" s="1" t="s">
        <v>118</v>
      </c>
      <c r="L45" s="1" t="s">
        <v>99</v>
      </c>
      <c r="V45" s="20">
        <v>244029524</v>
      </c>
      <c r="W45" s="20">
        <v>19883736</v>
      </c>
      <c r="X45" s="20">
        <v>2040000</v>
      </c>
      <c r="Y45" s="20">
        <v>20301920</v>
      </c>
      <c r="Z45" s="20">
        <v>73560600</v>
      </c>
      <c r="AA45" s="20">
        <v>135256800</v>
      </c>
      <c r="AB45" s="20">
        <v>495072580</v>
      </c>
      <c r="AL45" s="20">
        <v>433809618</v>
      </c>
      <c r="AM45" s="20">
        <v>57149340</v>
      </c>
      <c r="AN45" s="20">
        <v>15336000</v>
      </c>
      <c r="AO45" s="20">
        <v>19071168</v>
      </c>
      <c r="AP45" s="20">
        <v>95571320</v>
      </c>
      <c r="AQ45" s="20">
        <v>189696000</v>
      </c>
      <c r="AR45" s="20">
        <v>810633446</v>
      </c>
      <c r="BB45" s="20">
        <v>1115346878</v>
      </c>
      <c r="BC45" s="20">
        <v>78685200</v>
      </c>
      <c r="BD45" s="28">
        <v>30292752</v>
      </c>
      <c r="BE45" s="28">
        <v>19181600</v>
      </c>
      <c r="BF45" s="28">
        <v>94857580</v>
      </c>
      <c r="BG45" s="28">
        <v>158959200</v>
      </c>
      <c r="BH45" s="28">
        <v>1497323210</v>
      </c>
      <c r="BI45" s="28">
        <v>2803029236</v>
      </c>
    </row>
    <row r="46" spans="1:61" x14ac:dyDescent="0.3">
      <c r="A46" s="1" t="s">
        <v>114</v>
      </c>
      <c r="B46" s="1" t="s">
        <v>100</v>
      </c>
      <c r="C46" s="1" t="s">
        <v>101</v>
      </c>
      <c r="D46" s="1" t="s">
        <v>98</v>
      </c>
      <c r="E46" s="1" t="s">
        <v>101</v>
      </c>
      <c r="F46" s="1" t="s">
        <v>98</v>
      </c>
      <c r="G46" s="1" t="s">
        <v>185</v>
      </c>
      <c r="H46" s="1" t="s">
        <v>186</v>
      </c>
      <c r="I46" s="1" t="s">
        <v>100</v>
      </c>
      <c r="J46" s="1" t="s">
        <v>117</v>
      </c>
      <c r="K46" s="1" t="s">
        <v>118</v>
      </c>
      <c r="L46" s="1" t="s">
        <v>99</v>
      </c>
      <c r="V46" s="20">
        <v>214488017</v>
      </c>
      <c r="W46" s="20">
        <v>27838128</v>
      </c>
      <c r="X46" s="20">
        <v>936000</v>
      </c>
      <c r="Y46" s="20">
        <v>8123200</v>
      </c>
      <c r="Z46" s="20">
        <v>46519100</v>
      </c>
      <c r="AA46" s="20">
        <v>74259600</v>
      </c>
      <c r="AB46" s="20">
        <v>372164045</v>
      </c>
      <c r="AL46" s="20">
        <v>133103402</v>
      </c>
      <c r="AM46" s="20">
        <v>21071580</v>
      </c>
      <c r="AN46" s="20">
        <v>3264000</v>
      </c>
      <c r="AO46" s="20">
        <v>7909248</v>
      </c>
      <c r="AP46" s="20">
        <v>61210080</v>
      </c>
      <c r="AQ46" s="20">
        <v>98242800</v>
      </c>
      <c r="AR46" s="20">
        <v>324801110</v>
      </c>
      <c r="BB46" s="20">
        <v>271377119</v>
      </c>
      <c r="BC46" s="20">
        <v>33641100</v>
      </c>
      <c r="BD46" s="28">
        <v>5772000</v>
      </c>
      <c r="BE46" s="28">
        <v>14770400</v>
      </c>
      <c r="BF46" s="28">
        <v>65013400</v>
      </c>
      <c r="BG46" s="28">
        <v>116438400</v>
      </c>
      <c r="BH46" s="28">
        <v>507012419</v>
      </c>
      <c r="BI46" s="28">
        <v>1203977574</v>
      </c>
    </row>
    <row r="47" spans="1:61" x14ac:dyDescent="0.3">
      <c r="A47" s="1" t="s">
        <v>114</v>
      </c>
      <c r="B47" s="1" t="s">
        <v>187</v>
      </c>
      <c r="C47" s="1" t="s">
        <v>188</v>
      </c>
      <c r="D47" s="1" t="s">
        <v>189</v>
      </c>
      <c r="E47" s="1" t="s">
        <v>188</v>
      </c>
      <c r="F47" s="1" t="s">
        <v>189</v>
      </c>
      <c r="G47" s="1" t="s">
        <v>190</v>
      </c>
      <c r="H47" s="1" t="s">
        <v>191</v>
      </c>
      <c r="I47" s="1" t="s">
        <v>187</v>
      </c>
      <c r="J47" s="1" t="s">
        <v>117</v>
      </c>
      <c r="K47" s="1" t="s">
        <v>118</v>
      </c>
      <c r="L47" s="1" t="s">
        <v>138</v>
      </c>
      <c r="S47" s="20">
        <v>1472500</v>
      </c>
      <c r="AB47" s="20">
        <v>1472500</v>
      </c>
      <c r="AI47" s="20">
        <v>3347500</v>
      </c>
      <c r="AR47" s="20">
        <v>3347500</v>
      </c>
      <c r="AY47" s="20">
        <v>2585000</v>
      </c>
      <c r="BH47" s="28">
        <v>2585000</v>
      </c>
      <c r="BI47" s="28">
        <v>7405000</v>
      </c>
    </row>
    <row r="48" spans="1:61" x14ac:dyDescent="0.3">
      <c r="A48" s="1" t="s">
        <v>114</v>
      </c>
      <c r="B48" s="1" t="s">
        <v>187</v>
      </c>
      <c r="C48" s="1" t="s">
        <v>188</v>
      </c>
      <c r="D48" s="1" t="s">
        <v>189</v>
      </c>
      <c r="E48" s="1" t="s">
        <v>188</v>
      </c>
      <c r="F48" s="1" t="s">
        <v>189</v>
      </c>
      <c r="G48" s="1" t="s">
        <v>192</v>
      </c>
      <c r="H48" s="1" t="s">
        <v>193</v>
      </c>
      <c r="I48" s="1" t="s">
        <v>187</v>
      </c>
      <c r="J48" s="1" t="s">
        <v>117</v>
      </c>
      <c r="K48" s="1" t="s">
        <v>118</v>
      </c>
      <c r="L48" s="1" t="s">
        <v>138</v>
      </c>
      <c r="S48" s="20">
        <v>730600</v>
      </c>
      <c r="AB48" s="20">
        <v>730600</v>
      </c>
      <c r="AI48" s="20">
        <v>730600</v>
      </c>
      <c r="AR48" s="20">
        <v>730600</v>
      </c>
      <c r="AY48" s="20">
        <v>730600</v>
      </c>
      <c r="BH48" s="28">
        <v>730600</v>
      </c>
      <c r="BI48" s="28">
        <v>2191800</v>
      </c>
    </row>
    <row r="49" spans="1:61" x14ac:dyDescent="0.3">
      <c r="A49" s="1" t="s">
        <v>114</v>
      </c>
      <c r="B49" s="1" t="s">
        <v>187</v>
      </c>
      <c r="C49" s="1" t="s">
        <v>188</v>
      </c>
      <c r="D49" s="1" t="s">
        <v>189</v>
      </c>
      <c r="E49" s="1" t="s">
        <v>188</v>
      </c>
      <c r="F49" s="1" t="s">
        <v>189</v>
      </c>
      <c r="G49" s="1" t="s">
        <v>194</v>
      </c>
      <c r="H49" s="1" t="s">
        <v>195</v>
      </c>
      <c r="I49" s="1" t="s">
        <v>187</v>
      </c>
      <c r="J49" s="1" t="s">
        <v>117</v>
      </c>
      <c r="K49" s="1" t="s">
        <v>118</v>
      </c>
      <c r="L49" s="1" t="s">
        <v>138</v>
      </c>
      <c r="S49" s="20">
        <v>2391000</v>
      </c>
      <c r="AB49" s="20">
        <v>2391000</v>
      </c>
      <c r="AI49" s="20">
        <v>3360900</v>
      </c>
      <c r="AR49" s="20">
        <v>3360900</v>
      </c>
      <c r="AY49" s="20">
        <v>3036600</v>
      </c>
      <c r="BH49" s="28">
        <v>3036600</v>
      </c>
      <c r="BI49" s="28">
        <v>8788500</v>
      </c>
    </row>
    <row r="50" spans="1:61" x14ac:dyDescent="0.3">
      <c r="A50" s="1" t="s">
        <v>114</v>
      </c>
      <c r="B50" s="1" t="s">
        <v>187</v>
      </c>
      <c r="C50" s="1" t="s">
        <v>188</v>
      </c>
      <c r="D50" s="1" t="s">
        <v>189</v>
      </c>
      <c r="E50" s="1" t="s">
        <v>188</v>
      </c>
      <c r="F50" s="1" t="s">
        <v>189</v>
      </c>
      <c r="G50" s="1" t="s">
        <v>196</v>
      </c>
      <c r="H50" s="1" t="s">
        <v>197</v>
      </c>
      <c r="I50" s="1" t="s">
        <v>187</v>
      </c>
      <c r="J50" s="1" t="s">
        <v>117</v>
      </c>
      <c r="K50" s="1" t="s">
        <v>118</v>
      </c>
      <c r="L50" s="1" t="s">
        <v>138</v>
      </c>
      <c r="S50" s="20">
        <v>2362900</v>
      </c>
      <c r="AB50" s="20">
        <v>2362900</v>
      </c>
      <c r="AI50" s="20">
        <v>2727000</v>
      </c>
      <c r="AR50" s="20">
        <v>2727000</v>
      </c>
      <c r="AY50" s="20">
        <v>1528400</v>
      </c>
      <c r="BH50" s="28">
        <v>1528400</v>
      </c>
      <c r="BI50" s="28">
        <v>6618300</v>
      </c>
    </row>
    <row r="51" spans="1:61" x14ac:dyDescent="0.3">
      <c r="A51" s="1" t="s">
        <v>114</v>
      </c>
      <c r="B51" s="1" t="s">
        <v>187</v>
      </c>
      <c r="C51" s="1" t="s">
        <v>188</v>
      </c>
      <c r="D51" s="1" t="s">
        <v>189</v>
      </c>
      <c r="E51" s="1" t="s">
        <v>188</v>
      </c>
      <c r="F51" s="1" t="s">
        <v>189</v>
      </c>
      <c r="G51" s="1" t="s">
        <v>198</v>
      </c>
      <c r="H51" s="1" t="s">
        <v>199</v>
      </c>
      <c r="I51" s="1" t="s">
        <v>187</v>
      </c>
      <c r="J51" s="1" t="s">
        <v>117</v>
      </c>
      <c r="K51" s="1" t="s">
        <v>118</v>
      </c>
      <c r="L51" s="1" t="s">
        <v>138</v>
      </c>
      <c r="S51" s="20">
        <v>1557500</v>
      </c>
      <c r="AB51" s="20">
        <v>1557500</v>
      </c>
      <c r="AI51" s="20">
        <v>2182500</v>
      </c>
      <c r="AR51" s="20">
        <v>2182500</v>
      </c>
      <c r="AY51" s="20">
        <v>2447500</v>
      </c>
      <c r="BH51" s="28">
        <v>2447500</v>
      </c>
      <c r="BI51" s="28">
        <v>6187500</v>
      </c>
    </row>
    <row r="52" spans="1:61" x14ac:dyDescent="0.3">
      <c r="A52" s="1" t="s">
        <v>114</v>
      </c>
      <c r="B52" s="1" t="s">
        <v>187</v>
      </c>
      <c r="C52" s="1" t="s">
        <v>188</v>
      </c>
      <c r="D52" s="1" t="s">
        <v>189</v>
      </c>
      <c r="E52" s="1" t="s">
        <v>188</v>
      </c>
      <c r="F52" s="1" t="s">
        <v>189</v>
      </c>
      <c r="G52" s="1" t="s">
        <v>200</v>
      </c>
      <c r="H52" s="1" t="s">
        <v>201</v>
      </c>
      <c r="I52" s="1" t="s">
        <v>187</v>
      </c>
      <c r="J52" s="1" t="s">
        <v>117</v>
      </c>
      <c r="K52" s="1" t="s">
        <v>118</v>
      </c>
      <c r="L52" s="1" t="s">
        <v>138</v>
      </c>
      <c r="S52" s="20">
        <v>667500</v>
      </c>
      <c r="AB52" s="20">
        <v>667500</v>
      </c>
      <c r="AI52" s="20">
        <v>667500</v>
      </c>
      <c r="AR52" s="20">
        <v>667500</v>
      </c>
      <c r="AY52" s="20">
        <v>667500</v>
      </c>
      <c r="BH52" s="28">
        <v>667500</v>
      </c>
      <c r="BI52" s="28">
        <v>2002500</v>
      </c>
    </row>
    <row r="53" spans="1:61" x14ac:dyDescent="0.3">
      <c r="A53" s="1" t="s">
        <v>114</v>
      </c>
      <c r="B53" s="1" t="s">
        <v>187</v>
      </c>
      <c r="C53" s="1" t="s">
        <v>188</v>
      </c>
      <c r="D53" s="1" t="s">
        <v>189</v>
      </c>
      <c r="E53" s="1" t="s">
        <v>188</v>
      </c>
      <c r="F53" s="1" t="s">
        <v>189</v>
      </c>
      <c r="G53" s="1" t="s">
        <v>202</v>
      </c>
      <c r="H53" s="1" t="s">
        <v>203</v>
      </c>
      <c r="I53" s="1" t="s">
        <v>187</v>
      </c>
      <c r="J53" s="1" t="s">
        <v>117</v>
      </c>
      <c r="K53" s="1" t="s">
        <v>118</v>
      </c>
      <c r="L53" s="1" t="s">
        <v>138</v>
      </c>
      <c r="S53" s="20">
        <v>2610100</v>
      </c>
      <c r="AB53" s="20">
        <v>2610100</v>
      </c>
      <c r="AI53" s="20">
        <v>2272000</v>
      </c>
      <c r="AR53" s="20">
        <v>2272000</v>
      </c>
      <c r="AY53" s="20">
        <v>3391100</v>
      </c>
      <c r="BH53" s="28">
        <v>3391100</v>
      </c>
      <c r="BI53" s="28">
        <v>8273200</v>
      </c>
    </row>
    <row r="54" spans="1:61" x14ac:dyDescent="0.3">
      <c r="A54" s="1" t="s">
        <v>114</v>
      </c>
      <c r="B54" s="1" t="s">
        <v>187</v>
      </c>
      <c r="C54" s="1" t="s">
        <v>188</v>
      </c>
      <c r="D54" s="1" t="s">
        <v>189</v>
      </c>
      <c r="E54" s="1" t="s">
        <v>188</v>
      </c>
      <c r="F54" s="1" t="s">
        <v>189</v>
      </c>
      <c r="G54" s="1" t="s">
        <v>204</v>
      </c>
      <c r="H54" s="1" t="s">
        <v>205</v>
      </c>
      <c r="I54" s="1" t="s">
        <v>187</v>
      </c>
      <c r="J54" s="1" t="s">
        <v>117</v>
      </c>
      <c r="K54" s="1" t="s">
        <v>118</v>
      </c>
      <c r="L54" s="1" t="s">
        <v>138</v>
      </c>
      <c r="S54" s="20">
        <v>667500</v>
      </c>
      <c r="AB54" s="20">
        <v>667500</v>
      </c>
      <c r="AI54" s="20">
        <v>667500</v>
      </c>
      <c r="AR54" s="20">
        <v>667500</v>
      </c>
      <c r="AY54" s="20">
        <v>1335000</v>
      </c>
      <c r="BH54" s="28">
        <v>1335000</v>
      </c>
      <c r="BI54" s="28">
        <v>2670000</v>
      </c>
    </row>
    <row r="55" spans="1:61" x14ac:dyDescent="0.3">
      <c r="A55" s="1" t="s">
        <v>114</v>
      </c>
      <c r="B55" s="1" t="s">
        <v>187</v>
      </c>
      <c r="C55" s="1" t="s">
        <v>188</v>
      </c>
      <c r="D55" s="1" t="s">
        <v>189</v>
      </c>
      <c r="E55" s="1" t="s">
        <v>188</v>
      </c>
      <c r="F55" s="1" t="s">
        <v>189</v>
      </c>
      <c r="G55" s="1" t="s">
        <v>206</v>
      </c>
      <c r="H55" s="1" t="s">
        <v>207</v>
      </c>
      <c r="I55" s="1" t="s">
        <v>187</v>
      </c>
      <c r="J55" s="1" t="s">
        <v>117</v>
      </c>
      <c r="K55" s="1" t="s">
        <v>118</v>
      </c>
      <c r="L55" s="1" t="s">
        <v>138</v>
      </c>
      <c r="S55" s="20">
        <v>1156100</v>
      </c>
      <c r="AB55" s="20">
        <v>1156100</v>
      </c>
      <c r="AI55" s="20">
        <v>3811100</v>
      </c>
      <c r="AR55" s="20">
        <v>3811100</v>
      </c>
      <c r="AY55" s="20">
        <v>2096500</v>
      </c>
      <c r="BH55" s="28">
        <v>2096500</v>
      </c>
      <c r="BI55" s="28">
        <v>7063700</v>
      </c>
    </row>
    <row r="56" spans="1:61" x14ac:dyDescent="0.3">
      <c r="A56" s="1" t="s">
        <v>114</v>
      </c>
      <c r="B56" s="1" t="s">
        <v>187</v>
      </c>
      <c r="C56" s="1" t="s">
        <v>188</v>
      </c>
      <c r="D56" s="1" t="s">
        <v>189</v>
      </c>
      <c r="E56" s="1" t="s">
        <v>188</v>
      </c>
      <c r="F56" s="1" t="s">
        <v>189</v>
      </c>
      <c r="G56" s="1" t="s">
        <v>208</v>
      </c>
      <c r="H56" s="1" t="s">
        <v>209</v>
      </c>
      <c r="I56" s="1" t="s">
        <v>187</v>
      </c>
      <c r="J56" s="1" t="s">
        <v>117</v>
      </c>
      <c r="K56" s="1" t="s">
        <v>118</v>
      </c>
      <c r="L56" s="1" t="s">
        <v>138</v>
      </c>
      <c r="S56" s="20">
        <v>2126000</v>
      </c>
      <c r="AB56" s="20">
        <v>2126000</v>
      </c>
      <c r="AI56" s="20">
        <v>1066600</v>
      </c>
      <c r="AR56" s="20">
        <v>1066600</v>
      </c>
      <c r="AY56" s="20">
        <v>1122500</v>
      </c>
      <c r="BH56" s="28">
        <v>1122500</v>
      </c>
      <c r="BI56" s="28">
        <v>4315100</v>
      </c>
    </row>
    <row r="57" spans="1:61" x14ac:dyDescent="0.3">
      <c r="A57" s="1" t="s">
        <v>114</v>
      </c>
      <c r="B57" s="1" t="s">
        <v>187</v>
      </c>
      <c r="C57" s="1" t="s">
        <v>188</v>
      </c>
      <c r="D57" s="1" t="s">
        <v>189</v>
      </c>
      <c r="E57" s="1" t="s">
        <v>188</v>
      </c>
      <c r="F57" s="1" t="s">
        <v>189</v>
      </c>
      <c r="G57" s="1" t="s">
        <v>210</v>
      </c>
      <c r="H57" s="1" t="s">
        <v>211</v>
      </c>
      <c r="I57" s="1" t="s">
        <v>187</v>
      </c>
      <c r="J57" s="1" t="s">
        <v>117</v>
      </c>
      <c r="K57" s="1" t="s">
        <v>118</v>
      </c>
      <c r="L57" s="1" t="s">
        <v>138</v>
      </c>
      <c r="S57" s="20">
        <v>1916500</v>
      </c>
      <c r="AB57" s="20">
        <v>1916500</v>
      </c>
      <c r="AI57" s="20">
        <v>4145000</v>
      </c>
      <c r="AR57" s="20">
        <v>4145000</v>
      </c>
      <c r="AY57" s="20">
        <v>1892500</v>
      </c>
      <c r="BH57" s="28">
        <v>1892500</v>
      </c>
      <c r="BI57" s="28">
        <v>7954000</v>
      </c>
    </row>
    <row r="58" spans="1:61" x14ac:dyDescent="0.3">
      <c r="A58" s="1" t="s">
        <v>114</v>
      </c>
      <c r="B58" s="1" t="s">
        <v>187</v>
      </c>
      <c r="C58" s="1" t="s">
        <v>188</v>
      </c>
      <c r="D58" s="1" t="s">
        <v>189</v>
      </c>
      <c r="E58" s="1" t="s">
        <v>188</v>
      </c>
      <c r="F58" s="1" t="s">
        <v>189</v>
      </c>
      <c r="G58" s="1" t="s">
        <v>212</v>
      </c>
      <c r="H58" s="1" t="s">
        <v>213</v>
      </c>
      <c r="I58" s="1" t="s">
        <v>187</v>
      </c>
      <c r="J58" s="1" t="s">
        <v>117</v>
      </c>
      <c r="K58" s="1" t="s">
        <v>118</v>
      </c>
      <c r="L58" s="1" t="s">
        <v>138</v>
      </c>
      <c r="S58" s="20">
        <v>805000</v>
      </c>
      <c r="AB58" s="20">
        <v>805000</v>
      </c>
      <c r="AI58" s="20">
        <v>805000</v>
      </c>
      <c r="AR58" s="20">
        <v>805000</v>
      </c>
      <c r="BI58" s="28">
        <v>1610000</v>
      </c>
    </row>
    <row r="59" spans="1:61" x14ac:dyDescent="0.3">
      <c r="A59" s="1" t="s">
        <v>114</v>
      </c>
      <c r="B59" s="1" t="s">
        <v>187</v>
      </c>
      <c r="C59" s="1" t="s">
        <v>188</v>
      </c>
      <c r="D59" s="1" t="s">
        <v>189</v>
      </c>
      <c r="E59" s="1" t="s">
        <v>188</v>
      </c>
      <c r="F59" s="1" t="s">
        <v>189</v>
      </c>
      <c r="G59" s="1" t="s">
        <v>214</v>
      </c>
      <c r="H59" s="1" t="s">
        <v>215</v>
      </c>
      <c r="I59" s="1" t="s">
        <v>187</v>
      </c>
      <c r="J59" s="1" t="s">
        <v>117</v>
      </c>
      <c r="K59" s="1" t="s">
        <v>118</v>
      </c>
      <c r="L59" s="1" t="s">
        <v>138</v>
      </c>
      <c r="S59" s="20">
        <v>2024186400</v>
      </c>
      <c r="T59" s="20">
        <v>2626646400</v>
      </c>
      <c r="U59" s="20">
        <v>8313924600</v>
      </c>
      <c r="AB59" s="20">
        <v>12964757400</v>
      </c>
      <c r="AI59" s="20">
        <v>2871630000</v>
      </c>
      <c r="AJ59" s="20">
        <v>2420352000</v>
      </c>
      <c r="AK59" s="20">
        <v>10100889000</v>
      </c>
      <c r="AR59" s="20">
        <v>15392871000</v>
      </c>
      <c r="AY59" s="20">
        <v>1275340800</v>
      </c>
      <c r="AZ59" s="20">
        <v>2786640000</v>
      </c>
      <c r="BA59" s="20">
        <v>10426858200</v>
      </c>
      <c r="BH59" s="28">
        <v>14488839000</v>
      </c>
      <c r="BI59" s="28">
        <v>42846467400</v>
      </c>
    </row>
    <row r="60" spans="1:61" x14ac:dyDescent="0.3">
      <c r="A60" s="1" t="s">
        <v>114</v>
      </c>
      <c r="B60" s="1" t="s">
        <v>187</v>
      </c>
      <c r="C60" s="1" t="s">
        <v>188</v>
      </c>
      <c r="D60" s="1" t="s">
        <v>189</v>
      </c>
      <c r="E60" s="1" t="s">
        <v>188</v>
      </c>
      <c r="F60" s="1" t="s">
        <v>189</v>
      </c>
      <c r="G60" s="1" t="s">
        <v>216</v>
      </c>
      <c r="H60" s="1" t="s">
        <v>217</v>
      </c>
      <c r="I60" s="1" t="s">
        <v>187</v>
      </c>
      <c r="J60" s="1" t="s">
        <v>117</v>
      </c>
      <c r="K60" s="1" t="s">
        <v>118</v>
      </c>
      <c r="L60" s="1" t="s">
        <v>138</v>
      </c>
      <c r="S60" s="20">
        <v>781000</v>
      </c>
      <c r="AB60" s="20">
        <v>781000</v>
      </c>
      <c r="AI60" s="20">
        <v>757000</v>
      </c>
      <c r="AR60" s="20">
        <v>757000</v>
      </c>
      <c r="BI60" s="28">
        <v>1538000</v>
      </c>
    </row>
    <row r="61" spans="1:61" x14ac:dyDescent="0.3">
      <c r="A61" s="1" t="s">
        <v>114</v>
      </c>
      <c r="B61" s="1" t="s">
        <v>187</v>
      </c>
      <c r="C61" s="1" t="s">
        <v>188</v>
      </c>
      <c r="D61" s="1" t="s">
        <v>189</v>
      </c>
      <c r="E61" s="1" t="s">
        <v>188</v>
      </c>
      <c r="F61" s="1" t="s">
        <v>189</v>
      </c>
      <c r="G61" s="1" t="s">
        <v>218</v>
      </c>
      <c r="H61" s="1" t="s">
        <v>219</v>
      </c>
      <c r="I61" s="1" t="s">
        <v>187</v>
      </c>
      <c r="J61" s="1" t="s">
        <v>117</v>
      </c>
      <c r="K61" s="1" t="s">
        <v>118</v>
      </c>
      <c r="L61" s="1" t="s">
        <v>138</v>
      </c>
      <c r="S61" s="20">
        <v>1739821200</v>
      </c>
      <c r="T61" s="20">
        <v>2135736000</v>
      </c>
      <c r="U61" s="20">
        <v>5883886200</v>
      </c>
      <c r="AB61" s="20">
        <v>9759443400</v>
      </c>
      <c r="AI61" s="20">
        <v>2554185600</v>
      </c>
      <c r="AJ61" s="20">
        <v>3128258400</v>
      </c>
      <c r="AK61" s="20">
        <v>8621232000</v>
      </c>
      <c r="AR61" s="20">
        <v>14303676000</v>
      </c>
      <c r="AY61" s="20">
        <v>798049200</v>
      </c>
      <c r="AZ61" s="20">
        <v>2366164800</v>
      </c>
      <c r="BA61" s="20">
        <v>7788351600</v>
      </c>
      <c r="BH61" s="28">
        <v>10952565600</v>
      </c>
      <c r="BI61" s="28">
        <v>35015685000</v>
      </c>
    </row>
    <row r="62" spans="1:61" x14ac:dyDescent="0.3">
      <c r="A62" s="1" t="s">
        <v>114</v>
      </c>
      <c r="B62" s="1" t="s">
        <v>187</v>
      </c>
      <c r="C62" s="1" t="s">
        <v>188</v>
      </c>
      <c r="D62" s="1" t="s">
        <v>189</v>
      </c>
      <c r="E62" s="1" t="s">
        <v>188</v>
      </c>
      <c r="F62" s="1" t="s">
        <v>189</v>
      </c>
      <c r="G62" s="1" t="s">
        <v>220</v>
      </c>
      <c r="H62" s="1" t="s">
        <v>221</v>
      </c>
      <c r="I62" s="1" t="s">
        <v>187</v>
      </c>
      <c r="J62" s="1" t="s">
        <v>117</v>
      </c>
      <c r="K62" s="1" t="s">
        <v>118</v>
      </c>
      <c r="L62" s="1" t="s">
        <v>138</v>
      </c>
      <c r="S62" s="20">
        <v>1557500</v>
      </c>
      <c r="AB62" s="20">
        <v>1557500</v>
      </c>
      <c r="AI62" s="20">
        <v>1780000</v>
      </c>
      <c r="AR62" s="20">
        <v>1780000</v>
      </c>
      <c r="AY62" s="20">
        <v>1780000</v>
      </c>
      <c r="BH62" s="28">
        <v>1780000</v>
      </c>
      <c r="BI62" s="28">
        <v>5117500</v>
      </c>
    </row>
    <row r="63" spans="1:61" x14ac:dyDescent="0.3">
      <c r="A63" s="1" t="s">
        <v>114</v>
      </c>
      <c r="B63" s="1" t="s">
        <v>187</v>
      </c>
      <c r="C63" s="1" t="s">
        <v>188</v>
      </c>
      <c r="D63" s="1" t="s">
        <v>189</v>
      </c>
      <c r="E63" s="1" t="s">
        <v>188</v>
      </c>
      <c r="F63" s="1" t="s">
        <v>189</v>
      </c>
      <c r="G63" s="1" t="s">
        <v>222</v>
      </c>
      <c r="H63" s="1" t="s">
        <v>223</v>
      </c>
      <c r="I63" s="1" t="s">
        <v>187</v>
      </c>
      <c r="J63" s="1" t="s">
        <v>117</v>
      </c>
      <c r="K63" s="1" t="s">
        <v>118</v>
      </c>
      <c r="L63" s="1" t="s">
        <v>138</v>
      </c>
      <c r="AY63" s="20">
        <v>667500</v>
      </c>
      <c r="BH63" s="28">
        <v>667500</v>
      </c>
      <c r="BI63" s="28">
        <v>667500</v>
      </c>
    </row>
    <row r="64" spans="1:61" hidden="1" x14ac:dyDescent="0.3">
      <c r="A64" s="1" t="s">
        <v>114</v>
      </c>
      <c r="B64" s="1" t="s">
        <v>224</v>
      </c>
      <c r="C64" s="1" t="s">
        <v>225</v>
      </c>
      <c r="D64" s="1" t="s">
        <v>226</v>
      </c>
      <c r="E64" s="1" t="s">
        <v>225</v>
      </c>
      <c r="F64" s="1" t="s">
        <v>226</v>
      </c>
      <c r="G64" s="1" t="s">
        <v>227</v>
      </c>
      <c r="H64" s="1" t="s">
        <v>228</v>
      </c>
      <c r="I64" s="1" t="s">
        <v>224</v>
      </c>
      <c r="J64" s="1" t="s">
        <v>229</v>
      </c>
      <c r="K64" s="1" t="s">
        <v>118</v>
      </c>
      <c r="L64" s="1" t="s">
        <v>103</v>
      </c>
      <c r="M64" s="20">
        <v>615210360</v>
      </c>
      <c r="O64" s="20">
        <v>77820000</v>
      </c>
      <c r="AB64" s="20">
        <v>693030360</v>
      </c>
      <c r="AC64" s="20">
        <v>792981480</v>
      </c>
      <c r="AD64" s="20">
        <v>33525000</v>
      </c>
      <c r="AE64" s="20">
        <v>110292000</v>
      </c>
      <c r="AR64" s="20">
        <v>936798480</v>
      </c>
      <c r="AS64" s="20">
        <v>676185000</v>
      </c>
      <c r="AT64" s="20">
        <v>49080600</v>
      </c>
      <c r="AU64" s="20">
        <v>79640160</v>
      </c>
      <c r="BH64" s="28">
        <v>804905760</v>
      </c>
      <c r="BI64" s="28">
        <v>2434734600</v>
      </c>
    </row>
    <row r="65" spans="1:61" x14ac:dyDescent="0.3">
      <c r="A65" s="1" t="s">
        <v>114</v>
      </c>
      <c r="B65" s="1" t="s">
        <v>224</v>
      </c>
      <c r="C65" s="1" t="s">
        <v>225</v>
      </c>
      <c r="D65" s="1" t="s">
        <v>226</v>
      </c>
      <c r="E65" s="1" t="s">
        <v>225</v>
      </c>
      <c r="F65" s="1" t="s">
        <v>226</v>
      </c>
      <c r="G65" s="1" t="s">
        <v>230</v>
      </c>
      <c r="H65" s="1" t="s">
        <v>231</v>
      </c>
      <c r="I65" s="1" t="s">
        <v>224</v>
      </c>
      <c r="J65" s="1" t="s">
        <v>117</v>
      </c>
      <c r="K65" s="1" t="s">
        <v>118</v>
      </c>
      <c r="L65" s="1" t="s">
        <v>103</v>
      </c>
      <c r="M65" s="20">
        <v>6048000</v>
      </c>
      <c r="AB65" s="20">
        <v>6048000</v>
      </c>
      <c r="AC65" s="20">
        <v>3024000</v>
      </c>
      <c r="AR65" s="20">
        <v>3024000</v>
      </c>
      <c r="AS65" s="20">
        <v>6048000</v>
      </c>
      <c r="BH65" s="28">
        <v>6048000</v>
      </c>
      <c r="BI65" s="28">
        <v>15120000</v>
      </c>
    </row>
    <row r="66" spans="1:61" x14ac:dyDescent="0.3">
      <c r="A66" s="1" t="s">
        <v>114</v>
      </c>
      <c r="B66" s="1" t="s">
        <v>104</v>
      </c>
      <c r="C66" s="1" t="s">
        <v>232</v>
      </c>
      <c r="D66" s="1" t="s">
        <v>233</v>
      </c>
      <c r="E66" s="1" t="s">
        <v>232</v>
      </c>
      <c r="F66" s="1" t="s">
        <v>233</v>
      </c>
      <c r="G66" s="1" t="s">
        <v>234</v>
      </c>
      <c r="H66" s="1" t="s">
        <v>235</v>
      </c>
      <c r="I66" s="1" t="s">
        <v>104</v>
      </c>
      <c r="J66" s="1" t="s">
        <v>117</v>
      </c>
      <c r="K66" s="1" t="s">
        <v>118</v>
      </c>
      <c r="L66" s="1" t="s">
        <v>93</v>
      </c>
      <c r="V66" s="20">
        <v>250267400</v>
      </c>
      <c r="W66" s="20">
        <v>31765200</v>
      </c>
      <c r="X66" s="20">
        <v>29802000</v>
      </c>
      <c r="Y66" s="20">
        <v>32319200</v>
      </c>
      <c r="Z66" s="20">
        <v>164429730</v>
      </c>
      <c r="AA66" s="20">
        <v>162492000</v>
      </c>
      <c r="AB66" s="20">
        <v>671075530</v>
      </c>
      <c r="AL66" s="20">
        <v>295155804</v>
      </c>
      <c r="AM66" s="20">
        <v>53999400</v>
      </c>
      <c r="AN66" s="20">
        <v>19332000</v>
      </c>
      <c r="AO66" s="20">
        <v>22856800</v>
      </c>
      <c r="AP66" s="20">
        <v>119499880</v>
      </c>
      <c r="AQ66" s="20">
        <v>152671200</v>
      </c>
      <c r="AR66" s="20">
        <v>663515084</v>
      </c>
      <c r="BB66" s="20">
        <v>346510548</v>
      </c>
      <c r="BC66" s="20">
        <v>84551400</v>
      </c>
      <c r="BD66" s="28">
        <v>19614000</v>
      </c>
      <c r="BE66" s="28">
        <v>22684000</v>
      </c>
      <c r="BF66" s="28">
        <v>120076940</v>
      </c>
      <c r="BG66" s="28">
        <v>178291200</v>
      </c>
      <c r="BH66" s="28">
        <v>771728088</v>
      </c>
      <c r="BI66" s="28">
        <v>2106318702</v>
      </c>
    </row>
    <row r="67" spans="1:61" x14ac:dyDescent="0.3">
      <c r="A67" s="1" t="s">
        <v>114</v>
      </c>
      <c r="B67" s="1" t="s">
        <v>105</v>
      </c>
      <c r="C67" s="1" t="s">
        <v>236</v>
      </c>
      <c r="D67" s="1" t="s">
        <v>237</v>
      </c>
      <c r="E67" s="1" t="s">
        <v>236</v>
      </c>
      <c r="F67" s="1" t="s">
        <v>237</v>
      </c>
      <c r="G67" s="1" t="s">
        <v>238</v>
      </c>
      <c r="H67" s="1" t="s">
        <v>239</v>
      </c>
      <c r="I67" s="1" t="s">
        <v>105</v>
      </c>
      <c r="J67" s="1" t="s">
        <v>117</v>
      </c>
      <c r="K67" s="1" t="s">
        <v>118</v>
      </c>
      <c r="L67" s="1" t="s">
        <v>88</v>
      </c>
      <c r="V67" s="20">
        <v>270796440</v>
      </c>
      <c r="W67" s="20">
        <v>124260600</v>
      </c>
      <c r="X67" s="20">
        <v>7176000</v>
      </c>
      <c r="Y67" s="20">
        <v>6686400</v>
      </c>
      <c r="Z67" s="20">
        <v>46939780</v>
      </c>
      <c r="AA67" s="20">
        <v>166166400</v>
      </c>
      <c r="AB67" s="20">
        <v>622025620</v>
      </c>
      <c r="AL67" s="20">
        <v>323258000</v>
      </c>
      <c r="AM67" s="20">
        <v>80723400</v>
      </c>
      <c r="AN67" s="20">
        <v>3096000</v>
      </c>
      <c r="AO67" s="20">
        <v>4377600</v>
      </c>
      <c r="AP67" s="20">
        <v>52996140</v>
      </c>
      <c r="AQ67" s="20">
        <v>193233600</v>
      </c>
      <c r="AR67" s="20">
        <v>657684740</v>
      </c>
      <c r="BB67" s="20">
        <v>185959700</v>
      </c>
      <c r="BC67" s="20">
        <v>28689600</v>
      </c>
      <c r="BD67" s="28">
        <v>7584000</v>
      </c>
      <c r="BE67" s="28">
        <v>6830400</v>
      </c>
      <c r="BF67" s="28">
        <v>49849400</v>
      </c>
      <c r="BG67" s="28">
        <v>190113600</v>
      </c>
      <c r="BH67" s="28">
        <v>469026700</v>
      </c>
      <c r="BI67" s="28">
        <v>1748737060</v>
      </c>
    </row>
    <row r="68" spans="1:61" x14ac:dyDescent="0.3">
      <c r="A68" s="1" t="s">
        <v>114</v>
      </c>
      <c r="B68" s="1" t="s">
        <v>105</v>
      </c>
      <c r="C68" s="1" t="s">
        <v>236</v>
      </c>
      <c r="D68" s="1" t="s">
        <v>237</v>
      </c>
      <c r="E68" s="1" t="s">
        <v>236</v>
      </c>
      <c r="F68" s="1" t="s">
        <v>237</v>
      </c>
      <c r="G68" s="1" t="s">
        <v>238</v>
      </c>
      <c r="H68" s="1" t="s">
        <v>240</v>
      </c>
      <c r="I68" s="1" t="s">
        <v>105</v>
      </c>
      <c r="J68" s="1" t="s">
        <v>117</v>
      </c>
      <c r="K68" s="1" t="s">
        <v>118</v>
      </c>
      <c r="L68" s="1" t="s">
        <v>88</v>
      </c>
      <c r="V68" s="20">
        <v>149482200</v>
      </c>
      <c r="AB68" s="20">
        <v>149482200</v>
      </c>
      <c r="AL68" s="20">
        <v>95480000</v>
      </c>
      <c r="AR68" s="20">
        <v>95480000</v>
      </c>
      <c r="BB68" s="20">
        <v>28178800</v>
      </c>
      <c r="BH68" s="28">
        <v>28178800</v>
      </c>
      <c r="BI68" s="28">
        <v>273141000</v>
      </c>
    </row>
    <row r="69" spans="1:61" x14ac:dyDescent="0.3">
      <c r="A69" s="1" t="s">
        <v>114</v>
      </c>
      <c r="B69" s="1" t="s">
        <v>105</v>
      </c>
      <c r="C69" s="1" t="s">
        <v>236</v>
      </c>
      <c r="D69" s="1" t="s">
        <v>237</v>
      </c>
      <c r="E69" s="1" t="s">
        <v>236</v>
      </c>
      <c r="F69" s="1" t="s">
        <v>237</v>
      </c>
      <c r="G69" s="1" t="s">
        <v>238</v>
      </c>
      <c r="H69" s="1" t="s">
        <v>241</v>
      </c>
      <c r="I69" s="1" t="s">
        <v>105</v>
      </c>
      <c r="J69" s="1" t="s">
        <v>117</v>
      </c>
      <c r="K69" s="1" t="s">
        <v>118</v>
      </c>
      <c r="L69" s="1" t="s">
        <v>88</v>
      </c>
      <c r="V69" s="20">
        <v>293043900</v>
      </c>
      <c r="AB69" s="20">
        <v>293043900</v>
      </c>
      <c r="AL69" s="20">
        <v>320389752</v>
      </c>
      <c r="AR69" s="20">
        <v>320389752</v>
      </c>
      <c r="BB69" s="20">
        <v>164220000</v>
      </c>
      <c r="BH69" s="28">
        <v>164220000</v>
      </c>
      <c r="BI69" s="28">
        <v>777653652</v>
      </c>
    </row>
    <row r="70" spans="1:61" x14ac:dyDescent="0.3">
      <c r="A70" s="1" t="s">
        <v>114</v>
      </c>
      <c r="B70" s="1" t="s">
        <v>106</v>
      </c>
      <c r="C70" s="1" t="s">
        <v>245</v>
      </c>
      <c r="D70" s="1" t="s">
        <v>246</v>
      </c>
      <c r="E70" s="1" t="s">
        <v>245</v>
      </c>
      <c r="F70" s="1" t="s">
        <v>246</v>
      </c>
      <c r="G70" s="1" t="s">
        <v>247</v>
      </c>
      <c r="H70" s="1" t="s">
        <v>248</v>
      </c>
      <c r="I70" s="1" t="s">
        <v>106</v>
      </c>
      <c r="J70" s="1" t="s">
        <v>117</v>
      </c>
      <c r="K70" s="1" t="s">
        <v>118</v>
      </c>
      <c r="L70" s="1" t="s">
        <v>99</v>
      </c>
      <c r="V70" s="20">
        <v>49406170</v>
      </c>
      <c r="W70" s="20">
        <v>19927428</v>
      </c>
      <c r="X70" s="20">
        <v>4590720</v>
      </c>
      <c r="Y70" s="20">
        <v>2574080</v>
      </c>
      <c r="Z70" s="20">
        <v>25646600</v>
      </c>
      <c r="AA70" s="20">
        <v>31940976</v>
      </c>
      <c r="AB70" s="20">
        <v>134085974</v>
      </c>
      <c r="AL70" s="20">
        <v>60023176</v>
      </c>
      <c r="AM70" s="20">
        <v>15855576</v>
      </c>
      <c r="AN70" s="20">
        <v>1224000</v>
      </c>
      <c r="AO70" s="20">
        <v>6717408</v>
      </c>
      <c r="AP70" s="20">
        <v>10255600</v>
      </c>
      <c r="AQ70" s="20">
        <v>27100464</v>
      </c>
      <c r="AR70" s="20">
        <v>121176224</v>
      </c>
      <c r="BB70" s="20">
        <v>29331048</v>
      </c>
      <c r="BC70" s="20">
        <v>11729988</v>
      </c>
      <c r="BD70" s="28">
        <v>1284000</v>
      </c>
      <c r="BE70" s="28">
        <v>4478120</v>
      </c>
      <c r="BF70" s="28">
        <v>21197020</v>
      </c>
      <c r="BG70" s="28">
        <v>31944624</v>
      </c>
      <c r="BH70" s="28">
        <v>99964800</v>
      </c>
      <c r="BI70" s="28">
        <v>355226998</v>
      </c>
    </row>
    <row r="71" spans="1:61" x14ac:dyDescent="0.3">
      <c r="A71" s="1" t="s">
        <v>114</v>
      </c>
      <c r="B71" s="1" t="s">
        <v>106</v>
      </c>
      <c r="C71" s="1" t="s">
        <v>245</v>
      </c>
      <c r="D71" s="1" t="s">
        <v>246</v>
      </c>
      <c r="E71" s="1" t="s">
        <v>245</v>
      </c>
      <c r="F71" s="1" t="s">
        <v>246</v>
      </c>
      <c r="G71" s="1" t="s">
        <v>249</v>
      </c>
      <c r="H71" s="1" t="s">
        <v>250</v>
      </c>
      <c r="I71" s="1" t="s">
        <v>106</v>
      </c>
      <c r="J71" s="1" t="s">
        <v>117</v>
      </c>
      <c r="K71" s="1" t="s">
        <v>118</v>
      </c>
      <c r="L71" s="1" t="s">
        <v>99</v>
      </c>
      <c r="V71" s="20">
        <v>37487386</v>
      </c>
      <c r="W71" s="20">
        <v>9231664</v>
      </c>
      <c r="X71" s="20">
        <v>5297880</v>
      </c>
      <c r="Y71" s="20">
        <v>3673408</v>
      </c>
      <c r="Z71" s="20">
        <v>10637940</v>
      </c>
      <c r="AA71" s="20">
        <v>13773456</v>
      </c>
      <c r="AB71" s="20">
        <v>80101734</v>
      </c>
      <c r="AL71" s="20">
        <v>23139074</v>
      </c>
      <c r="AM71" s="20">
        <v>4466562</v>
      </c>
      <c r="AO71" s="20">
        <v>1352640</v>
      </c>
      <c r="AP71" s="20">
        <v>11379562</v>
      </c>
      <c r="AQ71" s="20">
        <v>10975632</v>
      </c>
      <c r="AR71" s="20">
        <v>51313470</v>
      </c>
      <c r="BB71" s="20">
        <v>191851296</v>
      </c>
      <c r="BC71" s="20">
        <v>8783688</v>
      </c>
      <c r="BD71" s="28">
        <v>1632000</v>
      </c>
      <c r="BE71" s="28">
        <v>3539032</v>
      </c>
      <c r="BF71" s="28">
        <v>12735850</v>
      </c>
      <c r="BG71" s="28">
        <v>15558192</v>
      </c>
      <c r="BH71" s="28">
        <v>234100058</v>
      </c>
      <c r="BI71" s="28">
        <v>365515262</v>
      </c>
    </row>
    <row r="72" spans="1:61" x14ac:dyDescent="0.3">
      <c r="A72" s="1" t="s">
        <v>114</v>
      </c>
      <c r="B72" s="1" t="s">
        <v>106</v>
      </c>
      <c r="C72" s="1" t="s">
        <v>251</v>
      </c>
      <c r="D72" s="1" t="s">
        <v>252</v>
      </c>
      <c r="E72" s="1" t="s">
        <v>251</v>
      </c>
      <c r="F72" s="1" t="s">
        <v>252</v>
      </c>
      <c r="G72" s="1" t="s">
        <v>253</v>
      </c>
      <c r="H72" s="1" t="s">
        <v>254</v>
      </c>
      <c r="I72" s="1" t="s">
        <v>106</v>
      </c>
      <c r="J72" s="1" t="s">
        <v>117</v>
      </c>
      <c r="K72" s="1" t="s">
        <v>118</v>
      </c>
      <c r="L72" s="1" t="s">
        <v>99</v>
      </c>
      <c r="V72" s="20">
        <v>80735504</v>
      </c>
      <c r="W72" s="20">
        <v>21489858</v>
      </c>
      <c r="X72" s="20">
        <v>3366480</v>
      </c>
      <c r="Y72" s="20">
        <v>2676600</v>
      </c>
      <c r="Z72" s="20">
        <v>22929140</v>
      </c>
      <c r="AA72" s="20">
        <v>46467360</v>
      </c>
      <c r="AB72" s="20">
        <v>177664942</v>
      </c>
      <c r="AL72" s="20">
        <v>52561690</v>
      </c>
      <c r="AM72" s="20">
        <v>11404014</v>
      </c>
      <c r="AN72" s="20">
        <v>2508000</v>
      </c>
      <c r="AO72" s="20">
        <v>3475320</v>
      </c>
      <c r="AP72" s="20">
        <v>27760624</v>
      </c>
      <c r="AQ72" s="20">
        <v>42367728</v>
      </c>
      <c r="AR72" s="20">
        <v>140077376</v>
      </c>
      <c r="BB72" s="20">
        <v>48085348</v>
      </c>
      <c r="BC72" s="20">
        <v>19714215</v>
      </c>
      <c r="BD72" s="28">
        <v>6587136</v>
      </c>
      <c r="BE72" s="28">
        <v>5771880</v>
      </c>
      <c r="BF72" s="28">
        <v>29654300</v>
      </c>
      <c r="BG72" s="28">
        <v>59160144</v>
      </c>
      <c r="BH72" s="28">
        <v>168973023</v>
      </c>
      <c r="BI72" s="28">
        <v>486715341</v>
      </c>
    </row>
    <row r="73" spans="1:61" x14ac:dyDescent="0.3">
      <c r="A73" s="1" t="s">
        <v>114</v>
      </c>
      <c r="B73" s="1" t="s">
        <v>107</v>
      </c>
      <c r="C73" s="1" t="s">
        <v>255</v>
      </c>
      <c r="D73" s="1" t="s">
        <v>246</v>
      </c>
      <c r="E73" s="1" t="s">
        <v>255</v>
      </c>
      <c r="F73" s="1" t="s">
        <v>246</v>
      </c>
      <c r="G73" s="1" t="s">
        <v>256</v>
      </c>
      <c r="H73" s="1" t="s">
        <v>257</v>
      </c>
      <c r="I73" s="1" t="s">
        <v>107</v>
      </c>
      <c r="J73" s="1" t="s">
        <v>117</v>
      </c>
      <c r="K73" s="1" t="s">
        <v>118</v>
      </c>
      <c r="L73" s="1" t="s">
        <v>99</v>
      </c>
      <c r="V73" s="20">
        <v>1800800</v>
      </c>
      <c r="X73" s="20">
        <v>350880</v>
      </c>
      <c r="Y73" s="20">
        <v>138840</v>
      </c>
      <c r="Z73" s="20">
        <v>1525800</v>
      </c>
      <c r="AA73" s="20">
        <v>2831712</v>
      </c>
      <c r="AB73" s="20">
        <v>6648032</v>
      </c>
      <c r="AL73" s="20">
        <v>2936448</v>
      </c>
      <c r="AN73" s="20">
        <v>374000</v>
      </c>
      <c r="AO73" s="20">
        <v>138840</v>
      </c>
      <c r="AP73" s="20">
        <v>1916900</v>
      </c>
      <c r="AQ73" s="20">
        <v>2008800</v>
      </c>
      <c r="AR73" s="20">
        <v>7374988</v>
      </c>
      <c r="BB73" s="20">
        <v>944400</v>
      </c>
      <c r="BD73" s="28">
        <v>408000</v>
      </c>
      <c r="BE73" s="28">
        <v>156000</v>
      </c>
      <c r="BF73" s="28">
        <v>1281100</v>
      </c>
      <c r="BG73" s="28">
        <v>1828800</v>
      </c>
      <c r="BH73" s="28">
        <v>4618300</v>
      </c>
      <c r="BI73" s="28">
        <v>18641320</v>
      </c>
    </row>
    <row r="74" spans="1:61" x14ac:dyDescent="0.3">
      <c r="A74" s="1" t="s">
        <v>114</v>
      </c>
      <c r="B74" s="1" t="s">
        <v>107</v>
      </c>
      <c r="C74" s="1" t="s">
        <v>255</v>
      </c>
      <c r="D74" s="1" t="s">
        <v>246</v>
      </c>
      <c r="E74" s="1" t="s">
        <v>255</v>
      </c>
      <c r="F74" s="1" t="s">
        <v>246</v>
      </c>
      <c r="G74" s="1" t="s">
        <v>258</v>
      </c>
      <c r="H74" s="1" t="s">
        <v>259</v>
      </c>
      <c r="I74" s="1" t="s">
        <v>107</v>
      </c>
      <c r="J74" s="1" t="s">
        <v>117</v>
      </c>
      <c r="K74" s="1" t="s">
        <v>118</v>
      </c>
      <c r="L74" s="1" t="s">
        <v>99</v>
      </c>
      <c r="V74" s="20">
        <v>6621840</v>
      </c>
      <c r="W74" s="20">
        <v>408384</v>
      </c>
      <c r="Y74" s="20">
        <v>138840</v>
      </c>
      <c r="Z74" s="20">
        <v>3464900</v>
      </c>
      <c r="AA74" s="20">
        <v>6007392</v>
      </c>
      <c r="AB74" s="20">
        <v>16641356</v>
      </c>
      <c r="AL74" s="20">
        <v>3303266</v>
      </c>
      <c r="AM74" s="20">
        <v>408384</v>
      </c>
      <c r="AN74" s="20">
        <v>781136</v>
      </c>
      <c r="AO74" s="20">
        <v>277680</v>
      </c>
      <c r="AP74" s="20">
        <v>3682200</v>
      </c>
      <c r="AQ74" s="20">
        <v>7300800</v>
      </c>
      <c r="AR74" s="20">
        <v>15753466</v>
      </c>
      <c r="BB74" s="20">
        <v>6459058</v>
      </c>
      <c r="BC74" s="20">
        <v>1001052</v>
      </c>
      <c r="BD74" s="28">
        <v>748000</v>
      </c>
      <c r="BE74" s="28">
        <v>312000</v>
      </c>
      <c r="BF74" s="28">
        <v>1642100</v>
      </c>
      <c r="BG74" s="28">
        <v>5152320</v>
      </c>
      <c r="BH74" s="28">
        <v>15314530</v>
      </c>
      <c r="BI74" s="28">
        <v>47709352</v>
      </c>
    </row>
    <row r="75" spans="1:61" x14ac:dyDescent="0.3">
      <c r="A75" s="1" t="s">
        <v>114</v>
      </c>
      <c r="B75" s="1" t="s">
        <v>107</v>
      </c>
      <c r="C75" s="1" t="s">
        <v>255</v>
      </c>
      <c r="D75" s="1" t="s">
        <v>246</v>
      </c>
      <c r="E75" s="1" t="s">
        <v>255</v>
      </c>
      <c r="F75" s="1" t="s">
        <v>246</v>
      </c>
      <c r="G75" s="1" t="s">
        <v>260</v>
      </c>
      <c r="H75" s="1" t="s">
        <v>261</v>
      </c>
      <c r="I75" s="1" t="s">
        <v>107</v>
      </c>
      <c r="J75" s="1" t="s">
        <v>117</v>
      </c>
      <c r="K75" s="1" t="s">
        <v>118</v>
      </c>
      <c r="L75" s="1" t="s">
        <v>99</v>
      </c>
      <c r="V75" s="20">
        <v>1480800</v>
      </c>
      <c r="W75" s="20">
        <v>816768</v>
      </c>
      <c r="Z75" s="20">
        <v>1646740</v>
      </c>
      <c r="AA75" s="20">
        <v>2236512</v>
      </c>
      <c r="AB75" s="20">
        <v>6180820</v>
      </c>
      <c r="AL75" s="20">
        <v>2627952</v>
      </c>
      <c r="AN75" s="20">
        <v>781136</v>
      </c>
      <c r="AO75" s="20">
        <v>416520</v>
      </c>
      <c r="AP75" s="20">
        <v>1055000</v>
      </c>
      <c r="AQ75" s="20">
        <v>4500000</v>
      </c>
      <c r="AR75" s="20">
        <v>9380608</v>
      </c>
      <c r="BB75" s="20">
        <v>4351688</v>
      </c>
      <c r="BD75" s="28">
        <v>408000</v>
      </c>
      <c r="BF75" s="28">
        <v>554840</v>
      </c>
      <c r="BG75" s="28">
        <v>1257600</v>
      </c>
      <c r="BH75" s="28">
        <v>6572128</v>
      </c>
      <c r="BI75" s="28">
        <v>22133556</v>
      </c>
    </row>
    <row r="76" spans="1:61" x14ac:dyDescent="0.3">
      <c r="A76" s="1" t="s">
        <v>114</v>
      </c>
      <c r="B76" s="1" t="s">
        <v>107</v>
      </c>
      <c r="C76" s="1" t="s">
        <v>255</v>
      </c>
      <c r="D76" s="1" t="s">
        <v>246</v>
      </c>
      <c r="E76" s="1" t="s">
        <v>255</v>
      </c>
      <c r="F76" s="1" t="s">
        <v>246</v>
      </c>
      <c r="G76" s="1" t="s">
        <v>262</v>
      </c>
      <c r="H76" s="1" t="s">
        <v>263</v>
      </c>
      <c r="I76" s="1" t="s">
        <v>107</v>
      </c>
      <c r="J76" s="1" t="s">
        <v>117</v>
      </c>
      <c r="K76" s="1" t="s">
        <v>118</v>
      </c>
      <c r="L76" s="1" t="s">
        <v>99</v>
      </c>
      <c r="V76" s="20">
        <v>7561326</v>
      </c>
      <c r="W76" s="20">
        <v>408384</v>
      </c>
      <c r="X76" s="20">
        <v>374000</v>
      </c>
      <c r="Y76" s="20">
        <v>156000</v>
      </c>
      <c r="Z76" s="20">
        <v>2021880</v>
      </c>
      <c r="AA76" s="20">
        <v>4020768</v>
      </c>
      <c r="AB76" s="20">
        <v>14542358</v>
      </c>
      <c r="AL76" s="20">
        <v>4764024</v>
      </c>
      <c r="AO76" s="20">
        <v>138840</v>
      </c>
      <c r="AP76" s="20">
        <v>3358140</v>
      </c>
      <c r="AQ76" s="20">
        <v>5203200</v>
      </c>
      <c r="AR76" s="20">
        <v>13464204</v>
      </c>
      <c r="BB76" s="20">
        <v>5246186</v>
      </c>
      <c r="BC76" s="20">
        <v>1799868</v>
      </c>
      <c r="BD76" s="28">
        <v>1177000</v>
      </c>
      <c r="BE76" s="28">
        <v>384800</v>
      </c>
      <c r="BF76" s="28">
        <v>1511100</v>
      </c>
      <c r="BG76" s="28">
        <v>5827824</v>
      </c>
      <c r="BH76" s="28">
        <v>15946778</v>
      </c>
      <c r="BI76" s="28">
        <v>43953340</v>
      </c>
    </row>
    <row r="77" spans="1:61" x14ac:dyDescent="0.3">
      <c r="A77" s="1" t="s">
        <v>114</v>
      </c>
      <c r="B77" s="1" t="s">
        <v>107</v>
      </c>
      <c r="C77" s="1" t="s">
        <v>255</v>
      </c>
      <c r="D77" s="1" t="s">
        <v>246</v>
      </c>
      <c r="E77" s="1" t="s">
        <v>255</v>
      </c>
      <c r="F77" s="1" t="s">
        <v>246</v>
      </c>
      <c r="G77" s="1" t="s">
        <v>264</v>
      </c>
      <c r="H77" s="1" t="s">
        <v>265</v>
      </c>
      <c r="I77" s="1" t="s">
        <v>107</v>
      </c>
      <c r="J77" s="1" t="s">
        <v>117</v>
      </c>
      <c r="K77" s="1" t="s">
        <v>118</v>
      </c>
      <c r="L77" s="1" t="s">
        <v>99</v>
      </c>
      <c r="V77" s="20">
        <v>7307916</v>
      </c>
      <c r="X77" s="20">
        <v>350880</v>
      </c>
      <c r="Y77" s="20">
        <v>138840</v>
      </c>
      <c r="Z77" s="20">
        <v>3242400</v>
      </c>
      <c r="AA77" s="20">
        <v>2736720</v>
      </c>
      <c r="AB77" s="20">
        <v>13776756</v>
      </c>
      <c r="AL77" s="20">
        <v>3344376</v>
      </c>
      <c r="AO77" s="20">
        <v>294840</v>
      </c>
      <c r="AP77" s="20">
        <v>1737200</v>
      </c>
      <c r="AQ77" s="20">
        <v>2457600</v>
      </c>
      <c r="AR77" s="20">
        <v>7834016</v>
      </c>
      <c r="BB77" s="20">
        <v>1124400</v>
      </c>
      <c r="BC77" s="20">
        <v>399408</v>
      </c>
      <c r="BE77" s="28">
        <v>156000</v>
      </c>
      <c r="BF77" s="28">
        <v>2309600</v>
      </c>
      <c r="BG77" s="28">
        <v>2457600</v>
      </c>
      <c r="BH77" s="28">
        <v>6447008</v>
      </c>
      <c r="BI77" s="28">
        <v>28057780</v>
      </c>
    </row>
    <row r="78" spans="1:61" x14ac:dyDescent="0.3">
      <c r="A78" s="1" t="s">
        <v>114</v>
      </c>
      <c r="B78" s="1" t="s">
        <v>107</v>
      </c>
      <c r="C78" s="1" t="s">
        <v>255</v>
      </c>
      <c r="D78" s="1" t="s">
        <v>246</v>
      </c>
      <c r="E78" s="1" t="s">
        <v>255</v>
      </c>
      <c r="F78" s="1" t="s">
        <v>246</v>
      </c>
      <c r="G78" s="1" t="s">
        <v>266</v>
      </c>
      <c r="H78" s="1" t="s">
        <v>267</v>
      </c>
      <c r="I78" s="1" t="s">
        <v>107</v>
      </c>
      <c r="J78" s="1" t="s">
        <v>117</v>
      </c>
      <c r="K78" s="1" t="s">
        <v>118</v>
      </c>
      <c r="L78" s="1" t="s">
        <v>99</v>
      </c>
      <c r="V78" s="20">
        <v>2673746</v>
      </c>
      <c r="X78" s="20">
        <v>350880</v>
      </c>
      <c r="Y78" s="20">
        <v>294840</v>
      </c>
      <c r="Z78" s="20">
        <v>890000</v>
      </c>
      <c r="AA78" s="20">
        <v>1516512</v>
      </c>
      <c r="AB78" s="20">
        <v>5725978</v>
      </c>
      <c r="AL78" s="20">
        <v>3093528</v>
      </c>
      <c r="AM78" s="20">
        <v>408384</v>
      </c>
      <c r="AN78" s="20">
        <v>407136</v>
      </c>
      <c r="AO78" s="20">
        <v>138840</v>
      </c>
      <c r="AP78" s="20">
        <v>1924400</v>
      </c>
      <c r="AQ78" s="20">
        <v>3912000</v>
      </c>
      <c r="AR78" s="20">
        <v>9884288</v>
      </c>
      <c r="BB78" s="20">
        <v>3051636</v>
      </c>
      <c r="BE78" s="28">
        <v>156000</v>
      </c>
      <c r="BF78" s="28">
        <v>152640</v>
      </c>
      <c r="BG78" s="28">
        <v>1502400</v>
      </c>
      <c r="BH78" s="28">
        <v>4862676</v>
      </c>
      <c r="BI78" s="28">
        <v>20472942</v>
      </c>
    </row>
    <row r="79" spans="1:61" x14ac:dyDescent="0.3">
      <c r="A79" s="1" t="s">
        <v>114</v>
      </c>
      <c r="B79" s="1" t="s">
        <v>107</v>
      </c>
      <c r="C79" s="1" t="s">
        <v>255</v>
      </c>
      <c r="D79" s="1" t="s">
        <v>246</v>
      </c>
      <c r="E79" s="1" t="s">
        <v>255</v>
      </c>
      <c r="F79" s="1" t="s">
        <v>246</v>
      </c>
      <c r="G79" s="1" t="s">
        <v>268</v>
      </c>
      <c r="H79" s="1" t="s">
        <v>269</v>
      </c>
      <c r="I79" s="1" t="s">
        <v>107</v>
      </c>
      <c r="J79" s="1" t="s">
        <v>117</v>
      </c>
      <c r="K79" s="1" t="s">
        <v>118</v>
      </c>
      <c r="L79" s="1" t="s">
        <v>99</v>
      </c>
      <c r="V79" s="20">
        <v>14189382</v>
      </c>
      <c r="W79" s="20">
        <v>962784</v>
      </c>
      <c r="X79" s="20">
        <v>350880</v>
      </c>
      <c r="Y79" s="20">
        <v>1306848</v>
      </c>
      <c r="Z79" s="20">
        <v>4580580</v>
      </c>
      <c r="AA79" s="20">
        <v>9232704</v>
      </c>
      <c r="AB79" s="20">
        <v>30623178</v>
      </c>
      <c r="AL79" s="20">
        <v>9894432</v>
      </c>
      <c r="AM79" s="20">
        <v>962784</v>
      </c>
      <c r="AN79" s="20">
        <v>816000</v>
      </c>
      <c r="AO79" s="20">
        <v>1425568</v>
      </c>
      <c r="AP79" s="20">
        <v>7091652</v>
      </c>
      <c r="AQ79" s="20">
        <v>14820864</v>
      </c>
      <c r="AR79" s="20">
        <v>35011300</v>
      </c>
      <c r="BB79" s="20">
        <v>9078352</v>
      </c>
      <c r="BC79" s="20">
        <v>1139928</v>
      </c>
      <c r="BD79" s="28">
        <v>2027000</v>
      </c>
      <c r="BF79" s="28">
        <v>2684180</v>
      </c>
      <c r="BG79" s="28">
        <v>7451328</v>
      </c>
      <c r="BH79" s="28">
        <v>22380788</v>
      </c>
      <c r="BI79" s="28">
        <v>88015266</v>
      </c>
    </row>
    <row r="80" spans="1:61" x14ac:dyDescent="0.3">
      <c r="A80" s="1" t="s">
        <v>114</v>
      </c>
      <c r="B80" s="1" t="s">
        <v>107</v>
      </c>
      <c r="C80" s="1" t="s">
        <v>255</v>
      </c>
      <c r="D80" s="1" t="s">
        <v>246</v>
      </c>
      <c r="E80" s="1" t="s">
        <v>255</v>
      </c>
      <c r="F80" s="1" t="s">
        <v>246</v>
      </c>
      <c r="G80" s="1" t="s">
        <v>270</v>
      </c>
      <c r="H80" s="1" t="s">
        <v>271</v>
      </c>
      <c r="I80" s="1" t="s">
        <v>107</v>
      </c>
      <c r="J80" s="1" t="s">
        <v>117</v>
      </c>
      <c r="K80" s="1" t="s">
        <v>118</v>
      </c>
      <c r="L80" s="1" t="s">
        <v>99</v>
      </c>
      <c r="V80" s="20">
        <v>6875960</v>
      </c>
      <c r="X80" s="20">
        <v>350880</v>
      </c>
      <c r="Y80" s="20">
        <v>416520</v>
      </c>
      <c r="Z80" s="20">
        <v>1970800</v>
      </c>
      <c r="AA80" s="20">
        <v>3874656</v>
      </c>
      <c r="AB80" s="20">
        <v>13488816</v>
      </c>
      <c r="AL80" s="20">
        <v>3851964</v>
      </c>
      <c r="AO80" s="20">
        <v>433680</v>
      </c>
      <c r="AP80" s="20">
        <v>1090300</v>
      </c>
      <c r="AQ80" s="20">
        <v>2580000</v>
      </c>
      <c r="AR80" s="20">
        <v>7955944</v>
      </c>
      <c r="BB80" s="20">
        <v>1773000</v>
      </c>
      <c r="BD80" s="28">
        <v>408000</v>
      </c>
      <c r="BE80" s="28">
        <v>468000</v>
      </c>
      <c r="BF80" s="28">
        <v>381600</v>
      </c>
      <c r="BG80" s="28">
        <v>2400000</v>
      </c>
      <c r="BH80" s="28">
        <v>5430600</v>
      </c>
      <c r="BI80" s="28">
        <v>26875360</v>
      </c>
    </row>
    <row r="81" spans="1:61" x14ac:dyDescent="0.3">
      <c r="A81" s="1" t="s">
        <v>114</v>
      </c>
      <c r="B81" s="1" t="s">
        <v>107</v>
      </c>
      <c r="C81" s="1" t="s">
        <v>255</v>
      </c>
      <c r="D81" s="1" t="s">
        <v>246</v>
      </c>
      <c r="E81" s="1" t="s">
        <v>255</v>
      </c>
      <c r="F81" s="1" t="s">
        <v>246</v>
      </c>
      <c r="G81" s="1" t="s">
        <v>272</v>
      </c>
      <c r="H81" s="1" t="s">
        <v>273</v>
      </c>
      <c r="I81" s="1" t="s">
        <v>107</v>
      </c>
      <c r="J81" s="1" t="s">
        <v>117</v>
      </c>
      <c r="K81" s="1" t="s">
        <v>118</v>
      </c>
      <c r="L81" s="1" t="s">
        <v>99</v>
      </c>
      <c r="V81" s="20">
        <v>6032864</v>
      </c>
      <c r="X81" s="20">
        <v>701760</v>
      </c>
      <c r="Y81" s="20">
        <v>416520</v>
      </c>
      <c r="Z81" s="20">
        <v>3274100</v>
      </c>
      <c r="AA81" s="20">
        <v>5180976</v>
      </c>
      <c r="AB81" s="20">
        <v>15606220</v>
      </c>
      <c r="AL81" s="20">
        <v>2031648</v>
      </c>
      <c r="AO81" s="20">
        <v>762840</v>
      </c>
      <c r="AP81" s="20">
        <v>847200</v>
      </c>
      <c r="AQ81" s="20">
        <v>1485600</v>
      </c>
      <c r="AR81" s="20">
        <v>5127288</v>
      </c>
      <c r="BB81" s="20">
        <v>1168368</v>
      </c>
      <c r="BC81" s="20">
        <v>399408</v>
      </c>
      <c r="BE81" s="28">
        <v>156000</v>
      </c>
      <c r="BF81" s="28">
        <v>1937500</v>
      </c>
      <c r="BG81" s="28">
        <v>2858400</v>
      </c>
      <c r="BH81" s="28">
        <v>6519676</v>
      </c>
      <c r="BI81" s="28">
        <v>27253184</v>
      </c>
    </row>
    <row r="82" spans="1:61" x14ac:dyDescent="0.3">
      <c r="A82" s="1" t="s">
        <v>114</v>
      </c>
      <c r="B82" s="1" t="s">
        <v>107</v>
      </c>
      <c r="C82" s="1" t="s">
        <v>255</v>
      </c>
      <c r="D82" s="1" t="s">
        <v>246</v>
      </c>
      <c r="E82" s="1" t="s">
        <v>255</v>
      </c>
      <c r="F82" s="1" t="s">
        <v>246</v>
      </c>
      <c r="G82" s="1" t="s">
        <v>274</v>
      </c>
      <c r="H82" s="1" t="s">
        <v>275</v>
      </c>
      <c r="I82" s="1" t="s">
        <v>107</v>
      </c>
      <c r="J82" s="1" t="s">
        <v>117</v>
      </c>
      <c r="K82" s="1" t="s">
        <v>118</v>
      </c>
      <c r="L82" s="1" t="s">
        <v>99</v>
      </c>
      <c r="V82" s="20">
        <v>9076262</v>
      </c>
      <c r="W82" s="20">
        <v>857184</v>
      </c>
      <c r="X82" s="20">
        <v>350880</v>
      </c>
      <c r="Y82" s="20">
        <v>1028448</v>
      </c>
      <c r="Z82" s="20">
        <v>5530900</v>
      </c>
      <c r="AA82" s="20">
        <v>8341536</v>
      </c>
      <c r="AB82" s="20">
        <v>25185210</v>
      </c>
      <c r="AL82" s="20">
        <v>6738504</v>
      </c>
      <c r="AM82" s="20">
        <v>1371168</v>
      </c>
      <c r="AN82" s="20">
        <v>782000</v>
      </c>
      <c r="AO82" s="20">
        <v>1389480</v>
      </c>
      <c r="AP82" s="20">
        <v>5450780</v>
      </c>
      <c r="AQ82" s="20">
        <v>10684800</v>
      </c>
      <c r="AR82" s="20">
        <v>26416732</v>
      </c>
      <c r="BB82" s="20">
        <v>6996320</v>
      </c>
      <c r="BC82" s="20">
        <v>1192500</v>
      </c>
      <c r="BD82" s="28">
        <v>803000</v>
      </c>
      <c r="BE82" s="28">
        <v>261600</v>
      </c>
      <c r="BF82" s="28">
        <v>3701580</v>
      </c>
      <c r="BG82" s="28">
        <v>7519152</v>
      </c>
      <c r="BH82" s="28">
        <v>20474152</v>
      </c>
      <c r="BI82" s="28">
        <v>72076094</v>
      </c>
    </row>
    <row r="83" spans="1:61" x14ac:dyDescent="0.3">
      <c r="A83" s="1" t="s">
        <v>114</v>
      </c>
      <c r="B83" s="1" t="s">
        <v>107</v>
      </c>
      <c r="C83" s="1" t="s">
        <v>255</v>
      </c>
      <c r="D83" s="1" t="s">
        <v>246</v>
      </c>
      <c r="E83" s="1" t="s">
        <v>255</v>
      </c>
      <c r="F83" s="1" t="s">
        <v>246</v>
      </c>
      <c r="G83" s="1" t="s">
        <v>276</v>
      </c>
      <c r="H83" s="1" t="s">
        <v>277</v>
      </c>
      <c r="I83" s="1" t="s">
        <v>107</v>
      </c>
      <c r="J83" s="1" t="s">
        <v>117</v>
      </c>
      <c r="K83" s="1" t="s">
        <v>118</v>
      </c>
      <c r="L83" s="1" t="s">
        <v>99</v>
      </c>
      <c r="V83" s="20">
        <v>204382854</v>
      </c>
      <c r="W83" s="20">
        <v>1225152</v>
      </c>
      <c r="X83" s="20">
        <v>408000</v>
      </c>
      <c r="Y83" s="20">
        <v>855288</v>
      </c>
      <c r="Z83" s="20">
        <v>6804300</v>
      </c>
      <c r="AA83" s="20">
        <v>13321296</v>
      </c>
      <c r="AB83" s="20">
        <v>226996890</v>
      </c>
      <c r="AL83" s="20">
        <v>362106602</v>
      </c>
      <c r="AM83" s="20">
        <v>1371168</v>
      </c>
      <c r="AN83" s="20">
        <v>782000</v>
      </c>
      <c r="AO83" s="20">
        <v>555360</v>
      </c>
      <c r="AP83" s="20">
        <v>5349080</v>
      </c>
      <c r="AQ83" s="20">
        <v>8693664</v>
      </c>
      <c r="AR83" s="20">
        <v>378857874</v>
      </c>
      <c r="BB83" s="20">
        <v>6918252</v>
      </c>
      <c r="BC83" s="20">
        <v>687492</v>
      </c>
      <c r="BD83" s="28">
        <v>803000</v>
      </c>
      <c r="BF83" s="28">
        <v>2462240</v>
      </c>
      <c r="BG83" s="28">
        <v>5141664</v>
      </c>
      <c r="BH83" s="28">
        <v>16012648</v>
      </c>
      <c r="BI83" s="28">
        <v>621867412</v>
      </c>
    </row>
    <row r="84" spans="1:61" x14ac:dyDescent="0.3">
      <c r="A84" s="1" t="s">
        <v>114</v>
      </c>
      <c r="B84" s="1" t="s">
        <v>107</v>
      </c>
      <c r="C84" s="1" t="s">
        <v>255</v>
      </c>
      <c r="D84" s="1" t="s">
        <v>246</v>
      </c>
      <c r="E84" s="1" t="s">
        <v>255</v>
      </c>
      <c r="F84" s="1" t="s">
        <v>246</v>
      </c>
      <c r="G84" s="1" t="s">
        <v>278</v>
      </c>
      <c r="H84" s="1" t="s">
        <v>279</v>
      </c>
      <c r="I84" s="1" t="s">
        <v>107</v>
      </c>
      <c r="J84" s="1" t="s">
        <v>117</v>
      </c>
      <c r="K84" s="1" t="s">
        <v>118</v>
      </c>
      <c r="L84" s="1" t="s">
        <v>99</v>
      </c>
      <c r="V84" s="20">
        <v>6196520</v>
      </c>
      <c r="W84" s="20">
        <v>408384</v>
      </c>
      <c r="Z84" s="20">
        <v>2060040</v>
      </c>
      <c r="AA84" s="20">
        <v>6253968</v>
      </c>
      <c r="AB84" s="20">
        <v>14918912</v>
      </c>
      <c r="AL84" s="20">
        <v>9089460</v>
      </c>
      <c r="AM84" s="20">
        <v>408384</v>
      </c>
      <c r="AN84" s="20">
        <v>407136</v>
      </c>
      <c r="AP84" s="20">
        <v>2608900</v>
      </c>
      <c r="AQ84" s="20">
        <v>7759200</v>
      </c>
      <c r="AR84" s="20">
        <v>20273080</v>
      </c>
      <c r="BB84" s="20">
        <v>8904676</v>
      </c>
      <c r="BC84" s="20">
        <v>638100</v>
      </c>
      <c r="BD84" s="28">
        <v>1564000</v>
      </c>
      <c r="BF84" s="28">
        <v>1765300</v>
      </c>
      <c r="BG84" s="28">
        <v>6598848</v>
      </c>
      <c r="BH84" s="28">
        <v>19470924</v>
      </c>
      <c r="BI84" s="28">
        <v>54662916</v>
      </c>
    </row>
    <row r="85" spans="1:61" x14ac:dyDescent="0.3">
      <c r="A85" s="1" t="s">
        <v>114</v>
      </c>
      <c r="B85" s="1" t="s">
        <v>107</v>
      </c>
      <c r="C85" s="1" t="s">
        <v>255</v>
      </c>
      <c r="D85" s="1" t="s">
        <v>246</v>
      </c>
      <c r="E85" s="1" t="s">
        <v>255</v>
      </c>
      <c r="F85" s="1" t="s">
        <v>246</v>
      </c>
      <c r="G85" s="1" t="s">
        <v>280</v>
      </c>
      <c r="H85" s="1" t="s">
        <v>281</v>
      </c>
      <c r="I85" s="1" t="s">
        <v>107</v>
      </c>
      <c r="J85" s="1" t="s">
        <v>117</v>
      </c>
      <c r="K85" s="1" t="s">
        <v>118</v>
      </c>
      <c r="L85" s="1" t="s">
        <v>99</v>
      </c>
      <c r="V85" s="20">
        <v>6937602</v>
      </c>
      <c r="W85" s="20">
        <v>408384</v>
      </c>
      <c r="X85" s="20">
        <v>374000</v>
      </c>
      <c r="Z85" s="20">
        <v>1080800</v>
      </c>
      <c r="AA85" s="20">
        <v>2128512</v>
      </c>
      <c r="AB85" s="20">
        <v>10929298</v>
      </c>
      <c r="AL85" s="20">
        <v>445500</v>
      </c>
      <c r="AO85" s="20">
        <v>294840</v>
      </c>
      <c r="AP85" s="20">
        <v>1794180</v>
      </c>
      <c r="AQ85" s="20">
        <v>4214400</v>
      </c>
      <c r="AR85" s="20">
        <v>6748920</v>
      </c>
      <c r="BB85" s="20">
        <v>5111660</v>
      </c>
      <c r="BF85" s="28">
        <v>1320300</v>
      </c>
      <c r="BG85" s="28">
        <v>2957424</v>
      </c>
      <c r="BH85" s="28">
        <v>9389384</v>
      </c>
      <c r="BI85" s="28">
        <v>27067602</v>
      </c>
    </row>
    <row r="86" spans="1:61" x14ac:dyDescent="0.3">
      <c r="A86" s="1" t="s">
        <v>114</v>
      </c>
      <c r="B86" s="1" t="s">
        <v>107</v>
      </c>
      <c r="C86" s="1" t="s">
        <v>255</v>
      </c>
      <c r="D86" s="1" t="s">
        <v>246</v>
      </c>
      <c r="E86" s="1" t="s">
        <v>255</v>
      </c>
      <c r="F86" s="1" t="s">
        <v>246</v>
      </c>
      <c r="G86" s="1" t="s">
        <v>282</v>
      </c>
      <c r="H86" s="1" t="s">
        <v>283</v>
      </c>
      <c r="I86" s="1" t="s">
        <v>107</v>
      </c>
      <c r="J86" s="1" t="s">
        <v>117</v>
      </c>
      <c r="K86" s="1" t="s">
        <v>118</v>
      </c>
      <c r="L86" s="1" t="s">
        <v>99</v>
      </c>
      <c r="V86" s="20">
        <v>4574066</v>
      </c>
      <c r="X86" s="20">
        <v>374000</v>
      </c>
      <c r="Z86" s="20">
        <v>1233440</v>
      </c>
      <c r="AA86" s="20">
        <v>1696512</v>
      </c>
      <c r="AB86" s="20">
        <v>7878018</v>
      </c>
      <c r="AL86" s="20">
        <v>3575678</v>
      </c>
      <c r="AN86" s="20">
        <v>407136</v>
      </c>
      <c r="AP86" s="20">
        <v>1690800</v>
      </c>
      <c r="AQ86" s="20">
        <v>3674400</v>
      </c>
      <c r="AR86" s="20">
        <v>9348014</v>
      </c>
      <c r="BB86" s="20">
        <v>2204040</v>
      </c>
      <c r="BF86" s="28">
        <v>597640</v>
      </c>
      <c r="BG86" s="28">
        <v>1768560</v>
      </c>
      <c r="BH86" s="28">
        <v>4570240</v>
      </c>
      <c r="BI86" s="28">
        <v>21796272</v>
      </c>
    </row>
    <row r="87" spans="1:61" x14ac:dyDescent="0.3">
      <c r="A87" s="1" t="s">
        <v>114</v>
      </c>
      <c r="B87" s="1" t="s">
        <v>107</v>
      </c>
      <c r="C87" s="1" t="s">
        <v>255</v>
      </c>
      <c r="D87" s="1" t="s">
        <v>246</v>
      </c>
      <c r="E87" s="1" t="s">
        <v>255</v>
      </c>
      <c r="F87" s="1" t="s">
        <v>246</v>
      </c>
      <c r="G87" s="1" t="s">
        <v>284</v>
      </c>
      <c r="H87" s="1" t="s">
        <v>285</v>
      </c>
      <c r="I87" s="1" t="s">
        <v>107</v>
      </c>
      <c r="J87" s="1" t="s">
        <v>117</v>
      </c>
      <c r="K87" s="1" t="s">
        <v>118</v>
      </c>
      <c r="L87" s="1" t="s">
        <v>99</v>
      </c>
      <c r="V87" s="20">
        <v>6658266</v>
      </c>
      <c r="X87" s="20">
        <v>1132880</v>
      </c>
      <c r="Y87" s="20">
        <v>156000</v>
      </c>
      <c r="Z87" s="20">
        <v>1831080</v>
      </c>
      <c r="AA87" s="20">
        <v>4725024</v>
      </c>
      <c r="AB87" s="20">
        <v>14503250</v>
      </c>
      <c r="AL87" s="20">
        <v>7054716</v>
      </c>
      <c r="AM87" s="20">
        <v>408384</v>
      </c>
      <c r="AO87" s="20">
        <v>277680</v>
      </c>
      <c r="AP87" s="20">
        <v>2760500</v>
      </c>
      <c r="AQ87" s="20">
        <v>5356800</v>
      </c>
      <c r="AR87" s="20">
        <v>15858080</v>
      </c>
      <c r="BB87" s="20">
        <v>5349720</v>
      </c>
      <c r="BC87" s="20">
        <v>399408</v>
      </c>
      <c r="BE87" s="28">
        <v>384800</v>
      </c>
      <c r="BF87" s="28">
        <v>582940</v>
      </c>
      <c r="BG87" s="28">
        <v>6603648</v>
      </c>
      <c r="BH87" s="28">
        <v>13320516</v>
      </c>
      <c r="BI87" s="28">
        <v>43681846</v>
      </c>
    </row>
    <row r="88" spans="1:61" x14ac:dyDescent="0.3">
      <c r="A88" s="1" t="s">
        <v>114</v>
      </c>
      <c r="B88" s="1" t="s">
        <v>107</v>
      </c>
      <c r="C88" s="1" t="s">
        <v>255</v>
      </c>
      <c r="D88" s="1" t="s">
        <v>246</v>
      </c>
      <c r="E88" s="1" t="s">
        <v>255</v>
      </c>
      <c r="F88" s="1" t="s">
        <v>246</v>
      </c>
      <c r="G88" s="1" t="s">
        <v>286</v>
      </c>
      <c r="H88" s="1" t="s">
        <v>287</v>
      </c>
      <c r="I88" s="1" t="s">
        <v>107</v>
      </c>
      <c r="J88" s="1" t="s">
        <v>117</v>
      </c>
      <c r="K88" s="1" t="s">
        <v>118</v>
      </c>
      <c r="L88" s="1" t="s">
        <v>99</v>
      </c>
      <c r="V88" s="20">
        <v>5821206</v>
      </c>
      <c r="X88" s="20">
        <v>350880</v>
      </c>
      <c r="Y88" s="20">
        <v>156000</v>
      </c>
      <c r="Z88" s="20">
        <v>1900940</v>
      </c>
      <c r="AA88" s="20">
        <v>4248768</v>
      </c>
      <c r="AB88" s="20">
        <v>12477794</v>
      </c>
      <c r="AL88" s="20">
        <v>3855024</v>
      </c>
      <c r="AN88" s="20">
        <v>815136</v>
      </c>
      <c r="AO88" s="20">
        <v>138840</v>
      </c>
      <c r="AP88" s="20">
        <v>3515830</v>
      </c>
      <c r="AQ88" s="20">
        <v>3986400</v>
      </c>
      <c r="AR88" s="20">
        <v>12311230</v>
      </c>
      <c r="BB88" s="20">
        <v>3534034</v>
      </c>
      <c r="BC88" s="20">
        <v>1400460</v>
      </c>
      <c r="BD88" s="28">
        <v>1122000</v>
      </c>
      <c r="BE88" s="28">
        <v>384800</v>
      </c>
      <c r="BF88" s="28">
        <v>1748300</v>
      </c>
      <c r="BG88" s="28">
        <v>6056448</v>
      </c>
      <c r="BH88" s="28">
        <v>14246042</v>
      </c>
      <c r="BI88" s="28">
        <v>39035066</v>
      </c>
    </row>
    <row r="89" spans="1:61" x14ac:dyDescent="0.3">
      <c r="A89" s="1" t="s">
        <v>114</v>
      </c>
      <c r="B89" s="1" t="s">
        <v>107</v>
      </c>
      <c r="C89" s="1" t="s">
        <v>255</v>
      </c>
      <c r="D89" s="1" t="s">
        <v>246</v>
      </c>
      <c r="E89" s="1" t="s">
        <v>255</v>
      </c>
      <c r="F89" s="1" t="s">
        <v>246</v>
      </c>
      <c r="G89" s="1" t="s">
        <v>288</v>
      </c>
      <c r="H89" s="1" t="s">
        <v>289</v>
      </c>
      <c r="I89" s="1" t="s">
        <v>107</v>
      </c>
      <c r="J89" s="1" t="s">
        <v>117</v>
      </c>
      <c r="K89" s="1" t="s">
        <v>118</v>
      </c>
      <c r="L89" s="1" t="s">
        <v>99</v>
      </c>
      <c r="V89" s="20">
        <v>1583352</v>
      </c>
      <c r="X89" s="20">
        <v>374000</v>
      </c>
      <c r="Z89" s="20">
        <v>1869240</v>
      </c>
      <c r="AA89" s="20">
        <v>2597568</v>
      </c>
      <c r="AB89" s="20">
        <v>6424160</v>
      </c>
      <c r="AL89" s="20">
        <v>6087074</v>
      </c>
      <c r="AM89" s="20">
        <v>408384</v>
      </c>
      <c r="AN89" s="20">
        <v>815136</v>
      </c>
      <c r="AO89" s="20">
        <v>138840</v>
      </c>
      <c r="AP89" s="20">
        <v>3539440</v>
      </c>
      <c r="AQ89" s="20">
        <v>4296000</v>
      </c>
      <c r="AR89" s="20">
        <v>15284874</v>
      </c>
      <c r="BB89" s="20">
        <v>2271420</v>
      </c>
      <c r="BD89" s="28">
        <v>468000</v>
      </c>
      <c r="BE89" s="28">
        <v>156000</v>
      </c>
      <c r="BF89" s="28">
        <v>1695440</v>
      </c>
      <c r="BG89" s="28">
        <v>1920000</v>
      </c>
      <c r="BH89" s="28">
        <v>6510860</v>
      </c>
      <c r="BI89" s="28">
        <v>28219894</v>
      </c>
    </row>
    <row r="90" spans="1:61" x14ac:dyDescent="0.3">
      <c r="A90" s="1" t="s">
        <v>114</v>
      </c>
      <c r="B90" s="1" t="s">
        <v>107</v>
      </c>
      <c r="C90" s="1" t="s">
        <v>255</v>
      </c>
      <c r="D90" s="1" t="s">
        <v>246</v>
      </c>
      <c r="E90" s="1" t="s">
        <v>255</v>
      </c>
      <c r="F90" s="1" t="s">
        <v>246</v>
      </c>
      <c r="G90" s="1" t="s">
        <v>290</v>
      </c>
      <c r="H90" s="1" t="s">
        <v>291</v>
      </c>
      <c r="I90" s="1" t="s">
        <v>107</v>
      </c>
      <c r="J90" s="1" t="s">
        <v>117</v>
      </c>
      <c r="K90" s="1" t="s">
        <v>118</v>
      </c>
      <c r="L90" s="1" t="s">
        <v>99</v>
      </c>
      <c r="V90" s="20">
        <v>10424180</v>
      </c>
      <c r="W90" s="20">
        <v>816768</v>
      </c>
      <c r="Y90" s="20">
        <v>1784456</v>
      </c>
      <c r="Z90" s="20">
        <v>3103080</v>
      </c>
      <c r="AA90" s="20">
        <v>9013824</v>
      </c>
      <c r="AB90" s="20">
        <v>25142308</v>
      </c>
      <c r="AL90" s="20">
        <v>12247526</v>
      </c>
      <c r="AN90" s="20">
        <v>1224000</v>
      </c>
      <c r="AO90" s="20">
        <v>1688688</v>
      </c>
      <c r="AP90" s="20">
        <v>5177546</v>
      </c>
      <c r="AQ90" s="20">
        <v>11359200</v>
      </c>
      <c r="AR90" s="20">
        <v>31696960</v>
      </c>
      <c r="BB90" s="20">
        <v>12091542</v>
      </c>
      <c r="BC90" s="20">
        <v>762360</v>
      </c>
      <c r="BD90" s="28">
        <v>429000</v>
      </c>
      <c r="BF90" s="28">
        <v>3134040</v>
      </c>
      <c r="BG90" s="28">
        <v>6783888</v>
      </c>
      <c r="BH90" s="28">
        <v>23200830</v>
      </c>
      <c r="BI90" s="28">
        <v>80040098</v>
      </c>
    </row>
    <row r="91" spans="1:61" x14ac:dyDescent="0.3">
      <c r="A91" s="1" t="s">
        <v>114</v>
      </c>
      <c r="B91" s="1" t="s">
        <v>107</v>
      </c>
      <c r="C91" s="1" t="s">
        <v>255</v>
      </c>
      <c r="D91" s="1" t="s">
        <v>246</v>
      </c>
      <c r="E91" s="1" t="s">
        <v>255</v>
      </c>
      <c r="F91" s="1" t="s">
        <v>246</v>
      </c>
      <c r="G91" s="1" t="s">
        <v>292</v>
      </c>
      <c r="H91" s="1" t="s">
        <v>293</v>
      </c>
      <c r="I91" s="1" t="s">
        <v>107</v>
      </c>
      <c r="J91" s="1" t="s">
        <v>117</v>
      </c>
      <c r="K91" s="1" t="s">
        <v>118</v>
      </c>
      <c r="L91" s="1" t="s">
        <v>99</v>
      </c>
      <c r="V91" s="20">
        <v>10098890</v>
      </c>
      <c r="W91" s="20">
        <v>448800</v>
      </c>
      <c r="X91" s="20">
        <v>350880</v>
      </c>
      <c r="Y91" s="20">
        <v>1168008</v>
      </c>
      <c r="Z91" s="20">
        <v>3602340</v>
      </c>
      <c r="AA91" s="20">
        <v>6090624</v>
      </c>
      <c r="AB91" s="20">
        <v>21759542</v>
      </c>
      <c r="AL91" s="20">
        <v>7233168</v>
      </c>
      <c r="AN91" s="20">
        <v>1190000</v>
      </c>
      <c r="AO91" s="20">
        <v>764608</v>
      </c>
      <c r="AP91" s="20">
        <v>5113800</v>
      </c>
      <c r="AQ91" s="20">
        <v>8873664</v>
      </c>
      <c r="AR91" s="20">
        <v>23175240</v>
      </c>
      <c r="BB91" s="20">
        <v>10922128</v>
      </c>
      <c r="BC91" s="20">
        <v>1285176</v>
      </c>
      <c r="BD91" s="28">
        <v>2014000</v>
      </c>
      <c r="BE91" s="28">
        <v>156000</v>
      </c>
      <c r="BF91" s="28">
        <v>2705340</v>
      </c>
      <c r="BG91" s="28">
        <v>5030592</v>
      </c>
      <c r="BH91" s="28">
        <v>22113236</v>
      </c>
      <c r="BI91" s="28">
        <v>67048018</v>
      </c>
    </row>
    <row r="92" spans="1:61" x14ac:dyDescent="0.3">
      <c r="A92" s="1" t="s">
        <v>114</v>
      </c>
      <c r="B92" s="1" t="s">
        <v>107</v>
      </c>
      <c r="C92" s="1" t="s">
        <v>255</v>
      </c>
      <c r="D92" s="1" t="s">
        <v>246</v>
      </c>
      <c r="E92" s="1" t="s">
        <v>255</v>
      </c>
      <c r="F92" s="1" t="s">
        <v>246</v>
      </c>
      <c r="G92" s="1" t="s">
        <v>294</v>
      </c>
      <c r="H92" s="1" t="s">
        <v>295</v>
      </c>
      <c r="I92" s="1" t="s">
        <v>107</v>
      </c>
      <c r="J92" s="1" t="s">
        <v>117</v>
      </c>
      <c r="K92" s="1" t="s">
        <v>118</v>
      </c>
      <c r="L92" s="1" t="s">
        <v>99</v>
      </c>
      <c r="V92" s="20">
        <v>3807800</v>
      </c>
      <c r="W92" s="20">
        <v>408384</v>
      </c>
      <c r="X92" s="20">
        <v>350880</v>
      </c>
      <c r="Y92" s="20">
        <v>294840</v>
      </c>
      <c r="Z92" s="20">
        <v>2638300</v>
      </c>
      <c r="AA92" s="20">
        <v>4948512</v>
      </c>
      <c r="AB92" s="20">
        <v>12448716</v>
      </c>
      <c r="AL92" s="20">
        <v>3301488</v>
      </c>
      <c r="AN92" s="20">
        <v>408000</v>
      </c>
      <c r="AO92" s="20">
        <v>294840</v>
      </c>
      <c r="AP92" s="20">
        <v>2384100</v>
      </c>
      <c r="AQ92" s="20">
        <v>1828800</v>
      </c>
      <c r="AR92" s="20">
        <v>8217228</v>
      </c>
      <c r="BB92" s="20">
        <v>2092344</v>
      </c>
      <c r="BF92" s="28">
        <v>2308000</v>
      </c>
      <c r="BG92" s="28">
        <v>4687200</v>
      </c>
      <c r="BH92" s="28">
        <v>9087544</v>
      </c>
      <c r="BI92" s="28">
        <v>29753488</v>
      </c>
    </row>
    <row r="93" spans="1:61" x14ac:dyDescent="0.3">
      <c r="A93" s="1" t="s">
        <v>114</v>
      </c>
      <c r="B93" s="1" t="s">
        <v>107</v>
      </c>
      <c r="C93" s="1" t="s">
        <v>255</v>
      </c>
      <c r="D93" s="1" t="s">
        <v>246</v>
      </c>
      <c r="E93" s="1" t="s">
        <v>255</v>
      </c>
      <c r="F93" s="1" t="s">
        <v>246</v>
      </c>
      <c r="G93" s="1" t="s">
        <v>296</v>
      </c>
      <c r="H93" s="1" t="s">
        <v>297</v>
      </c>
      <c r="I93" s="1" t="s">
        <v>107</v>
      </c>
      <c r="J93" s="1" t="s">
        <v>117</v>
      </c>
      <c r="K93" s="1" t="s">
        <v>118</v>
      </c>
      <c r="L93" s="1" t="s">
        <v>99</v>
      </c>
      <c r="V93" s="20">
        <v>10769948</v>
      </c>
      <c r="Y93" s="20">
        <v>294840</v>
      </c>
      <c r="Z93" s="20">
        <v>3820760</v>
      </c>
      <c r="AA93" s="20">
        <v>7504368</v>
      </c>
      <c r="AB93" s="20">
        <v>22389916</v>
      </c>
      <c r="AL93" s="20">
        <v>15071196</v>
      </c>
      <c r="AN93" s="20">
        <v>408000</v>
      </c>
      <c r="AO93" s="20">
        <v>277680</v>
      </c>
      <c r="AP93" s="20">
        <v>6334740</v>
      </c>
      <c r="AQ93" s="20">
        <v>12436800</v>
      </c>
      <c r="AR93" s="20">
        <v>34528416</v>
      </c>
      <c r="BB93" s="20">
        <v>8905030</v>
      </c>
      <c r="BC93" s="20">
        <v>1001052</v>
      </c>
      <c r="BD93" s="28">
        <v>1619000</v>
      </c>
      <c r="BF93" s="28">
        <v>3048780</v>
      </c>
      <c r="BG93" s="28">
        <v>5670528</v>
      </c>
      <c r="BH93" s="28">
        <v>20244390</v>
      </c>
      <c r="BI93" s="28">
        <v>77162722</v>
      </c>
    </row>
    <row r="94" spans="1:61" x14ac:dyDescent="0.3">
      <c r="A94" s="1" t="s">
        <v>114</v>
      </c>
      <c r="B94" s="1" t="s">
        <v>107</v>
      </c>
      <c r="C94" s="1" t="s">
        <v>255</v>
      </c>
      <c r="D94" s="1" t="s">
        <v>246</v>
      </c>
      <c r="E94" s="1" t="s">
        <v>255</v>
      </c>
      <c r="F94" s="1" t="s">
        <v>246</v>
      </c>
      <c r="G94" s="1" t="s">
        <v>298</v>
      </c>
      <c r="H94" s="1" t="s">
        <v>299</v>
      </c>
      <c r="I94" s="1" t="s">
        <v>107</v>
      </c>
      <c r="J94" s="1" t="s">
        <v>117</v>
      </c>
      <c r="K94" s="1" t="s">
        <v>118</v>
      </c>
      <c r="L94" s="1" t="s">
        <v>99</v>
      </c>
      <c r="V94" s="20">
        <v>6303000</v>
      </c>
      <c r="X94" s="20">
        <v>350880</v>
      </c>
      <c r="Y94" s="20">
        <v>572520</v>
      </c>
      <c r="Z94" s="20">
        <v>2606600</v>
      </c>
      <c r="AA94" s="20">
        <v>3918912</v>
      </c>
      <c r="AB94" s="20">
        <v>13751912</v>
      </c>
      <c r="AL94" s="20">
        <v>7213368</v>
      </c>
      <c r="AP94" s="20">
        <v>2404700</v>
      </c>
      <c r="AQ94" s="20">
        <v>3028800</v>
      </c>
      <c r="AR94" s="20">
        <v>12646868</v>
      </c>
      <c r="BB94" s="20">
        <v>979800</v>
      </c>
      <c r="BE94" s="28">
        <v>312000</v>
      </c>
      <c r="BF94" s="28">
        <v>604100</v>
      </c>
      <c r="BG94" s="28">
        <v>2515200</v>
      </c>
      <c r="BH94" s="28">
        <v>4411100</v>
      </c>
      <c r="BI94" s="28">
        <v>30809880</v>
      </c>
    </row>
    <row r="95" spans="1:61" x14ac:dyDescent="0.3">
      <c r="A95" s="1" t="s">
        <v>114</v>
      </c>
      <c r="B95" s="1" t="s">
        <v>107</v>
      </c>
      <c r="C95" s="1" t="s">
        <v>255</v>
      </c>
      <c r="D95" s="1" t="s">
        <v>246</v>
      </c>
      <c r="E95" s="1" t="s">
        <v>255</v>
      </c>
      <c r="F95" s="1" t="s">
        <v>246</v>
      </c>
      <c r="G95" s="1" t="s">
        <v>300</v>
      </c>
      <c r="H95" s="1" t="s">
        <v>301</v>
      </c>
      <c r="I95" s="1" t="s">
        <v>107</v>
      </c>
      <c r="J95" s="1" t="s">
        <v>117</v>
      </c>
      <c r="K95" s="1" t="s">
        <v>118</v>
      </c>
      <c r="L95" s="1" t="s">
        <v>99</v>
      </c>
      <c r="V95" s="20">
        <v>5987840</v>
      </c>
      <c r="Y95" s="20">
        <v>1042400</v>
      </c>
      <c r="Z95" s="20">
        <v>2467280</v>
      </c>
      <c r="AA95" s="20">
        <v>5690880</v>
      </c>
      <c r="AB95" s="20">
        <v>15188400</v>
      </c>
      <c r="AL95" s="20">
        <v>9504552</v>
      </c>
      <c r="AN95" s="20">
        <v>408000</v>
      </c>
      <c r="AO95" s="20">
        <v>550240</v>
      </c>
      <c r="AP95" s="20">
        <v>5782812</v>
      </c>
      <c r="AQ95" s="20">
        <v>9745632</v>
      </c>
      <c r="AR95" s="20">
        <v>25991236</v>
      </c>
      <c r="BB95" s="20">
        <v>9181952</v>
      </c>
      <c r="BD95" s="28">
        <v>429000</v>
      </c>
      <c r="BF95" s="28">
        <v>2095740</v>
      </c>
      <c r="BG95" s="28">
        <v>7151472</v>
      </c>
      <c r="BH95" s="28">
        <v>18858164</v>
      </c>
      <c r="BI95" s="28">
        <v>60037800</v>
      </c>
    </row>
    <row r="96" spans="1:61" x14ac:dyDescent="0.3">
      <c r="A96" s="1" t="s">
        <v>114</v>
      </c>
      <c r="B96" s="1" t="s">
        <v>107</v>
      </c>
      <c r="C96" s="1" t="s">
        <v>255</v>
      </c>
      <c r="D96" s="1" t="s">
        <v>246</v>
      </c>
      <c r="E96" s="1" t="s">
        <v>255</v>
      </c>
      <c r="F96" s="1" t="s">
        <v>246</v>
      </c>
      <c r="G96" s="1" t="s">
        <v>302</v>
      </c>
      <c r="H96" s="1" t="s">
        <v>303</v>
      </c>
      <c r="I96" s="1" t="s">
        <v>107</v>
      </c>
      <c r="J96" s="1" t="s">
        <v>117</v>
      </c>
      <c r="K96" s="1" t="s">
        <v>118</v>
      </c>
      <c r="L96" s="1" t="s">
        <v>99</v>
      </c>
      <c r="V96" s="20">
        <v>7715126</v>
      </c>
      <c r="X96" s="20">
        <v>350880</v>
      </c>
      <c r="Y96" s="20">
        <v>523640</v>
      </c>
      <c r="Z96" s="20">
        <v>1455940</v>
      </c>
      <c r="AA96" s="20">
        <v>4245312</v>
      </c>
      <c r="AB96" s="20">
        <v>14290898</v>
      </c>
      <c r="AL96" s="20">
        <v>8164916</v>
      </c>
      <c r="AM96" s="20">
        <v>408384</v>
      </c>
      <c r="AN96" s="20">
        <v>408000</v>
      </c>
      <c r="AP96" s="20">
        <v>3146740</v>
      </c>
      <c r="AQ96" s="20">
        <v>3837600</v>
      </c>
      <c r="AR96" s="20">
        <v>15965640</v>
      </c>
      <c r="BB96" s="20">
        <v>2659700</v>
      </c>
      <c r="BD96" s="28">
        <v>803000</v>
      </c>
      <c r="BE96" s="28">
        <v>384800</v>
      </c>
      <c r="BF96" s="28">
        <v>1320300</v>
      </c>
      <c r="BG96" s="28">
        <v>4038528</v>
      </c>
      <c r="BH96" s="28">
        <v>9206328</v>
      </c>
      <c r="BI96" s="28">
        <v>39462866</v>
      </c>
    </row>
    <row r="97" spans="1:61" x14ac:dyDescent="0.3">
      <c r="A97" s="1" t="s">
        <v>114</v>
      </c>
      <c r="B97" s="1" t="s">
        <v>107</v>
      </c>
      <c r="C97" s="1" t="s">
        <v>255</v>
      </c>
      <c r="D97" s="1" t="s">
        <v>246</v>
      </c>
      <c r="E97" s="1" t="s">
        <v>255</v>
      </c>
      <c r="F97" s="1" t="s">
        <v>246</v>
      </c>
      <c r="G97" s="1" t="s">
        <v>304</v>
      </c>
      <c r="H97" s="1" t="s">
        <v>305</v>
      </c>
      <c r="I97" s="1" t="s">
        <v>107</v>
      </c>
      <c r="J97" s="1" t="s">
        <v>117</v>
      </c>
      <c r="K97" s="1" t="s">
        <v>118</v>
      </c>
      <c r="L97" s="1" t="s">
        <v>99</v>
      </c>
      <c r="V97" s="20">
        <v>10646516</v>
      </c>
      <c r="W97" s="20">
        <v>1225152</v>
      </c>
      <c r="Y97" s="20">
        <v>294840</v>
      </c>
      <c r="Z97" s="20">
        <v>3322900</v>
      </c>
      <c r="AA97" s="20">
        <v>6825024</v>
      </c>
      <c r="AB97" s="20">
        <v>22314432</v>
      </c>
      <c r="AL97" s="20">
        <v>5310840</v>
      </c>
      <c r="AM97" s="20">
        <v>1371168</v>
      </c>
      <c r="AO97" s="20">
        <v>138840</v>
      </c>
      <c r="AP97" s="20">
        <v>4516796</v>
      </c>
      <c r="AQ97" s="20">
        <v>9209664</v>
      </c>
      <c r="AR97" s="20">
        <v>20547308</v>
      </c>
      <c r="BB97" s="20">
        <v>7642052</v>
      </c>
      <c r="BC97" s="20">
        <v>807792</v>
      </c>
      <c r="BD97" s="28">
        <v>803000</v>
      </c>
      <c r="BE97" s="28">
        <v>156000</v>
      </c>
      <c r="BF97" s="28">
        <v>1854540</v>
      </c>
      <c r="BG97" s="28">
        <v>6455952</v>
      </c>
      <c r="BH97" s="28">
        <v>17719336</v>
      </c>
      <c r="BI97" s="28">
        <v>60581076</v>
      </c>
    </row>
    <row r="98" spans="1:61" x14ac:dyDescent="0.3">
      <c r="A98" s="1" t="s">
        <v>114</v>
      </c>
      <c r="B98" s="1" t="s">
        <v>107</v>
      </c>
      <c r="C98" s="1" t="s">
        <v>255</v>
      </c>
      <c r="D98" s="1" t="s">
        <v>246</v>
      </c>
      <c r="E98" s="1" t="s">
        <v>255</v>
      </c>
      <c r="F98" s="1" t="s">
        <v>246</v>
      </c>
      <c r="G98" s="1" t="s">
        <v>306</v>
      </c>
      <c r="H98" s="1" t="s">
        <v>307</v>
      </c>
      <c r="I98" s="1" t="s">
        <v>107</v>
      </c>
      <c r="J98" s="1" t="s">
        <v>117</v>
      </c>
      <c r="K98" s="1" t="s">
        <v>118</v>
      </c>
      <c r="L98" s="1" t="s">
        <v>99</v>
      </c>
      <c r="V98" s="20">
        <v>2504888</v>
      </c>
      <c r="W98" s="20">
        <v>408384</v>
      </c>
      <c r="X98" s="20">
        <v>758880</v>
      </c>
      <c r="Y98" s="20">
        <v>138840</v>
      </c>
      <c r="Z98" s="20">
        <v>2123440</v>
      </c>
      <c r="AA98" s="20">
        <v>1744512</v>
      </c>
      <c r="AB98" s="20">
        <v>7678944</v>
      </c>
      <c r="AL98" s="20">
        <v>2515452</v>
      </c>
      <c r="AM98" s="20">
        <v>408384</v>
      </c>
      <c r="AN98" s="20">
        <v>407136</v>
      </c>
      <c r="AO98" s="20">
        <v>433680</v>
      </c>
      <c r="AP98" s="20">
        <v>3571140</v>
      </c>
      <c r="AQ98" s="20">
        <v>4761600</v>
      </c>
      <c r="AR98" s="20">
        <v>12097392</v>
      </c>
      <c r="BB98" s="20">
        <v>4338288</v>
      </c>
      <c r="BC98" s="20">
        <v>238692</v>
      </c>
      <c r="BD98" s="28">
        <v>748000</v>
      </c>
      <c r="BE98" s="28">
        <v>156000</v>
      </c>
      <c r="BF98" s="28">
        <v>2077040</v>
      </c>
      <c r="BG98" s="28">
        <v>2044128</v>
      </c>
      <c r="BH98" s="28">
        <v>9602148</v>
      </c>
      <c r="BI98" s="28">
        <v>29378484</v>
      </c>
    </row>
    <row r="99" spans="1:61" x14ac:dyDescent="0.3">
      <c r="A99" s="1" t="s">
        <v>114</v>
      </c>
      <c r="B99" s="1" t="s">
        <v>107</v>
      </c>
      <c r="C99" s="1" t="s">
        <v>255</v>
      </c>
      <c r="D99" s="1" t="s">
        <v>246</v>
      </c>
      <c r="E99" s="1" t="s">
        <v>255</v>
      </c>
      <c r="F99" s="1" t="s">
        <v>246</v>
      </c>
      <c r="G99" s="1" t="s">
        <v>308</v>
      </c>
      <c r="H99" s="1" t="s">
        <v>309</v>
      </c>
      <c r="I99" s="1" t="s">
        <v>107</v>
      </c>
      <c r="J99" s="1" t="s">
        <v>117</v>
      </c>
      <c r="K99" s="1" t="s">
        <v>118</v>
      </c>
      <c r="L99" s="1" t="s">
        <v>99</v>
      </c>
      <c r="V99" s="20">
        <v>4618152</v>
      </c>
      <c r="W99" s="20">
        <v>408384</v>
      </c>
      <c r="X99" s="20">
        <v>350880</v>
      </c>
      <c r="Y99" s="20">
        <v>138840</v>
      </c>
      <c r="Z99" s="20">
        <v>1970800</v>
      </c>
      <c r="AA99" s="20">
        <v>4547712</v>
      </c>
      <c r="AB99" s="20">
        <v>12034768</v>
      </c>
      <c r="AL99" s="20">
        <v>5764404</v>
      </c>
      <c r="AM99" s="20">
        <v>408384</v>
      </c>
      <c r="AN99" s="20">
        <v>408000</v>
      </c>
      <c r="AO99" s="20">
        <v>294840</v>
      </c>
      <c r="AP99" s="20">
        <v>2128300</v>
      </c>
      <c r="AQ99" s="20">
        <v>5143200</v>
      </c>
      <c r="AR99" s="20">
        <v>14147128</v>
      </c>
      <c r="BB99" s="20">
        <v>4271040</v>
      </c>
      <c r="BE99" s="28">
        <v>156000</v>
      </c>
      <c r="BF99" s="28">
        <v>2923200</v>
      </c>
      <c r="BG99" s="28">
        <v>6732864</v>
      </c>
      <c r="BH99" s="28">
        <v>14083104</v>
      </c>
      <c r="BI99" s="28">
        <v>40265000</v>
      </c>
    </row>
    <row r="100" spans="1:61" x14ac:dyDescent="0.3">
      <c r="A100" s="1" t="s">
        <v>114</v>
      </c>
      <c r="B100" s="1" t="s">
        <v>107</v>
      </c>
      <c r="C100" s="1" t="s">
        <v>255</v>
      </c>
      <c r="D100" s="1" t="s">
        <v>246</v>
      </c>
      <c r="E100" s="1" t="s">
        <v>255</v>
      </c>
      <c r="F100" s="1" t="s">
        <v>246</v>
      </c>
      <c r="G100" s="1" t="s">
        <v>310</v>
      </c>
      <c r="H100" s="1" t="s">
        <v>311</v>
      </c>
      <c r="I100" s="1" t="s">
        <v>107</v>
      </c>
      <c r="J100" s="1" t="s">
        <v>117</v>
      </c>
      <c r="K100" s="1" t="s">
        <v>118</v>
      </c>
      <c r="L100" s="1" t="s">
        <v>99</v>
      </c>
      <c r="V100" s="20">
        <v>5465268</v>
      </c>
      <c r="X100" s="20">
        <v>350880</v>
      </c>
      <c r="Z100" s="20">
        <v>1576880</v>
      </c>
      <c r="AA100" s="20">
        <v>2216256</v>
      </c>
      <c r="AB100" s="20">
        <v>9609284</v>
      </c>
      <c r="AL100" s="20">
        <v>1975694</v>
      </c>
      <c r="AO100" s="20">
        <v>156000</v>
      </c>
      <c r="AP100" s="20">
        <v>652800</v>
      </c>
      <c r="AQ100" s="20">
        <v>1200000</v>
      </c>
      <c r="AR100" s="20">
        <v>3984494</v>
      </c>
      <c r="BI100" s="28">
        <v>13593778</v>
      </c>
    </row>
    <row r="101" spans="1:61" x14ac:dyDescent="0.3">
      <c r="A101" s="1" t="s">
        <v>114</v>
      </c>
      <c r="B101" s="1" t="s">
        <v>107</v>
      </c>
      <c r="C101" s="1" t="s">
        <v>255</v>
      </c>
      <c r="D101" s="1" t="s">
        <v>246</v>
      </c>
      <c r="E101" s="1" t="s">
        <v>255</v>
      </c>
      <c r="F101" s="1" t="s">
        <v>246</v>
      </c>
      <c r="G101" s="1" t="s">
        <v>312</v>
      </c>
      <c r="H101" s="1" t="s">
        <v>313</v>
      </c>
      <c r="I101" s="1" t="s">
        <v>107</v>
      </c>
      <c r="J101" s="1" t="s">
        <v>117</v>
      </c>
      <c r="K101" s="1" t="s">
        <v>118</v>
      </c>
      <c r="L101" s="1" t="s">
        <v>99</v>
      </c>
      <c r="V101" s="20">
        <v>7955264</v>
      </c>
      <c r="Y101" s="20">
        <v>261600</v>
      </c>
      <c r="Z101" s="20">
        <v>2070080</v>
      </c>
      <c r="AA101" s="20">
        <v>3937488</v>
      </c>
      <c r="AB101" s="20">
        <v>14224432</v>
      </c>
      <c r="AL101" s="20">
        <v>5600100</v>
      </c>
      <c r="AM101" s="20">
        <v>962784</v>
      </c>
      <c r="AO101" s="20">
        <v>1158064</v>
      </c>
      <c r="AP101" s="20">
        <v>3532916</v>
      </c>
      <c r="AQ101" s="20">
        <v>6807264</v>
      </c>
      <c r="AR101" s="20">
        <v>18061128</v>
      </c>
      <c r="BB101" s="20">
        <v>6911312</v>
      </c>
      <c r="BD101" s="28">
        <v>2490000</v>
      </c>
      <c r="BF101" s="28">
        <v>565940</v>
      </c>
      <c r="BG101" s="28">
        <v>3471024</v>
      </c>
      <c r="BH101" s="28">
        <v>13438276</v>
      </c>
      <c r="BI101" s="28">
        <v>45723836</v>
      </c>
    </row>
    <row r="102" spans="1:61" x14ac:dyDescent="0.3">
      <c r="A102" s="1" t="s">
        <v>114</v>
      </c>
      <c r="B102" s="1" t="s">
        <v>107</v>
      </c>
      <c r="C102" s="1" t="s">
        <v>255</v>
      </c>
      <c r="D102" s="1" t="s">
        <v>246</v>
      </c>
      <c r="E102" s="1" t="s">
        <v>255</v>
      </c>
      <c r="F102" s="1" t="s">
        <v>246</v>
      </c>
      <c r="G102" s="1" t="s">
        <v>314</v>
      </c>
      <c r="H102" s="1" t="s">
        <v>315</v>
      </c>
      <c r="I102" s="1" t="s">
        <v>107</v>
      </c>
      <c r="J102" s="1" t="s">
        <v>117</v>
      </c>
      <c r="K102" s="1" t="s">
        <v>118</v>
      </c>
      <c r="L102" s="1" t="s">
        <v>99</v>
      </c>
      <c r="V102" s="20">
        <v>9993020</v>
      </c>
      <c r="X102" s="20">
        <v>350880</v>
      </c>
      <c r="Y102" s="20">
        <v>277680</v>
      </c>
      <c r="Z102" s="20">
        <v>5926700</v>
      </c>
      <c r="AA102" s="20">
        <v>7454544</v>
      </c>
      <c r="AB102" s="20">
        <v>24002824</v>
      </c>
      <c r="AL102" s="20">
        <v>6351072</v>
      </c>
      <c r="AN102" s="20">
        <v>374000</v>
      </c>
      <c r="AO102" s="20">
        <v>728520</v>
      </c>
      <c r="AP102" s="20">
        <v>2954900</v>
      </c>
      <c r="AQ102" s="20">
        <v>4238400</v>
      </c>
      <c r="AR102" s="20">
        <v>14646892</v>
      </c>
      <c r="BB102" s="20">
        <v>4823968</v>
      </c>
      <c r="BC102" s="20">
        <v>399408</v>
      </c>
      <c r="BD102" s="28">
        <v>782000</v>
      </c>
      <c r="BE102" s="28">
        <v>468000</v>
      </c>
      <c r="BF102" s="28">
        <v>2824680</v>
      </c>
      <c r="BG102" s="28">
        <v>5950464</v>
      </c>
      <c r="BH102" s="28">
        <v>15248520</v>
      </c>
      <c r="BI102" s="28">
        <v>53898236</v>
      </c>
    </row>
    <row r="103" spans="1:61" x14ac:dyDescent="0.3">
      <c r="A103" s="1" t="s">
        <v>114</v>
      </c>
      <c r="B103" s="1" t="s">
        <v>107</v>
      </c>
      <c r="C103" s="1" t="s">
        <v>255</v>
      </c>
      <c r="D103" s="1" t="s">
        <v>246</v>
      </c>
      <c r="E103" s="1" t="s">
        <v>255</v>
      </c>
      <c r="F103" s="1" t="s">
        <v>246</v>
      </c>
      <c r="G103" s="1" t="s">
        <v>316</v>
      </c>
      <c r="H103" s="1" t="s">
        <v>317</v>
      </c>
      <c r="I103" s="1" t="s">
        <v>107</v>
      </c>
      <c r="J103" s="1" t="s">
        <v>117</v>
      </c>
      <c r="K103" s="1" t="s">
        <v>118</v>
      </c>
      <c r="L103" s="1" t="s">
        <v>99</v>
      </c>
      <c r="V103" s="20">
        <v>6078410</v>
      </c>
      <c r="W103" s="20">
        <v>408384</v>
      </c>
      <c r="Y103" s="20">
        <v>156000</v>
      </c>
      <c r="Z103" s="20">
        <v>2276080</v>
      </c>
      <c r="AA103" s="20">
        <v>6062256</v>
      </c>
      <c r="AB103" s="20">
        <v>14981130</v>
      </c>
      <c r="AL103" s="20">
        <v>5516568</v>
      </c>
      <c r="AM103" s="20">
        <v>408384</v>
      </c>
      <c r="AN103" s="20">
        <v>815136</v>
      </c>
      <c r="AP103" s="20">
        <v>4222340</v>
      </c>
      <c r="AQ103" s="20">
        <v>8961600</v>
      </c>
      <c r="AR103" s="20">
        <v>19924028</v>
      </c>
      <c r="BB103" s="20">
        <v>8935538</v>
      </c>
      <c r="BC103" s="20">
        <v>1400460</v>
      </c>
      <c r="BD103" s="28">
        <v>748000</v>
      </c>
      <c r="BF103" s="28">
        <v>1835940</v>
      </c>
      <c r="BG103" s="28">
        <v>4867824</v>
      </c>
      <c r="BH103" s="28">
        <v>17787762</v>
      </c>
      <c r="BI103" s="28">
        <v>52692920</v>
      </c>
    </row>
    <row r="104" spans="1:61" x14ac:dyDescent="0.3">
      <c r="A104" s="1" t="s">
        <v>114</v>
      </c>
      <c r="B104" s="1" t="s">
        <v>107</v>
      </c>
      <c r="C104" s="1" t="s">
        <v>255</v>
      </c>
      <c r="D104" s="1" t="s">
        <v>246</v>
      </c>
      <c r="E104" s="1" t="s">
        <v>255</v>
      </c>
      <c r="F104" s="1" t="s">
        <v>246</v>
      </c>
      <c r="G104" s="1" t="s">
        <v>318</v>
      </c>
      <c r="H104" s="1" t="s">
        <v>319</v>
      </c>
      <c r="I104" s="1" t="s">
        <v>107</v>
      </c>
      <c r="J104" s="1" t="s">
        <v>117</v>
      </c>
      <c r="K104" s="1" t="s">
        <v>118</v>
      </c>
      <c r="L104" s="1" t="s">
        <v>99</v>
      </c>
      <c r="V104" s="20">
        <v>1562064</v>
      </c>
      <c r="X104" s="20">
        <v>374000</v>
      </c>
      <c r="Y104" s="20">
        <v>696800</v>
      </c>
      <c r="Z104" s="20">
        <v>1233440</v>
      </c>
      <c r="AA104" s="20">
        <v>1339968</v>
      </c>
      <c r="AB104" s="20">
        <v>5206272</v>
      </c>
      <c r="AL104" s="20">
        <v>2718480</v>
      </c>
      <c r="AO104" s="20">
        <v>277680</v>
      </c>
      <c r="AP104" s="20">
        <v>2777500</v>
      </c>
      <c r="AQ104" s="20">
        <v>3912000</v>
      </c>
      <c r="AR104" s="20">
        <v>9685660</v>
      </c>
      <c r="BB104" s="20">
        <v>3220044</v>
      </c>
      <c r="BD104" s="28">
        <v>816000</v>
      </c>
      <c r="BF104" s="28">
        <v>1233440</v>
      </c>
      <c r="BG104" s="28">
        <v>3195024</v>
      </c>
      <c r="BH104" s="28">
        <v>8464508</v>
      </c>
      <c r="BI104" s="28">
        <v>23356440</v>
      </c>
    </row>
    <row r="105" spans="1:61" x14ac:dyDescent="0.3">
      <c r="A105" s="1" t="s">
        <v>114</v>
      </c>
      <c r="B105" s="1" t="s">
        <v>107</v>
      </c>
      <c r="C105" s="1" t="s">
        <v>255</v>
      </c>
      <c r="D105" s="1" t="s">
        <v>246</v>
      </c>
      <c r="E105" s="1" t="s">
        <v>255</v>
      </c>
      <c r="F105" s="1" t="s">
        <v>246</v>
      </c>
      <c r="G105" s="1" t="s">
        <v>320</v>
      </c>
      <c r="H105" s="1" t="s">
        <v>321</v>
      </c>
      <c r="I105" s="1" t="s">
        <v>107</v>
      </c>
      <c r="J105" s="1" t="s">
        <v>117</v>
      </c>
      <c r="K105" s="1" t="s">
        <v>118</v>
      </c>
      <c r="L105" s="1" t="s">
        <v>99</v>
      </c>
      <c r="V105" s="20">
        <v>10042874</v>
      </c>
      <c r="W105" s="20">
        <v>816768</v>
      </c>
      <c r="Y105" s="20">
        <v>1919288</v>
      </c>
      <c r="Z105" s="20">
        <v>9325320</v>
      </c>
      <c r="AA105" s="20">
        <v>7766880</v>
      </c>
      <c r="AB105" s="20">
        <v>29871130</v>
      </c>
      <c r="AL105" s="20">
        <v>6877248</v>
      </c>
      <c r="AM105" s="20">
        <v>816768</v>
      </c>
      <c r="AN105" s="20">
        <v>374000</v>
      </c>
      <c r="AO105" s="20">
        <v>855288</v>
      </c>
      <c r="AP105" s="20">
        <v>6063996</v>
      </c>
      <c r="AQ105" s="20">
        <v>10673664</v>
      </c>
      <c r="AR105" s="20">
        <v>25660964</v>
      </c>
      <c r="BB105" s="20">
        <v>7678440</v>
      </c>
      <c r="BC105" s="20">
        <v>2629416</v>
      </c>
      <c r="BD105" s="28">
        <v>2435000</v>
      </c>
      <c r="BF105" s="28">
        <v>3903480</v>
      </c>
      <c r="BG105" s="28">
        <v>7857792</v>
      </c>
      <c r="BH105" s="28">
        <v>24504128</v>
      </c>
      <c r="BI105" s="28">
        <v>80036222</v>
      </c>
    </row>
    <row r="106" spans="1:61" x14ac:dyDescent="0.3">
      <c r="A106" s="1" t="s">
        <v>114</v>
      </c>
      <c r="B106" s="1" t="s">
        <v>107</v>
      </c>
      <c r="C106" s="1" t="s">
        <v>255</v>
      </c>
      <c r="D106" s="1" t="s">
        <v>246</v>
      </c>
      <c r="E106" s="1" t="s">
        <v>255</v>
      </c>
      <c r="F106" s="1" t="s">
        <v>246</v>
      </c>
      <c r="G106" s="1" t="s">
        <v>322</v>
      </c>
      <c r="H106" s="1" t="s">
        <v>323</v>
      </c>
      <c r="I106" s="1" t="s">
        <v>107</v>
      </c>
      <c r="J106" s="1" t="s">
        <v>117</v>
      </c>
      <c r="K106" s="1" t="s">
        <v>118</v>
      </c>
      <c r="L106" s="1" t="s">
        <v>99</v>
      </c>
      <c r="V106" s="20">
        <v>5775620</v>
      </c>
      <c r="X106" s="20">
        <v>350880</v>
      </c>
      <c r="Y106" s="20">
        <v>294840</v>
      </c>
      <c r="Z106" s="20">
        <v>1271600</v>
      </c>
      <c r="AA106" s="20">
        <v>2559456</v>
      </c>
      <c r="AB106" s="20">
        <v>10252396</v>
      </c>
      <c r="AL106" s="20">
        <v>1822200</v>
      </c>
      <c r="AM106" s="20">
        <v>408384</v>
      </c>
      <c r="AN106" s="20">
        <v>408000</v>
      </c>
      <c r="AO106" s="20">
        <v>277680</v>
      </c>
      <c r="AP106" s="20">
        <v>222500</v>
      </c>
      <c r="AQ106" s="20">
        <v>1322400</v>
      </c>
      <c r="AR106" s="20">
        <v>4461164</v>
      </c>
      <c r="BB106" s="20">
        <v>2029488</v>
      </c>
      <c r="BE106" s="28">
        <v>312000</v>
      </c>
      <c r="BF106" s="28">
        <v>413300</v>
      </c>
      <c r="BG106" s="28">
        <v>902160</v>
      </c>
      <c r="BH106" s="28">
        <v>3656948</v>
      </c>
      <c r="BI106" s="28">
        <v>18370508</v>
      </c>
    </row>
    <row r="107" spans="1:61" x14ac:dyDescent="0.3">
      <c r="A107" s="1" t="s">
        <v>114</v>
      </c>
      <c r="B107" s="1" t="s">
        <v>107</v>
      </c>
      <c r="C107" s="1" t="s">
        <v>255</v>
      </c>
      <c r="D107" s="1" t="s">
        <v>246</v>
      </c>
      <c r="E107" s="1" t="s">
        <v>255</v>
      </c>
      <c r="F107" s="1" t="s">
        <v>246</v>
      </c>
      <c r="G107" s="1" t="s">
        <v>324</v>
      </c>
      <c r="H107" s="1" t="s">
        <v>325</v>
      </c>
      <c r="I107" s="1" t="s">
        <v>107</v>
      </c>
      <c r="J107" s="1" t="s">
        <v>117</v>
      </c>
      <c r="K107" s="1" t="s">
        <v>118</v>
      </c>
      <c r="L107" s="1" t="s">
        <v>99</v>
      </c>
      <c r="V107" s="20">
        <v>11280950</v>
      </c>
      <c r="W107" s="20">
        <v>408384</v>
      </c>
      <c r="X107" s="20">
        <v>350880</v>
      </c>
      <c r="Y107" s="20">
        <v>450840</v>
      </c>
      <c r="Z107" s="20">
        <v>3255720</v>
      </c>
      <c r="AA107" s="20">
        <v>6062256</v>
      </c>
      <c r="AB107" s="20">
        <v>21809030</v>
      </c>
      <c r="AL107" s="20">
        <v>5594772</v>
      </c>
      <c r="AM107" s="20">
        <v>554400</v>
      </c>
      <c r="AN107" s="20">
        <v>1190000</v>
      </c>
      <c r="AO107" s="20">
        <v>433680</v>
      </c>
      <c r="AP107" s="20">
        <v>4797840</v>
      </c>
      <c r="AQ107" s="20">
        <v>8078400</v>
      </c>
      <c r="AR107" s="20">
        <v>20649092</v>
      </c>
      <c r="BB107" s="20">
        <v>9175118</v>
      </c>
      <c r="BC107" s="20">
        <v>892260</v>
      </c>
      <c r="BD107" s="28">
        <v>1211000</v>
      </c>
      <c r="BF107" s="28">
        <v>1381440</v>
      </c>
      <c r="BG107" s="28">
        <v>5403264</v>
      </c>
      <c r="BH107" s="28">
        <v>18063082</v>
      </c>
      <c r="BI107" s="28">
        <v>60521204</v>
      </c>
    </row>
    <row r="108" spans="1:61" x14ac:dyDescent="0.3">
      <c r="A108" s="1" t="s">
        <v>114</v>
      </c>
      <c r="B108" s="1" t="s">
        <v>107</v>
      </c>
      <c r="C108" s="1" t="s">
        <v>255</v>
      </c>
      <c r="D108" s="1" t="s">
        <v>246</v>
      </c>
      <c r="E108" s="1" t="s">
        <v>255</v>
      </c>
      <c r="F108" s="1" t="s">
        <v>246</v>
      </c>
      <c r="G108" s="1" t="s">
        <v>326</v>
      </c>
      <c r="H108" s="1" t="s">
        <v>327</v>
      </c>
      <c r="I108" s="1" t="s">
        <v>107</v>
      </c>
      <c r="J108" s="1" t="s">
        <v>117</v>
      </c>
      <c r="K108" s="1" t="s">
        <v>118</v>
      </c>
      <c r="L108" s="1" t="s">
        <v>99</v>
      </c>
      <c r="V108" s="20">
        <v>7364690</v>
      </c>
      <c r="Y108" s="20">
        <v>646400</v>
      </c>
      <c r="Z108" s="20">
        <v>2415900</v>
      </c>
      <c r="AA108" s="20">
        <v>4773744</v>
      </c>
      <c r="AB108" s="20">
        <v>15200734</v>
      </c>
      <c r="AL108" s="20">
        <v>8410596</v>
      </c>
      <c r="AN108" s="20">
        <v>374000</v>
      </c>
      <c r="AO108" s="20">
        <v>523640</v>
      </c>
      <c r="AP108" s="20">
        <v>3273282</v>
      </c>
      <c r="AQ108" s="20">
        <v>8485632</v>
      </c>
      <c r="AR108" s="20">
        <v>21067150</v>
      </c>
      <c r="BB108" s="20">
        <v>6396184</v>
      </c>
      <c r="BC108" s="20">
        <v>876792</v>
      </c>
      <c r="BD108" s="28">
        <v>1653000</v>
      </c>
      <c r="BE108" s="28">
        <v>261600</v>
      </c>
      <c r="BF108" s="28">
        <v>2505040</v>
      </c>
      <c r="BG108" s="28">
        <v>4789728</v>
      </c>
      <c r="BH108" s="28">
        <v>16482344</v>
      </c>
      <c r="BI108" s="28">
        <v>52750228</v>
      </c>
    </row>
    <row r="109" spans="1:61" x14ac:dyDescent="0.3">
      <c r="A109" s="1" t="s">
        <v>114</v>
      </c>
      <c r="B109" s="1" t="s">
        <v>107</v>
      </c>
      <c r="C109" s="1" t="s">
        <v>255</v>
      </c>
      <c r="D109" s="1" t="s">
        <v>246</v>
      </c>
      <c r="E109" s="1" t="s">
        <v>255</v>
      </c>
      <c r="F109" s="1" t="s">
        <v>246</v>
      </c>
      <c r="G109" s="1" t="s">
        <v>328</v>
      </c>
      <c r="H109" s="1" t="s">
        <v>329</v>
      </c>
      <c r="I109" s="1" t="s">
        <v>107</v>
      </c>
      <c r="J109" s="1" t="s">
        <v>117</v>
      </c>
      <c r="K109" s="1" t="s">
        <v>118</v>
      </c>
      <c r="L109" s="1" t="s">
        <v>99</v>
      </c>
      <c r="V109" s="20">
        <v>4479084</v>
      </c>
      <c r="X109" s="20">
        <v>374000</v>
      </c>
      <c r="Y109" s="20">
        <v>138840</v>
      </c>
      <c r="Z109" s="20">
        <v>2574900</v>
      </c>
      <c r="AA109" s="20">
        <v>5479680</v>
      </c>
      <c r="AB109" s="20">
        <v>13046504</v>
      </c>
      <c r="AL109" s="20">
        <v>7256112</v>
      </c>
      <c r="AM109" s="20">
        <v>408384</v>
      </c>
      <c r="AN109" s="20">
        <v>407136</v>
      </c>
      <c r="AP109" s="20">
        <v>3100300</v>
      </c>
      <c r="AQ109" s="20">
        <v>5666400</v>
      </c>
      <c r="AR109" s="20">
        <v>16838332</v>
      </c>
      <c r="BB109" s="20">
        <v>7175602</v>
      </c>
      <c r="BC109" s="20">
        <v>1001052</v>
      </c>
      <c r="BD109" s="28">
        <v>1190000</v>
      </c>
      <c r="BE109" s="28">
        <v>2742400</v>
      </c>
      <c r="BF109" s="28">
        <v>1451300</v>
      </c>
      <c r="BG109" s="28">
        <v>9248688</v>
      </c>
      <c r="BH109" s="28">
        <v>22809042</v>
      </c>
      <c r="BI109" s="28">
        <v>52693878</v>
      </c>
    </row>
    <row r="110" spans="1:61" x14ac:dyDescent="0.3">
      <c r="A110" s="1" t="s">
        <v>114</v>
      </c>
      <c r="B110" s="1" t="s">
        <v>107</v>
      </c>
      <c r="C110" s="1" t="s">
        <v>255</v>
      </c>
      <c r="D110" s="1" t="s">
        <v>246</v>
      </c>
      <c r="E110" s="1" t="s">
        <v>255</v>
      </c>
      <c r="F110" s="1" t="s">
        <v>246</v>
      </c>
      <c r="G110" s="1" t="s">
        <v>330</v>
      </c>
      <c r="H110" s="1" t="s">
        <v>331</v>
      </c>
      <c r="I110" s="1" t="s">
        <v>107</v>
      </c>
      <c r="J110" s="1" t="s">
        <v>117</v>
      </c>
      <c r="K110" s="1" t="s">
        <v>118</v>
      </c>
      <c r="L110" s="1" t="s">
        <v>99</v>
      </c>
      <c r="V110" s="20">
        <v>2574168</v>
      </c>
      <c r="Z110" s="20">
        <v>788440</v>
      </c>
      <c r="AA110" s="20">
        <v>628800</v>
      </c>
      <c r="AB110" s="20">
        <v>3991408</v>
      </c>
      <c r="AL110" s="20">
        <v>1544424</v>
      </c>
      <c r="AN110" s="20">
        <v>407136</v>
      </c>
      <c r="AP110" s="20">
        <v>2097640</v>
      </c>
      <c r="AQ110" s="20">
        <v>4017600</v>
      </c>
      <c r="AR110" s="20">
        <v>8066800</v>
      </c>
      <c r="BB110" s="20">
        <v>1232040</v>
      </c>
      <c r="BF110" s="28">
        <v>222500</v>
      </c>
      <c r="BG110" s="28">
        <v>2263824</v>
      </c>
      <c r="BH110" s="28">
        <v>3718364</v>
      </c>
      <c r="BI110" s="28">
        <v>15776572</v>
      </c>
    </row>
    <row r="111" spans="1:61" x14ac:dyDescent="0.3">
      <c r="A111" s="1" t="s">
        <v>114</v>
      </c>
      <c r="B111" s="1" t="s">
        <v>107</v>
      </c>
      <c r="C111" s="1" t="s">
        <v>255</v>
      </c>
      <c r="D111" s="1" t="s">
        <v>246</v>
      </c>
      <c r="E111" s="1" t="s">
        <v>255</v>
      </c>
      <c r="F111" s="1" t="s">
        <v>246</v>
      </c>
      <c r="G111" s="1" t="s">
        <v>332</v>
      </c>
      <c r="H111" s="1" t="s">
        <v>333</v>
      </c>
      <c r="I111" s="1" t="s">
        <v>107</v>
      </c>
      <c r="J111" s="1" t="s">
        <v>117</v>
      </c>
      <c r="K111" s="1" t="s">
        <v>118</v>
      </c>
      <c r="L111" s="1" t="s">
        <v>99</v>
      </c>
      <c r="V111" s="20">
        <v>5069064</v>
      </c>
      <c r="W111" s="20">
        <v>408384</v>
      </c>
      <c r="X111" s="20">
        <v>350880</v>
      </c>
      <c r="Y111" s="20">
        <v>433680</v>
      </c>
      <c r="Z111" s="20">
        <v>2136360</v>
      </c>
      <c r="AA111" s="20">
        <v>4766832</v>
      </c>
      <c r="AB111" s="20">
        <v>13165200</v>
      </c>
      <c r="AL111" s="20">
        <v>6007500</v>
      </c>
      <c r="AN111" s="20">
        <v>816000</v>
      </c>
      <c r="AP111" s="20">
        <v>190800</v>
      </c>
      <c r="AQ111" s="20">
        <v>914400</v>
      </c>
      <c r="AR111" s="20">
        <v>7928700</v>
      </c>
      <c r="BB111" s="20">
        <v>1243008</v>
      </c>
      <c r="BF111" s="28">
        <v>2010780</v>
      </c>
      <c r="BG111" s="28">
        <v>2743200</v>
      </c>
      <c r="BH111" s="28">
        <v>5996988</v>
      </c>
      <c r="BI111" s="28">
        <v>27090888</v>
      </c>
    </row>
    <row r="112" spans="1:61" x14ac:dyDescent="0.3">
      <c r="A112" s="1" t="s">
        <v>114</v>
      </c>
      <c r="B112" s="1" t="s">
        <v>107</v>
      </c>
      <c r="C112" s="1" t="s">
        <v>255</v>
      </c>
      <c r="D112" s="1" t="s">
        <v>246</v>
      </c>
      <c r="E112" s="1" t="s">
        <v>255</v>
      </c>
      <c r="F112" s="1" t="s">
        <v>246</v>
      </c>
      <c r="G112" s="1" t="s">
        <v>334</v>
      </c>
      <c r="H112" s="1" t="s">
        <v>335</v>
      </c>
      <c r="I112" s="1" t="s">
        <v>107</v>
      </c>
      <c r="J112" s="1" t="s">
        <v>117</v>
      </c>
      <c r="K112" s="1" t="s">
        <v>118</v>
      </c>
      <c r="L112" s="1" t="s">
        <v>99</v>
      </c>
      <c r="V112" s="20">
        <v>6192282</v>
      </c>
      <c r="W112" s="20">
        <v>408384</v>
      </c>
      <c r="Y112" s="20">
        <v>1131200</v>
      </c>
      <c r="Z112" s="20">
        <v>2191020</v>
      </c>
      <c r="AA112" s="20">
        <v>4903392</v>
      </c>
      <c r="AB112" s="20">
        <v>14826278</v>
      </c>
      <c r="AL112" s="20">
        <v>5009616</v>
      </c>
      <c r="AM112" s="20">
        <v>962784</v>
      </c>
      <c r="AO112" s="20">
        <v>683208</v>
      </c>
      <c r="AP112" s="20">
        <v>2300516</v>
      </c>
      <c r="AQ112" s="20">
        <v>6673632</v>
      </c>
      <c r="AR112" s="20">
        <v>15629756</v>
      </c>
      <c r="BB112" s="20">
        <v>8641852</v>
      </c>
      <c r="BC112" s="20">
        <v>892260</v>
      </c>
      <c r="BD112" s="28">
        <v>1245000</v>
      </c>
      <c r="BF112" s="28">
        <v>1956100</v>
      </c>
      <c r="BG112" s="28">
        <v>4424064</v>
      </c>
      <c r="BH112" s="28">
        <v>17159276</v>
      </c>
      <c r="BI112" s="28">
        <v>47615310</v>
      </c>
    </row>
    <row r="113" spans="1:61" x14ac:dyDescent="0.3">
      <c r="A113" s="1" t="s">
        <v>114</v>
      </c>
      <c r="B113" s="1" t="s">
        <v>107</v>
      </c>
      <c r="C113" s="1" t="s">
        <v>255</v>
      </c>
      <c r="D113" s="1" t="s">
        <v>246</v>
      </c>
      <c r="E113" s="1" t="s">
        <v>255</v>
      </c>
      <c r="F113" s="1" t="s">
        <v>246</v>
      </c>
      <c r="G113" s="1" t="s">
        <v>336</v>
      </c>
      <c r="H113" s="1" t="s">
        <v>337</v>
      </c>
      <c r="I113" s="1" t="s">
        <v>107</v>
      </c>
      <c r="J113" s="1" t="s">
        <v>117</v>
      </c>
      <c r="K113" s="1" t="s">
        <v>118</v>
      </c>
      <c r="L113" s="1" t="s">
        <v>99</v>
      </c>
      <c r="V113" s="20">
        <v>6257160</v>
      </c>
      <c r="W113" s="20">
        <v>408384</v>
      </c>
      <c r="Y113" s="20">
        <v>138840</v>
      </c>
      <c r="Z113" s="20">
        <v>3083300</v>
      </c>
      <c r="AA113" s="20">
        <v>5247456</v>
      </c>
      <c r="AB113" s="20">
        <v>15135140</v>
      </c>
      <c r="AL113" s="20">
        <v>5775888</v>
      </c>
      <c r="AM113" s="20">
        <v>408384</v>
      </c>
      <c r="AN113" s="20">
        <v>816000</v>
      </c>
      <c r="AO113" s="20">
        <v>572520</v>
      </c>
      <c r="AP113" s="20">
        <v>2605000</v>
      </c>
      <c r="AQ113" s="20">
        <v>2342400</v>
      </c>
      <c r="AR113" s="20">
        <v>12520192</v>
      </c>
      <c r="BB113" s="20">
        <v>5207412</v>
      </c>
      <c r="BC113" s="20">
        <v>399408</v>
      </c>
      <c r="BD113" s="28">
        <v>408000</v>
      </c>
      <c r="BE113" s="28">
        <v>312000</v>
      </c>
      <c r="BF113" s="28">
        <v>3123500</v>
      </c>
      <c r="BG113" s="28">
        <v>4047264</v>
      </c>
      <c r="BH113" s="28">
        <v>13497584</v>
      </c>
      <c r="BI113" s="28">
        <v>41152916</v>
      </c>
    </row>
    <row r="114" spans="1:61" x14ac:dyDescent="0.3">
      <c r="A114" s="1" t="s">
        <v>114</v>
      </c>
      <c r="B114" s="1" t="s">
        <v>107</v>
      </c>
      <c r="C114" s="1" t="s">
        <v>255</v>
      </c>
      <c r="D114" s="1" t="s">
        <v>246</v>
      </c>
      <c r="E114" s="1" t="s">
        <v>255</v>
      </c>
      <c r="F114" s="1" t="s">
        <v>246</v>
      </c>
      <c r="G114" s="1" t="s">
        <v>338</v>
      </c>
      <c r="H114" s="1" t="s">
        <v>339</v>
      </c>
      <c r="I114" s="1" t="s">
        <v>107</v>
      </c>
      <c r="J114" s="1" t="s">
        <v>117</v>
      </c>
      <c r="K114" s="1" t="s">
        <v>118</v>
      </c>
      <c r="L114" s="1" t="s">
        <v>99</v>
      </c>
      <c r="V114" s="20">
        <v>2027726</v>
      </c>
      <c r="X114" s="20">
        <v>350880</v>
      </c>
      <c r="Y114" s="20">
        <v>138840</v>
      </c>
      <c r="Z114" s="20">
        <v>2282540</v>
      </c>
      <c r="AA114" s="20">
        <v>3087168</v>
      </c>
      <c r="AB114" s="20">
        <v>7887154</v>
      </c>
      <c r="AL114" s="20">
        <v>4486692</v>
      </c>
      <c r="AN114" s="20">
        <v>815136</v>
      </c>
      <c r="AO114" s="20">
        <v>138840</v>
      </c>
      <c r="AP114" s="20">
        <v>3222500</v>
      </c>
      <c r="AQ114" s="20">
        <v>4108800</v>
      </c>
      <c r="AR114" s="20">
        <v>12771968</v>
      </c>
      <c r="BB114" s="20">
        <v>2603292</v>
      </c>
      <c r="BF114" s="28">
        <v>565940</v>
      </c>
      <c r="BG114" s="28">
        <v>2712000</v>
      </c>
      <c r="BH114" s="28">
        <v>5881232</v>
      </c>
      <c r="BI114" s="28">
        <v>26540354</v>
      </c>
    </row>
    <row r="115" spans="1:61" x14ac:dyDescent="0.3">
      <c r="A115" s="1" t="s">
        <v>114</v>
      </c>
      <c r="B115" s="1" t="s">
        <v>107</v>
      </c>
      <c r="C115" s="1" t="s">
        <v>255</v>
      </c>
      <c r="D115" s="1" t="s">
        <v>246</v>
      </c>
      <c r="E115" s="1" t="s">
        <v>255</v>
      </c>
      <c r="F115" s="1" t="s">
        <v>246</v>
      </c>
      <c r="G115" s="1" t="s">
        <v>340</v>
      </c>
      <c r="H115" s="1" t="s">
        <v>341</v>
      </c>
      <c r="I115" s="1" t="s">
        <v>107</v>
      </c>
      <c r="J115" s="1" t="s">
        <v>117</v>
      </c>
      <c r="K115" s="1" t="s">
        <v>118</v>
      </c>
      <c r="L115" s="1" t="s">
        <v>99</v>
      </c>
      <c r="V115" s="20">
        <v>6391464</v>
      </c>
      <c r="X115" s="20">
        <v>350880</v>
      </c>
      <c r="Z115" s="20">
        <v>2860800</v>
      </c>
      <c r="AA115" s="20">
        <v>5247456</v>
      </c>
      <c r="AB115" s="20">
        <v>14850600</v>
      </c>
      <c r="AL115" s="20">
        <v>5407920</v>
      </c>
      <c r="AM115" s="20">
        <v>448800</v>
      </c>
      <c r="AO115" s="20">
        <v>277680</v>
      </c>
      <c r="AP115" s="20">
        <v>2573300</v>
      </c>
      <c r="AQ115" s="20">
        <v>3372000</v>
      </c>
      <c r="AR115" s="20">
        <v>12079700</v>
      </c>
      <c r="BB115" s="20">
        <v>4560332</v>
      </c>
      <c r="BC115" s="20">
        <v>399408</v>
      </c>
      <c r="BD115" s="28">
        <v>748000</v>
      </c>
      <c r="BF115" s="28">
        <v>2276300</v>
      </c>
      <c r="BG115" s="28">
        <v>3086400</v>
      </c>
      <c r="BH115" s="28">
        <v>11070440</v>
      </c>
      <c r="BI115" s="28">
        <v>38000740</v>
      </c>
    </row>
    <row r="116" spans="1:61" x14ac:dyDescent="0.3">
      <c r="A116" s="1" t="s">
        <v>114</v>
      </c>
      <c r="B116" s="1" t="s">
        <v>107</v>
      </c>
      <c r="C116" s="1" t="s">
        <v>255</v>
      </c>
      <c r="D116" s="1" t="s">
        <v>246</v>
      </c>
      <c r="E116" s="1" t="s">
        <v>255</v>
      </c>
      <c r="F116" s="1" t="s">
        <v>246</v>
      </c>
      <c r="G116" s="1" t="s">
        <v>342</v>
      </c>
      <c r="H116" s="1" t="s">
        <v>343</v>
      </c>
      <c r="I116" s="1" t="s">
        <v>107</v>
      </c>
      <c r="J116" s="1" t="s">
        <v>117</v>
      </c>
      <c r="K116" s="1" t="s">
        <v>118</v>
      </c>
      <c r="L116" s="1" t="s">
        <v>99</v>
      </c>
      <c r="V116" s="20">
        <v>10378226</v>
      </c>
      <c r="X116" s="20">
        <v>350880</v>
      </c>
      <c r="Y116" s="20">
        <v>138840</v>
      </c>
      <c r="Z116" s="20">
        <v>3993580</v>
      </c>
      <c r="AA116" s="20">
        <v>6001824</v>
      </c>
      <c r="AB116" s="20">
        <v>20863350</v>
      </c>
      <c r="AL116" s="20">
        <v>9268622</v>
      </c>
      <c r="AM116" s="20">
        <v>554400</v>
      </c>
      <c r="AN116" s="20">
        <v>1224000</v>
      </c>
      <c r="AO116" s="20">
        <v>1009048</v>
      </c>
      <c r="AP116" s="20">
        <v>7301012</v>
      </c>
      <c r="AQ116" s="20">
        <v>12565632</v>
      </c>
      <c r="AR116" s="20">
        <v>31922714</v>
      </c>
      <c r="BB116" s="20">
        <v>5994548</v>
      </c>
      <c r="BC116" s="20">
        <v>638100</v>
      </c>
      <c r="BD116" s="28">
        <v>1245000</v>
      </c>
      <c r="BF116" s="28">
        <v>3080480</v>
      </c>
      <c r="BG116" s="28">
        <v>6420192</v>
      </c>
      <c r="BH116" s="28">
        <v>17378320</v>
      </c>
      <c r="BI116" s="28">
        <v>70164384</v>
      </c>
    </row>
    <row r="117" spans="1:61" x14ac:dyDescent="0.3">
      <c r="A117" s="1" t="s">
        <v>114</v>
      </c>
      <c r="B117" s="1" t="s">
        <v>107</v>
      </c>
      <c r="C117" s="1" t="s">
        <v>255</v>
      </c>
      <c r="D117" s="1" t="s">
        <v>246</v>
      </c>
      <c r="E117" s="1" t="s">
        <v>255</v>
      </c>
      <c r="F117" s="1" t="s">
        <v>246</v>
      </c>
      <c r="G117" s="1" t="s">
        <v>344</v>
      </c>
      <c r="H117" s="1" t="s">
        <v>345</v>
      </c>
      <c r="I117" s="1" t="s">
        <v>107</v>
      </c>
      <c r="J117" s="1" t="s">
        <v>117</v>
      </c>
      <c r="K117" s="1" t="s">
        <v>118</v>
      </c>
      <c r="L117" s="1" t="s">
        <v>99</v>
      </c>
      <c r="V117" s="20">
        <v>5656772</v>
      </c>
      <c r="W117" s="20">
        <v>816768</v>
      </c>
      <c r="Y117" s="20">
        <v>294840</v>
      </c>
      <c r="Z117" s="20">
        <v>3611080</v>
      </c>
      <c r="AA117" s="20">
        <v>7708368</v>
      </c>
      <c r="AB117" s="20">
        <v>18087828</v>
      </c>
      <c r="AL117" s="20">
        <v>9116316</v>
      </c>
      <c r="AM117" s="20">
        <v>408384</v>
      </c>
      <c r="AN117" s="20">
        <v>407136</v>
      </c>
      <c r="AO117" s="20">
        <v>555360</v>
      </c>
      <c r="AP117" s="20">
        <v>5002500</v>
      </c>
      <c r="AQ117" s="20">
        <v>8397600</v>
      </c>
      <c r="AR117" s="20">
        <v>23887296</v>
      </c>
      <c r="BB117" s="20">
        <v>8160544</v>
      </c>
      <c r="BC117" s="20">
        <v>477384</v>
      </c>
      <c r="BD117" s="28">
        <v>2652000</v>
      </c>
      <c r="BE117" s="28">
        <v>312000</v>
      </c>
      <c r="BF117" s="28">
        <v>2576720</v>
      </c>
      <c r="BG117" s="28">
        <v>8078544</v>
      </c>
      <c r="BH117" s="28">
        <v>22257192</v>
      </c>
      <c r="BI117" s="28">
        <v>64232316</v>
      </c>
    </row>
    <row r="118" spans="1:61" x14ac:dyDescent="0.3">
      <c r="A118" s="1" t="s">
        <v>114</v>
      </c>
      <c r="B118" s="1" t="s">
        <v>107</v>
      </c>
      <c r="C118" s="1" t="s">
        <v>255</v>
      </c>
      <c r="D118" s="1" t="s">
        <v>246</v>
      </c>
      <c r="E118" s="1" t="s">
        <v>255</v>
      </c>
      <c r="F118" s="1" t="s">
        <v>246</v>
      </c>
      <c r="G118" s="1" t="s">
        <v>346</v>
      </c>
      <c r="H118" s="1" t="s">
        <v>347</v>
      </c>
      <c r="I118" s="1" t="s">
        <v>107</v>
      </c>
      <c r="J118" s="1" t="s">
        <v>117</v>
      </c>
      <c r="K118" s="1" t="s">
        <v>118</v>
      </c>
      <c r="L118" s="1" t="s">
        <v>99</v>
      </c>
      <c r="V118" s="20">
        <v>6767502</v>
      </c>
      <c r="W118" s="20">
        <v>408384</v>
      </c>
      <c r="X118" s="20">
        <v>408000</v>
      </c>
      <c r="Z118" s="20">
        <v>1494100</v>
      </c>
      <c r="AA118" s="20">
        <v>4003056</v>
      </c>
      <c r="AB118" s="20">
        <v>13081042</v>
      </c>
      <c r="AL118" s="20">
        <v>7066932</v>
      </c>
      <c r="AM118" s="20">
        <v>408384</v>
      </c>
      <c r="AP118" s="20">
        <v>2652480</v>
      </c>
      <c r="AQ118" s="20">
        <v>4017600</v>
      </c>
      <c r="AR118" s="20">
        <v>14145396</v>
      </c>
      <c r="BB118" s="20">
        <v>8071932</v>
      </c>
      <c r="BC118" s="20">
        <v>1570152</v>
      </c>
      <c r="BD118" s="28">
        <v>1585000</v>
      </c>
      <c r="BF118" s="28">
        <v>1784680</v>
      </c>
      <c r="BG118" s="28">
        <v>3647760</v>
      </c>
      <c r="BH118" s="28">
        <v>16659524</v>
      </c>
      <c r="BI118" s="28">
        <v>43885962</v>
      </c>
    </row>
    <row r="119" spans="1:61" x14ac:dyDescent="0.3">
      <c r="A119" s="1" t="s">
        <v>114</v>
      </c>
      <c r="B119" s="1" t="s">
        <v>107</v>
      </c>
      <c r="C119" s="1" t="s">
        <v>255</v>
      </c>
      <c r="D119" s="1" t="s">
        <v>246</v>
      </c>
      <c r="E119" s="1" t="s">
        <v>255</v>
      </c>
      <c r="F119" s="1" t="s">
        <v>246</v>
      </c>
      <c r="G119" s="1" t="s">
        <v>348</v>
      </c>
      <c r="H119" s="1" t="s">
        <v>349</v>
      </c>
      <c r="I119" s="1" t="s">
        <v>107</v>
      </c>
      <c r="J119" s="1" t="s">
        <v>117</v>
      </c>
      <c r="K119" s="1" t="s">
        <v>118</v>
      </c>
      <c r="L119" s="1" t="s">
        <v>99</v>
      </c>
      <c r="V119" s="20">
        <v>6614864</v>
      </c>
      <c r="X119" s="20">
        <v>408000</v>
      </c>
      <c r="Y119" s="20">
        <v>277680</v>
      </c>
      <c r="Z119" s="20">
        <v>3954520</v>
      </c>
      <c r="AA119" s="20">
        <v>5181792</v>
      </c>
      <c r="AB119" s="20">
        <v>16436856</v>
      </c>
      <c r="AL119" s="20">
        <v>5132992</v>
      </c>
      <c r="AN119" s="20">
        <v>815136</v>
      </c>
      <c r="AO119" s="20">
        <v>433680</v>
      </c>
      <c r="AP119" s="20">
        <v>5030340</v>
      </c>
      <c r="AQ119" s="20">
        <v>8167200</v>
      </c>
      <c r="AR119" s="20">
        <v>19579348</v>
      </c>
      <c r="BB119" s="20">
        <v>8176290</v>
      </c>
      <c r="BC119" s="20">
        <v>1799868</v>
      </c>
      <c r="BD119" s="28">
        <v>782000</v>
      </c>
      <c r="BE119" s="28">
        <v>156000</v>
      </c>
      <c r="BF119" s="28">
        <v>2673080</v>
      </c>
      <c r="BG119" s="28">
        <v>6369744</v>
      </c>
      <c r="BH119" s="28">
        <v>19956982</v>
      </c>
      <c r="BI119" s="28">
        <v>55973186</v>
      </c>
    </row>
    <row r="120" spans="1:61" x14ac:dyDescent="0.3">
      <c r="A120" s="1" t="s">
        <v>114</v>
      </c>
      <c r="B120" s="1" t="s">
        <v>107</v>
      </c>
      <c r="C120" s="1" t="s">
        <v>255</v>
      </c>
      <c r="D120" s="1" t="s">
        <v>246</v>
      </c>
      <c r="E120" s="1" t="s">
        <v>255</v>
      </c>
      <c r="F120" s="1" t="s">
        <v>246</v>
      </c>
      <c r="G120" s="1" t="s">
        <v>350</v>
      </c>
      <c r="H120" s="1" t="s">
        <v>351</v>
      </c>
      <c r="I120" s="1" t="s">
        <v>107</v>
      </c>
      <c r="J120" s="1" t="s">
        <v>117</v>
      </c>
      <c r="K120" s="1" t="s">
        <v>118</v>
      </c>
      <c r="L120" s="1" t="s">
        <v>99</v>
      </c>
      <c r="V120" s="20">
        <v>4920110</v>
      </c>
      <c r="X120" s="20">
        <v>758880</v>
      </c>
      <c r="Y120" s="20">
        <v>156000</v>
      </c>
      <c r="Z120" s="20">
        <v>1869240</v>
      </c>
      <c r="AA120" s="20">
        <v>2464512</v>
      </c>
      <c r="AB120" s="20">
        <v>10168742</v>
      </c>
      <c r="AL120" s="20">
        <v>2469648</v>
      </c>
      <c r="AM120" s="20">
        <v>408384</v>
      </c>
      <c r="AN120" s="20">
        <v>815136</v>
      </c>
      <c r="AO120" s="20">
        <v>433680</v>
      </c>
      <c r="AP120" s="20">
        <v>1973100</v>
      </c>
      <c r="AQ120" s="20">
        <v>6052800</v>
      </c>
      <c r="AR120" s="20">
        <v>12152748</v>
      </c>
      <c r="BB120" s="20">
        <v>6051300</v>
      </c>
      <c r="BF120" s="28">
        <v>1010940</v>
      </c>
      <c r="BG120" s="28">
        <v>2494224</v>
      </c>
      <c r="BH120" s="28">
        <v>9556464</v>
      </c>
      <c r="BI120" s="28">
        <v>31877954</v>
      </c>
    </row>
    <row r="121" spans="1:61" x14ac:dyDescent="0.3">
      <c r="A121" s="1" t="s">
        <v>114</v>
      </c>
      <c r="B121" s="1" t="s">
        <v>107</v>
      </c>
      <c r="C121" s="1" t="s">
        <v>255</v>
      </c>
      <c r="D121" s="1" t="s">
        <v>246</v>
      </c>
      <c r="E121" s="1" t="s">
        <v>255</v>
      </c>
      <c r="F121" s="1" t="s">
        <v>246</v>
      </c>
      <c r="G121" s="1" t="s">
        <v>352</v>
      </c>
      <c r="H121" s="1" t="s">
        <v>353</v>
      </c>
      <c r="I121" s="1" t="s">
        <v>107</v>
      </c>
      <c r="J121" s="1" t="s">
        <v>117</v>
      </c>
      <c r="K121" s="1" t="s">
        <v>118</v>
      </c>
      <c r="L121" s="1" t="s">
        <v>99</v>
      </c>
      <c r="V121" s="20">
        <v>2665448</v>
      </c>
      <c r="X121" s="20">
        <v>350880</v>
      </c>
      <c r="Z121" s="20">
        <v>1042640</v>
      </c>
      <c r="AA121" s="20">
        <v>540000</v>
      </c>
      <c r="AB121" s="20">
        <v>4598968</v>
      </c>
      <c r="AL121" s="20">
        <v>1662168</v>
      </c>
      <c r="AN121" s="20">
        <v>407136</v>
      </c>
      <c r="AO121" s="20">
        <v>416520</v>
      </c>
      <c r="AP121" s="20">
        <v>1592280</v>
      </c>
      <c r="AQ121" s="20">
        <v>2875200</v>
      </c>
      <c r="AR121" s="20">
        <v>6953304</v>
      </c>
      <c r="BB121" s="20">
        <v>3154320</v>
      </c>
      <c r="BF121" s="28">
        <v>773740</v>
      </c>
      <c r="BG121" s="28">
        <v>1831200</v>
      </c>
      <c r="BH121" s="28">
        <v>5759260</v>
      </c>
      <c r="BI121" s="28">
        <v>17311532</v>
      </c>
    </row>
    <row r="122" spans="1:61" x14ac:dyDescent="0.3">
      <c r="A122" s="1" t="s">
        <v>114</v>
      </c>
      <c r="B122" s="1" t="s">
        <v>107</v>
      </c>
      <c r="C122" s="1" t="s">
        <v>255</v>
      </c>
      <c r="D122" s="1" t="s">
        <v>246</v>
      </c>
      <c r="E122" s="1" t="s">
        <v>255</v>
      </c>
      <c r="F122" s="1" t="s">
        <v>246</v>
      </c>
      <c r="G122" s="1" t="s">
        <v>354</v>
      </c>
      <c r="H122" s="1" t="s">
        <v>355</v>
      </c>
      <c r="I122" s="1" t="s">
        <v>107</v>
      </c>
      <c r="J122" s="1" t="s">
        <v>117</v>
      </c>
      <c r="K122" s="1" t="s">
        <v>118</v>
      </c>
      <c r="L122" s="1" t="s">
        <v>99</v>
      </c>
      <c r="V122" s="20">
        <v>7328378</v>
      </c>
      <c r="Y122" s="20">
        <v>294840</v>
      </c>
      <c r="Z122" s="20">
        <v>2790940</v>
      </c>
      <c r="AA122" s="20">
        <v>5704992</v>
      </c>
      <c r="AB122" s="20">
        <v>16119150</v>
      </c>
      <c r="AL122" s="20">
        <v>5318532</v>
      </c>
      <c r="AN122" s="20">
        <v>407136</v>
      </c>
      <c r="AO122" s="20">
        <v>433680</v>
      </c>
      <c r="AP122" s="20">
        <v>2390000</v>
      </c>
      <c r="AQ122" s="20">
        <v>5815200</v>
      </c>
      <c r="AR122" s="20">
        <v>14364548</v>
      </c>
      <c r="BB122" s="20">
        <v>4569016</v>
      </c>
      <c r="BC122" s="20">
        <v>638100</v>
      </c>
      <c r="BD122" s="28">
        <v>1122000</v>
      </c>
      <c r="BE122" s="28">
        <v>312000</v>
      </c>
      <c r="BF122" s="28">
        <v>1663740</v>
      </c>
      <c r="BG122" s="28">
        <v>5921424</v>
      </c>
      <c r="BH122" s="28">
        <v>14226280</v>
      </c>
      <c r="BI122" s="28">
        <v>44709978</v>
      </c>
    </row>
    <row r="123" spans="1:61" x14ac:dyDescent="0.3">
      <c r="A123" s="1" t="s">
        <v>114</v>
      </c>
      <c r="B123" s="1" t="s">
        <v>107</v>
      </c>
      <c r="C123" s="1" t="s">
        <v>255</v>
      </c>
      <c r="D123" s="1" t="s">
        <v>246</v>
      </c>
      <c r="E123" s="1" t="s">
        <v>255</v>
      </c>
      <c r="F123" s="1" t="s">
        <v>246</v>
      </c>
      <c r="G123" s="1" t="s">
        <v>356</v>
      </c>
      <c r="H123" s="1" t="s">
        <v>357</v>
      </c>
      <c r="I123" s="1" t="s">
        <v>107</v>
      </c>
      <c r="J123" s="1" t="s">
        <v>117</v>
      </c>
      <c r="K123" s="1" t="s">
        <v>118</v>
      </c>
      <c r="L123" s="1" t="s">
        <v>99</v>
      </c>
      <c r="V123" s="20">
        <v>9640662</v>
      </c>
      <c r="W123" s="20">
        <v>448800</v>
      </c>
      <c r="X123" s="20">
        <v>374000</v>
      </c>
      <c r="Y123" s="20">
        <v>802400</v>
      </c>
      <c r="Z123" s="20">
        <v>1630640</v>
      </c>
      <c r="AA123" s="20">
        <v>3851712</v>
      </c>
      <c r="AB123" s="20">
        <v>16748214</v>
      </c>
      <c r="AL123" s="20">
        <v>5911698</v>
      </c>
      <c r="AM123" s="20">
        <v>408384</v>
      </c>
      <c r="AO123" s="20">
        <v>416520</v>
      </c>
      <c r="AP123" s="20">
        <v>3964816</v>
      </c>
      <c r="AQ123" s="20">
        <v>5939232</v>
      </c>
      <c r="AR123" s="20">
        <v>16640650</v>
      </c>
      <c r="BB123" s="20">
        <v>2649886</v>
      </c>
      <c r="BC123" s="20">
        <v>762360</v>
      </c>
      <c r="BD123" s="28">
        <v>803000</v>
      </c>
      <c r="BE123" s="28">
        <v>384800</v>
      </c>
      <c r="BF123" s="28">
        <v>190800</v>
      </c>
      <c r="BG123" s="28">
        <v>3768624</v>
      </c>
      <c r="BH123" s="28">
        <v>8559470</v>
      </c>
      <c r="BI123" s="28">
        <v>41948334</v>
      </c>
    </row>
    <row r="124" spans="1:61" x14ac:dyDescent="0.3">
      <c r="A124" s="1" t="s">
        <v>114</v>
      </c>
      <c r="B124" s="1" t="s">
        <v>107</v>
      </c>
      <c r="C124" s="1" t="s">
        <v>255</v>
      </c>
      <c r="D124" s="1" t="s">
        <v>246</v>
      </c>
      <c r="E124" s="1" t="s">
        <v>255</v>
      </c>
      <c r="F124" s="1" t="s">
        <v>246</v>
      </c>
      <c r="G124" s="1" t="s">
        <v>358</v>
      </c>
      <c r="H124" s="1" t="s">
        <v>359</v>
      </c>
      <c r="I124" s="1" t="s">
        <v>107</v>
      </c>
      <c r="J124" s="1" t="s">
        <v>117</v>
      </c>
      <c r="K124" s="1" t="s">
        <v>118</v>
      </c>
      <c r="L124" s="1" t="s">
        <v>99</v>
      </c>
      <c r="V124" s="20">
        <v>3400968</v>
      </c>
      <c r="X124" s="20">
        <v>408000</v>
      </c>
      <c r="Y124" s="20">
        <v>138840</v>
      </c>
      <c r="Z124" s="20">
        <v>1455940</v>
      </c>
      <c r="AA124" s="20">
        <v>2195712</v>
      </c>
      <c r="AB124" s="20">
        <v>7599460</v>
      </c>
      <c r="AL124" s="20">
        <v>766632</v>
      </c>
      <c r="AM124" s="20">
        <v>408384</v>
      </c>
      <c r="AN124" s="20">
        <v>781136</v>
      </c>
      <c r="AO124" s="20">
        <v>138840</v>
      </c>
      <c r="AP124" s="20">
        <v>2940200</v>
      </c>
      <c r="AQ124" s="20">
        <v>3700800</v>
      </c>
      <c r="AR124" s="20">
        <v>8735992</v>
      </c>
      <c r="BB124" s="20">
        <v>1742736</v>
      </c>
      <c r="BF124" s="28">
        <v>222500</v>
      </c>
      <c r="BG124" s="28">
        <v>1886400</v>
      </c>
      <c r="BH124" s="28">
        <v>3851636</v>
      </c>
      <c r="BI124" s="28">
        <v>20187088</v>
      </c>
    </row>
    <row r="125" spans="1:61" x14ac:dyDescent="0.3">
      <c r="A125" s="1" t="s">
        <v>114</v>
      </c>
      <c r="B125" s="1" t="s">
        <v>107</v>
      </c>
      <c r="C125" s="1" t="s">
        <v>255</v>
      </c>
      <c r="D125" s="1" t="s">
        <v>246</v>
      </c>
      <c r="E125" s="1" t="s">
        <v>255</v>
      </c>
      <c r="F125" s="1" t="s">
        <v>246</v>
      </c>
      <c r="G125" s="1" t="s">
        <v>360</v>
      </c>
      <c r="H125" s="1" t="s">
        <v>361</v>
      </c>
      <c r="I125" s="1" t="s">
        <v>107</v>
      </c>
      <c r="J125" s="1" t="s">
        <v>117</v>
      </c>
      <c r="K125" s="1" t="s">
        <v>118</v>
      </c>
      <c r="L125" s="1" t="s">
        <v>99</v>
      </c>
      <c r="V125" s="20">
        <v>4538384</v>
      </c>
      <c r="X125" s="20">
        <v>350880</v>
      </c>
      <c r="Y125" s="20">
        <v>138840</v>
      </c>
      <c r="Z125" s="20">
        <v>1525800</v>
      </c>
      <c r="AA125" s="20">
        <v>1587456</v>
      </c>
      <c r="AB125" s="20">
        <v>8141360</v>
      </c>
      <c r="AL125" s="20">
        <v>1117200</v>
      </c>
      <c r="AP125" s="20">
        <v>847200</v>
      </c>
      <c r="AQ125" s="20">
        <v>1886400</v>
      </c>
      <c r="AR125" s="20">
        <v>3850800</v>
      </c>
      <c r="BB125" s="20">
        <v>1231728</v>
      </c>
      <c r="BF125" s="28">
        <v>1069700</v>
      </c>
      <c r="BG125" s="28">
        <v>2685600</v>
      </c>
      <c r="BH125" s="28">
        <v>4987028</v>
      </c>
      <c r="BI125" s="28">
        <v>16979188</v>
      </c>
    </row>
    <row r="126" spans="1:61" x14ac:dyDescent="0.3">
      <c r="A126" s="1" t="s">
        <v>114</v>
      </c>
      <c r="B126" s="1" t="s">
        <v>107</v>
      </c>
      <c r="C126" s="1" t="s">
        <v>255</v>
      </c>
      <c r="D126" s="1" t="s">
        <v>246</v>
      </c>
      <c r="E126" s="1" t="s">
        <v>255</v>
      </c>
      <c r="F126" s="1" t="s">
        <v>246</v>
      </c>
      <c r="G126" s="1" t="s">
        <v>362</v>
      </c>
      <c r="H126" s="1" t="s">
        <v>363</v>
      </c>
      <c r="I126" s="1" t="s">
        <v>107</v>
      </c>
      <c r="J126" s="1" t="s">
        <v>117</v>
      </c>
      <c r="K126" s="1" t="s">
        <v>118</v>
      </c>
      <c r="L126" s="1" t="s">
        <v>99</v>
      </c>
      <c r="V126" s="20">
        <v>3983312</v>
      </c>
      <c r="X126" s="20">
        <v>408000</v>
      </c>
      <c r="Y126" s="20">
        <v>138840</v>
      </c>
      <c r="Z126" s="20">
        <v>2880180</v>
      </c>
      <c r="AA126" s="20">
        <v>4633824</v>
      </c>
      <c r="AB126" s="20">
        <v>12044156</v>
      </c>
      <c r="AL126" s="20">
        <v>5712864</v>
      </c>
      <c r="AM126" s="20">
        <v>408384</v>
      </c>
      <c r="AN126" s="20">
        <v>781136</v>
      </c>
      <c r="AO126" s="20">
        <v>138840</v>
      </c>
      <c r="AP126" s="20">
        <v>4281100</v>
      </c>
      <c r="AQ126" s="20">
        <v>7252800</v>
      </c>
      <c r="AR126" s="20">
        <v>18575124</v>
      </c>
      <c r="BB126" s="20">
        <v>8291952</v>
      </c>
      <c r="BC126" s="20">
        <v>1400460</v>
      </c>
      <c r="BD126" s="28">
        <v>748000</v>
      </c>
      <c r="BE126" s="28">
        <v>312000</v>
      </c>
      <c r="BF126" s="28">
        <v>2630330</v>
      </c>
      <c r="BG126" s="28">
        <v>6038784</v>
      </c>
      <c r="BH126" s="28">
        <v>19421526</v>
      </c>
      <c r="BI126" s="28">
        <v>50040806</v>
      </c>
    </row>
    <row r="127" spans="1:61" x14ac:dyDescent="0.3">
      <c r="A127" s="1" t="s">
        <v>114</v>
      </c>
      <c r="B127" s="1" t="s">
        <v>107</v>
      </c>
      <c r="C127" s="1" t="s">
        <v>255</v>
      </c>
      <c r="D127" s="1" t="s">
        <v>246</v>
      </c>
      <c r="E127" s="1" t="s">
        <v>255</v>
      </c>
      <c r="F127" s="1" t="s">
        <v>246</v>
      </c>
      <c r="G127" s="1" t="s">
        <v>364</v>
      </c>
      <c r="H127" s="1" t="s">
        <v>365</v>
      </c>
      <c r="I127" s="1" t="s">
        <v>107</v>
      </c>
      <c r="J127" s="1" t="s">
        <v>117</v>
      </c>
      <c r="K127" s="1" t="s">
        <v>118</v>
      </c>
      <c r="L127" s="1" t="s">
        <v>99</v>
      </c>
      <c r="V127" s="20">
        <v>4981752</v>
      </c>
      <c r="W127" s="20">
        <v>408384</v>
      </c>
      <c r="Y127" s="20">
        <v>138840</v>
      </c>
      <c r="Z127" s="20">
        <v>1525800</v>
      </c>
      <c r="AA127" s="20">
        <v>2818368</v>
      </c>
      <c r="AB127" s="20">
        <v>9873144</v>
      </c>
      <c r="AL127" s="20">
        <v>4593492</v>
      </c>
      <c r="AN127" s="20">
        <v>408000</v>
      </c>
      <c r="AO127" s="20">
        <v>433680</v>
      </c>
      <c r="AP127" s="20">
        <v>667500</v>
      </c>
      <c r="AQ127" s="20">
        <v>1380000</v>
      </c>
      <c r="AR127" s="20">
        <v>7482672</v>
      </c>
      <c r="BE127" s="28">
        <v>312000</v>
      </c>
      <c r="BF127" s="28">
        <v>402200</v>
      </c>
      <c r="BH127" s="28">
        <v>714200</v>
      </c>
      <c r="BI127" s="28">
        <v>18070016</v>
      </c>
    </row>
    <row r="128" spans="1:61" x14ac:dyDescent="0.3">
      <c r="A128" s="1" t="s">
        <v>114</v>
      </c>
      <c r="B128" s="1" t="s">
        <v>107</v>
      </c>
      <c r="C128" s="1" t="s">
        <v>255</v>
      </c>
      <c r="D128" s="1" t="s">
        <v>246</v>
      </c>
      <c r="E128" s="1" t="s">
        <v>255</v>
      </c>
      <c r="F128" s="1" t="s">
        <v>246</v>
      </c>
      <c r="G128" s="1" t="s">
        <v>366</v>
      </c>
      <c r="H128" s="1" t="s">
        <v>367</v>
      </c>
      <c r="I128" s="1" t="s">
        <v>107</v>
      </c>
      <c r="J128" s="1" t="s">
        <v>117</v>
      </c>
      <c r="K128" s="1" t="s">
        <v>118</v>
      </c>
      <c r="L128" s="1" t="s">
        <v>99</v>
      </c>
      <c r="V128" s="20">
        <v>8087810</v>
      </c>
      <c r="W128" s="20">
        <v>408384</v>
      </c>
      <c r="X128" s="20">
        <v>350880</v>
      </c>
      <c r="Y128" s="20">
        <v>679640</v>
      </c>
      <c r="Z128" s="20">
        <v>1625580</v>
      </c>
      <c r="AA128" s="20">
        <v>6528960</v>
      </c>
      <c r="AB128" s="20">
        <v>17681254</v>
      </c>
      <c r="AL128" s="20">
        <v>6713916</v>
      </c>
      <c r="AO128" s="20">
        <v>834120</v>
      </c>
      <c r="AP128" s="20">
        <v>3923580</v>
      </c>
      <c r="AQ128" s="20">
        <v>9024000</v>
      </c>
      <c r="AR128" s="20">
        <v>20495616</v>
      </c>
      <c r="BB128" s="20">
        <v>8631080</v>
      </c>
      <c r="BC128" s="20">
        <v>1037508</v>
      </c>
      <c r="BD128" s="28">
        <v>1177000</v>
      </c>
      <c r="BF128" s="28">
        <v>1080800</v>
      </c>
      <c r="BG128" s="28">
        <v>5826528</v>
      </c>
      <c r="BH128" s="28">
        <v>17752916</v>
      </c>
      <c r="BI128" s="28">
        <v>55929786</v>
      </c>
    </row>
    <row r="129" spans="1:61" x14ac:dyDescent="0.3">
      <c r="A129" s="1" t="s">
        <v>114</v>
      </c>
      <c r="B129" s="1" t="s">
        <v>107</v>
      </c>
      <c r="C129" s="1" t="s">
        <v>255</v>
      </c>
      <c r="D129" s="1" t="s">
        <v>246</v>
      </c>
      <c r="E129" s="1" t="s">
        <v>255</v>
      </c>
      <c r="F129" s="1" t="s">
        <v>246</v>
      </c>
      <c r="G129" s="1" t="s">
        <v>368</v>
      </c>
      <c r="H129" s="1" t="s">
        <v>369</v>
      </c>
      <c r="I129" s="1" t="s">
        <v>107</v>
      </c>
      <c r="J129" s="1" t="s">
        <v>117</v>
      </c>
      <c r="K129" s="1" t="s">
        <v>118</v>
      </c>
      <c r="L129" s="1" t="s">
        <v>99</v>
      </c>
      <c r="V129" s="20">
        <v>4118782</v>
      </c>
      <c r="X129" s="20">
        <v>758880</v>
      </c>
      <c r="Y129" s="20">
        <v>138840</v>
      </c>
      <c r="Z129" s="20">
        <v>1455940</v>
      </c>
      <c r="AA129" s="20">
        <v>2703168</v>
      </c>
      <c r="AB129" s="20">
        <v>9175610</v>
      </c>
      <c r="AL129" s="20">
        <v>6568226</v>
      </c>
      <c r="AN129" s="20">
        <v>781136</v>
      </c>
      <c r="AO129" s="20">
        <v>138840</v>
      </c>
      <c r="AP129" s="20">
        <v>2744540</v>
      </c>
      <c r="AQ129" s="20">
        <v>4809600</v>
      </c>
      <c r="AR129" s="20">
        <v>15042342</v>
      </c>
      <c r="BB129" s="20">
        <v>6333220</v>
      </c>
      <c r="BC129" s="20">
        <v>1001052</v>
      </c>
      <c r="BD129" s="28">
        <v>748000</v>
      </c>
      <c r="BE129" s="28">
        <v>384800</v>
      </c>
      <c r="BF129" s="28">
        <v>1097800</v>
      </c>
      <c r="BG129" s="28">
        <v>3855264</v>
      </c>
      <c r="BH129" s="28">
        <v>13420136</v>
      </c>
      <c r="BI129" s="28">
        <v>37638088</v>
      </c>
    </row>
    <row r="130" spans="1:61" x14ac:dyDescent="0.3">
      <c r="A130" s="1" t="s">
        <v>114</v>
      </c>
      <c r="B130" s="1" t="s">
        <v>107</v>
      </c>
      <c r="C130" s="1" t="s">
        <v>255</v>
      </c>
      <c r="D130" s="1" t="s">
        <v>246</v>
      </c>
      <c r="E130" s="1" t="s">
        <v>255</v>
      </c>
      <c r="F130" s="1" t="s">
        <v>246</v>
      </c>
      <c r="G130" s="1" t="s">
        <v>370</v>
      </c>
      <c r="H130" s="1" t="s">
        <v>371</v>
      </c>
      <c r="I130" s="1" t="s">
        <v>107</v>
      </c>
      <c r="J130" s="1" t="s">
        <v>117</v>
      </c>
      <c r="K130" s="1" t="s">
        <v>118</v>
      </c>
      <c r="L130" s="1" t="s">
        <v>99</v>
      </c>
      <c r="V130" s="20">
        <v>4878488</v>
      </c>
      <c r="X130" s="20">
        <v>350880</v>
      </c>
      <c r="Y130" s="20">
        <v>277680</v>
      </c>
      <c r="Z130" s="20">
        <v>1970800</v>
      </c>
      <c r="AA130" s="20">
        <v>4490112</v>
      </c>
      <c r="AB130" s="20">
        <v>11967960</v>
      </c>
      <c r="AL130" s="20">
        <v>3921216</v>
      </c>
      <c r="AM130" s="20">
        <v>408384</v>
      </c>
      <c r="AN130" s="20">
        <v>408000</v>
      </c>
      <c r="AO130" s="20">
        <v>294840</v>
      </c>
      <c r="AP130" s="20">
        <v>1449700</v>
      </c>
      <c r="AQ130" s="20">
        <v>2457600</v>
      </c>
      <c r="AR130" s="20">
        <v>8939740</v>
      </c>
      <c r="BB130" s="20">
        <v>3823620</v>
      </c>
      <c r="BD130" s="28">
        <v>816000</v>
      </c>
      <c r="BF130" s="28">
        <v>1684900</v>
      </c>
      <c r="BG130" s="28">
        <v>2743200</v>
      </c>
      <c r="BH130" s="28">
        <v>9067720</v>
      </c>
      <c r="BI130" s="28">
        <v>29975420</v>
      </c>
    </row>
    <row r="131" spans="1:61" x14ac:dyDescent="0.3">
      <c r="A131" s="1" t="s">
        <v>114</v>
      </c>
      <c r="B131" s="1" t="s">
        <v>107</v>
      </c>
      <c r="C131" s="1" t="s">
        <v>255</v>
      </c>
      <c r="D131" s="1" t="s">
        <v>246</v>
      </c>
      <c r="E131" s="1" t="s">
        <v>255</v>
      </c>
      <c r="F131" s="1" t="s">
        <v>246</v>
      </c>
      <c r="G131" s="1" t="s">
        <v>372</v>
      </c>
      <c r="H131" s="1" t="s">
        <v>373</v>
      </c>
      <c r="I131" s="1" t="s">
        <v>107</v>
      </c>
      <c r="J131" s="1" t="s">
        <v>117</v>
      </c>
      <c r="K131" s="1" t="s">
        <v>118</v>
      </c>
      <c r="L131" s="1" t="s">
        <v>99</v>
      </c>
      <c r="V131" s="20">
        <v>12096748</v>
      </c>
      <c r="W131" s="20">
        <v>816768</v>
      </c>
      <c r="Y131" s="20">
        <v>1190768</v>
      </c>
      <c r="Z131" s="20">
        <v>3494320</v>
      </c>
      <c r="AA131" s="20">
        <v>4424448</v>
      </c>
      <c r="AB131" s="20">
        <v>22023052</v>
      </c>
      <c r="AL131" s="20">
        <v>7186188</v>
      </c>
      <c r="AM131" s="20">
        <v>962784</v>
      </c>
      <c r="AN131" s="20">
        <v>782000</v>
      </c>
      <c r="AO131" s="20">
        <v>834120</v>
      </c>
      <c r="AP131" s="20">
        <v>5228356</v>
      </c>
      <c r="AQ131" s="20">
        <v>10149600</v>
      </c>
      <c r="AR131" s="20">
        <v>25143048</v>
      </c>
      <c r="BB131" s="20">
        <v>11659348</v>
      </c>
      <c r="BC131" s="20">
        <v>399408</v>
      </c>
      <c r="BD131" s="28">
        <v>837000</v>
      </c>
      <c r="BF131" s="28">
        <v>3086940</v>
      </c>
      <c r="BG131" s="28">
        <v>6026400</v>
      </c>
      <c r="BH131" s="28">
        <v>22009096</v>
      </c>
      <c r="BI131" s="28">
        <v>69175196</v>
      </c>
    </row>
    <row r="132" spans="1:61" x14ac:dyDescent="0.3">
      <c r="A132" s="1" t="s">
        <v>114</v>
      </c>
      <c r="B132" s="1" t="s">
        <v>107</v>
      </c>
      <c r="C132" s="1" t="s">
        <v>255</v>
      </c>
      <c r="D132" s="1" t="s">
        <v>246</v>
      </c>
      <c r="E132" s="1" t="s">
        <v>255</v>
      </c>
      <c r="F132" s="1" t="s">
        <v>246</v>
      </c>
      <c r="G132" s="1" t="s">
        <v>374</v>
      </c>
      <c r="H132" s="1" t="s">
        <v>375</v>
      </c>
      <c r="I132" s="1" t="s">
        <v>107</v>
      </c>
      <c r="J132" s="1" t="s">
        <v>117</v>
      </c>
      <c r="K132" s="1" t="s">
        <v>118</v>
      </c>
      <c r="L132" s="1" t="s">
        <v>99</v>
      </c>
      <c r="V132" s="20">
        <v>7861708</v>
      </c>
      <c r="W132" s="20">
        <v>408384</v>
      </c>
      <c r="Y132" s="20">
        <v>556440</v>
      </c>
      <c r="Z132" s="20">
        <v>4337920</v>
      </c>
      <c r="AA132" s="20">
        <v>6103056</v>
      </c>
      <c r="AB132" s="20">
        <v>19267508</v>
      </c>
      <c r="AL132" s="20">
        <v>4757420</v>
      </c>
      <c r="AM132" s="20">
        <v>554400</v>
      </c>
      <c r="AN132" s="20">
        <v>374000</v>
      </c>
      <c r="AO132" s="20">
        <v>1191304</v>
      </c>
      <c r="AP132" s="20">
        <v>4830090</v>
      </c>
      <c r="AQ132" s="20">
        <v>10101696</v>
      </c>
      <c r="AR132" s="20">
        <v>21808910</v>
      </c>
      <c r="BB132" s="20">
        <v>7702240</v>
      </c>
      <c r="BC132" s="20">
        <v>638100</v>
      </c>
      <c r="BD132" s="28">
        <v>2061000</v>
      </c>
      <c r="BF132" s="28">
        <v>3733280</v>
      </c>
      <c r="BG132" s="28">
        <v>7113792</v>
      </c>
      <c r="BH132" s="28">
        <v>21248412</v>
      </c>
      <c r="BI132" s="28">
        <v>62324830</v>
      </c>
    </row>
    <row r="133" spans="1:61" x14ac:dyDescent="0.3">
      <c r="A133" s="1" t="s">
        <v>114</v>
      </c>
      <c r="B133" s="1" t="s">
        <v>107</v>
      </c>
      <c r="C133" s="1" t="s">
        <v>255</v>
      </c>
      <c r="D133" s="1" t="s">
        <v>246</v>
      </c>
      <c r="E133" s="1" t="s">
        <v>255</v>
      </c>
      <c r="F133" s="1" t="s">
        <v>246</v>
      </c>
      <c r="G133" s="1" t="s">
        <v>376</v>
      </c>
      <c r="H133" s="1" t="s">
        <v>377</v>
      </c>
      <c r="I133" s="1" t="s">
        <v>107</v>
      </c>
      <c r="J133" s="1" t="s">
        <v>117</v>
      </c>
      <c r="K133" s="1" t="s">
        <v>118</v>
      </c>
      <c r="L133" s="1" t="s">
        <v>99</v>
      </c>
      <c r="V133" s="20">
        <v>4474688</v>
      </c>
      <c r="X133" s="20">
        <v>724880</v>
      </c>
      <c r="Y133" s="20">
        <v>138840</v>
      </c>
      <c r="Z133" s="20">
        <v>2276080</v>
      </c>
      <c r="AA133" s="20">
        <v>1893312</v>
      </c>
      <c r="AB133" s="20">
        <v>9507800</v>
      </c>
      <c r="AL133" s="20">
        <v>5046686</v>
      </c>
      <c r="AM133" s="20">
        <v>408384</v>
      </c>
      <c r="AN133" s="20">
        <v>407136</v>
      </c>
      <c r="AO133" s="20">
        <v>277680</v>
      </c>
      <c r="AP133" s="20">
        <v>1096200</v>
      </c>
      <c r="AQ133" s="20">
        <v>3151200</v>
      </c>
      <c r="AR133" s="20">
        <v>10387286</v>
      </c>
      <c r="BB133" s="20">
        <v>1081464</v>
      </c>
      <c r="BF133" s="28">
        <v>1615040</v>
      </c>
      <c r="BG133" s="28">
        <v>2267328</v>
      </c>
      <c r="BH133" s="28">
        <v>4963832</v>
      </c>
      <c r="BI133" s="28">
        <v>24858918</v>
      </c>
    </row>
    <row r="134" spans="1:61" x14ac:dyDescent="0.3">
      <c r="A134" s="1" t="s">
        <v>114</v>
      </c>
      <c r="B134" s="1" t="s">
        <v>107</v>
      </c>
      <c r="C134" s="1" t="s">
        <v>255</v>
      </c>
      <c r="D134" s="1" t="s">
        <v>246</v>
      </c>
      <c r="E134" s="1" t="s">
        <v>255</v>
      </c>
      <c r="F134" s="1" t="s">
        <v>246</v>
      </c>
      <c r="G134" s="1" t="s">
        <v>378</v>
      </c>
      <c r="H134" s="1" t="s">
        <v>379</v>
      </c>
      <c r="I134" s="1" t="s">
        <v>107</v>
      </c>
      <c r="J134" s="1" t="s">
        <v>117</v>
      </c>
      <c r="K134" s="1" t="s">
        <v>118</v>
      </c>
      <c r="L134" s="1" t="s">
        <v>99</v>
      </c>
      <c r="V134" s="20">
        <v>5295876</v>
      </c>
      <c r="X134" s="20">
        <v>374000</v>
      </c>
      <c r="Z134" s="20">
        <v>1716600</v>
      </c>
      <c r="AA134" s="20">
        <v>3275088</v>
      </c>
      <c r="AB134" s="20">
        <v>10661564</v>
      </c>
      <c r="AL134" s="20">
        <v>4820868</v>
      </c>
      <c r="AN134" s="20">
        <v>408000</v>
      </c>
      <c r="AO134" s="20">
        <v>138840</v>
      </c>
      <c r="AP134" s="20">
        <v>2146900</v>
      </c>
      <c r="AQ134" s="20">
        <v>4557600</v>
      </c>
      <c r="AR134" s="20">
        <v>12072208</v>
      </c>
      <c r="BB134" s="20">
        <v>3013862</v>
      </c>
      <c r="BC134" s="20">
        <v>1400460</v>
      </c>
      <c r="BD134" s="28">
        <v>1177000</v>
      </c>
      <c r="BF134" s="28">
        <v>1080800</v>
      </c>
      <c r="BG134" s="28">
        <v>2148624</v>
      </c>
      <c r="BH134" s="28">
        <v>8820746</v>
      </c>
      <c r="BI134" s="28">
        <v>31554518</v>
      </c>
    </row>
    <row r="135" spans="1:61" x14ac:dyDescent="0.3">
      <c r="A135" s="1" t="s">
        <v>114</v>
      </c>
      <c r="B135" s="1" t="s">
        <v>107</v>
      </c>
      <c r="C135" s="1" t="s">
        <v>255</v>
      </c>
      <c r="D135" s="1" t="s">
        <v>246</v>
      </c>
      <c r="E135" s="1" t="s">
        <v>255</v>
      </c>
      <c r="F135" s="1" t="s">
        <v>246</v>
      </c>
      <c r="G135" s="1" t="s">
        <v>380</v>
      </c>
      <c r="H135" s="1" t="s">
        <v>381</v>
      </c>
      <c r="I135" s="1" t="s">
        <v>107</v>
      </c>
      <c r="J135" s="1" t="s">
        <v>117</v>
      </c>
      <c r="K135" s="1" t="s">
        <v>118</v>
      </c>
      <c r="L135" s="1" t="s">
        <v>99</v>
      </c>
      <c r="V135" s="20">
        <v>4538784</v>
      </c>
      <c r="Z135" s="20">
        <v>2345940</v>
      </c>
      <c r="AA135" s="20">
        <v>3781488</v>
      </c>
      <c r="AB135" s="20">
        <v>10666212</v>
      </c>
      <c r="AL135" s="20">
        <v>5759736</v>
      </c>
      <c r="AN135" s="20">
        <v>815136</v>
      </c>
      <c r="AP135" s="20">
        <v>2580800</v>
      </c>
      <c r="AQ135" s="20">
        <v>4524000</v>
      </c>
      <c r="AR135" s="20">
        <v>13679672</v>
      </c>
      <c r="BB135" s="20">
        <v>3400976</v>
      </c>
      <c r="BC135" s="20">
        <v>238692</v>
      </c>
      <c r="BD135" s="28">
        <v>782000</v>
      </c>
      <c r="BF135" s="28">
        <v>878900</v>
      </c>
      <c r="BG135" s="28">
        <v>5600688</v>
      </c>
      <c r="BH135" s="28">
        <v>10901256</v>
      </c>
      <c r="BI135" s="28">
        <v>35247140</v>
      </c>
    </row>
    <row r="136" spans="1:61" x14ac:dyDescent="0.3">
      <c r="A136" s="1" t="s">
        <v>114</v>
      </c>
      <c r="B136" s="1" t="s">
        <v>107</v>
      </c>
      <c r="C136" s="1" t="s">
        <v>255</v>
      </c>
      <c r="D136" s="1" t="s">
        <v>246</v>
      </c>
      <c r="E136" s="1" t="s">
        <v>255</v>
      </c>
      <c r="F136" s="1" t="s">
        <v>246</v>
      </c>
      <c r="G136" s="1" t="s">
        <v>382</v>
      </c>
      <c r="H136" s="1" t="s">
        <v>383</v>
      </c>
      <c r="I136" s="1" t="s">
        <v>107</v>
      </c>
      <c r="J136" s="1" t="s">
        <v>117</v>
      </c>
      <c r="K136" s="1" t="s">
        <v>118</v>
      </c>
      <c r="L136" s="1" t="s">
        <v>99</v>
      </c>
      <c r="V136" s="20">
        <v>210547754</v>
      </c>
      <c r="W136" s="20">
        <v>408384</v>
      </c>
      <c r="X136" s="20">
        <v>350880</v>
      </c>
      <c r="Y136" s="20">
        <v>1526040</v>
      </c>
      <c r="Z136" s="20">
        <v>3827220</v>
      </c>
      <c r="AA136" s="20">
        <v>8698848</v>
      </c>
      <c r="AB136" s="20">
        <v>225359126</v>
      </c>
      <c r="AL136" s="20">
        <v>12162408</v>
      </c>
      <c r="AM136" s="20">
        <v>554400</v>
      </c>
      <c r="AN136" s="20">
        <v>816000</v>
      </c>
      <c r="AO136" s="20">
        <v>1430656</v>
      </c>
      <c r="AP136" s="20">
        <v>4590956</v>
      </c>
      <c r="AQ136" s="20">
        <v>11384064</v>
      </c>
      <c r="AR136" s="20">
        <v>30938484</v>
      </c>
      <c r="BB136" s="20">
        <v>11849448</v>
      </c>
      <c r="BC136" s="20">
        <v>399408</v>
      </c>
      <c r="BD136" s="28">
        <v>1606000</v>
      </c>
      <c r="BE136" s="28">
        <v>156000</v>
      </c>
      <c r="BF136" s="28">
        <v>3043580</v>
      </c>
      <c r="BG136" s="28">
        <v>6961728</v>
      </c>
      <c r="BH136" s="28">
        <v>24016164</v>
      </c>
      <c r="BI136" s="28">
        <v>280313774</v>
      </c>
    </row>
    <row r="137" spans="1:61" x14ac:dyDescent="0.3">
      <c r="A137" s="1" t="s">
        <v>114</v>
      </c>
      <c r="B137" s="1" t="s">
        <v>107</v>
      </c>
      <c r="C137" s="1" t="s">
        <v>255</v>
      </c>
      <c r="D137" s="1" t="s">
        <v>246</v>
      </c>
      <c r="E137" s="1" t="s">
        <v>255</v>
      </c>
      <c r="F137" s="1" t="s">
        <v>246</v>
      </c>
      <c r="G137" s="1" t="s">
        <v>384</v>
      </c>
      <c r="H137" s="1" t="s">
        <v>385</v>
      </c>
      <c r="I137" s="1" t="s">
        <v>107</v>
      </c>
      <c r="J137" s="1" t="s">
        <v>117</v>
      </c>
      <c r="K137" s="1" t="s">
        <v>118</v>
      </c>
      <c r="L137" s="1" t="s">
        <v>99</v>
      </c>
      <c r="V137" s="20">
        <v>13070048</v>
      </c>
      <c r="W137" s="20">
        <v>816768</v>
      </c>
      <c r="X137" s="20">
        <v>724880</v>
      </c>
      <c r="Y137" s="20">
        <v>294840</v>
      </c>
      <c r="Z137" s="20">
        <v>4596780</v>
      </c>
      <c r="AA137" s="20">
        <v>13193472</v>
      </c>
      <c r="AB137" s="20">
        <v>32696788</v>
      </c>
      <c r="AL137" s="20">
        <v>17534928</v>
      </c>
      <c r="AM137" s="20">
        <v>816768</v>
      </c>
      <c r="AN137" s="20">
        <v>1223136</v>
      </c>
      <c r="AO137" s="20">
        <v>294840</v>
      </c>
      <c r="AP137" s="20">
        <v>5028340</v>
      </c>
      <c r="AQ137" s="20">
        <v>12921600</v>
      </c>
      <c r="AR137" s="20">
        <v>37819612</v>
      </c>
      <c r="BB137" s="20">
        <v>13327086</v>
      </c>
      <c r="BC137" s="20">
        <v>1799868</v>
      </c>
      <c r="BD137" s="28">
        <v>374000</v>
      </c>
      <c r="BE137" s="28">
        <v>852800</v>
      </c>
      <c r="BF137" s="28">
        <v>2982370</v>
      </c>
      <c r="BG137" s="28">
        <v>15161568</v>
      </c>
      <c r="BH137" s="28">
        <v>34497692</v>
      </c>
      <c r="BI137" s="28">
        <v>105014092</v>
      </c>
    </row>
    <row r="138" spans="1:61" x14ac:dyDescent="0.3">
      <c r="A138" s="1" t="s">
        <v>114</v>
      </c>
      <c r="B138" s="1" t="s">
        <v>107</v>
      </c>
      <c r="C138" s="1" t="s">
        <v>255</v>
      </c>
      <c r="D138" s="1" t="s">
        <v>246</v>
      </c>
      <c r="E138" s="1" t="s">
        <v>255</v>
      </c>
      <c r="F138" s="1" t="s">
        <v>246</v>
      </c>
      <c r="G138" s="1" t="s">
        <v>386</v>
      </c>
      <c r="H138" s="1" t="s">
        <v>387</v>
      </c>
      <c r="I138" s="1" t="s">
        <v>107</v>
      </c>
      <c r="J138" s="1" t="s">
        <v>117</v>
      </c>
      <c r="K138" s="1" t="s">
        <v>118</v>
      </c>
      <c r="L138" s="1" t="s">
        <v>99</v>
      </c>
      <c r="V138" s="20">
        <v>6916418</v>
      </c>
      <c r="W138" s="20">
        <v>408384</v>
      </c>
      <c r="Y138" s="20">
        <v>156000</v>
      </c>
      <c r="Z138" s="20">
        <v>2536740</v>
      </c>
      <c r="AA138" s="20">
        <v>3494112</v>
      </c>
      <c r="AB138" s="20">
        <v>13511654</v>
      </c>
      <c r="AL138" s="20">
        <v>2168646</v>
      </c>
      <c r="AM138" s="20">
        <v>408384</v>
      </c>
      <c r="AN138" s="20">
        <v>408000</v>
      </c>
      <c r="AO138" s="20">
        <v>277680</v>
      </c>
      <c r="AP138" s="20">
        <v>3308880</v>
      </c>
      <c r="AQ138" s="20">
        <v>5138400</v>
      </c>
      <c r="AR138" s="20">
        <v>11709990</v>
      </c>
      <c r="BB138" s="20">
        <v>5491032</v>
      </c>
      <c r="BF138" s="28">
        <v>1049100</v>
      </c>
      <c r="BG138" s="28">
        <v>3015024</v>
      </c>
      <c r="BH138" s="28">
        <v>9555156</v>
      </c>
      <c r="BI138" s="28">
        <v>34776800</v>
      </c>
    </row>
    <row r="139" spans="1:61" x14ac:dyDescent="0.3">
      <c r="A139" s="1" t="s">
        <v>114</v>
      </c>
      <c r="B139" s="1" t="s">
        <v>107</v>
      </c>
      <c r="C139" s="1" t="s">
        <v>255</v>
      </c>
      <c r="D139" s="1" t="s">
        <v>246</v>
      </c>
      <c r="E139" s="1" t="s">
        <v>255</v>
      </c>
      <c r="F139" s="1" t="s">
        <v>246</v>
      </c>
      <c r="G139" s="1" t="s">
        <v>388</v>
      </c>
      <c r="H139" s="1" t="s">
        <v>389</v>
      </c>
      <c r="I139" s="1" t="s">
        <v>107</v>
      </c>
      <c r="J139" s="1" t="s">
        <v>117</v>
      </c>
      <c r="K139" s="1" t="s">
        <v>118</v>
      </c>
      <c r="L139" s="1" t="s">
        <v>99</v>
      </c>
      <c r="V139" s="20">
        <v>3277656</v>
      </c>
      <c r="W139" s="20">
        <v>408384</v>
      </c>
      <c r="X139" s="20">
        <v>701760</v>
      </c>
      <c r="Y139" s="20">
        <v>294840</v>
      </c>
      <c r="Z139" s="20">
        <v>1455940</v>
      </c>
      <c r="AA139" s="20">
        <v>2325312</v>
      </c>
      <c r="AB139" s="20">
        <v>8463892</v>
      </c>
      <c r="AL139" s="20">
        <v>1900632</v>
      </c>
      <c r="AN139" s="20">
        <v>407136</v>
      </c>
      <c r="AO139" s="20">
        <v>277680</v>
      </c>
      <c r="AP139" s="20">
        <v>2272700</v>
      </c>
      <c r="AQ139" s="20">
        <v>4125600</v>
      </c>
      <c r="AR139" s="20">
        <v>8983748</v>
      </c>
      <c r="BB139" s="20">
        <v>2505840</v>
      </c>
      <c r="BF139" s="28">
        <v>875300</v>
      </c>
      <c r="BG139" s="28">
        <v>2467824</v>
      </c>
      <c r="BH139" s="28">
        <v>5848964</v>
      </c>
      <c r="BI139" s="28">
        <v>23296604</v>
      </c>
    </row>
    <row r="140" spans="1:61" x14ac:dyDescent="0.3">
      <c r="A140" s="1" t="s">
        <v>114</v>
      </c>
      <c r="B140" s="1" t="s">
        <v>107</v>
      </c>
      <c r="C140" s="1" t="s">
        <v>255</v>
      </c>
      <c r="D140" s="1" t="s">
        <v>246</v>
      </c>
      <c r="E140" s="1" t="s">
        <v>255</v>
      </c>
      <c r="F140" s="1" t="s">
        <v>246</v>
      </c>
      <c r="G140" s="1" t="s">
        <v>390</v>
      </c>
      <c r="H140" s="1" t="s">
        <v>391</v>
      </c>
      <c r="I140" s="1" t="s">
        <v>107</v>
      </c>
      <c r="J140" s="1" t="s">
        <v>117</v>
      </c>
      <c r="K140" s="1" t="s">
        <v>118</v>
      </c>
      <c r="L140" s="1" t="s">
        <v>99</v>
      </c>
      <c r="V140" s="20">
        <v>10771376</v>
      </c>
      <c r="X140" s="20">
        <v>468000</v>
      </c>
      <c r="Y140" s="20">
        <v>1114040</v>
      </c>
      <c r="Z140" s="20">
        <v>4651820</v>
      </c>
      <c r="AA140" s="20">
        <v>8927808</v>
      </c>
      <c r="AB140" s="20">
        <v>25933044</v>
      </c>
      <c r="AL140" s="20">
        <v>8452644</v>
      </c>
      <c r="AN140" s="20">
        <v>815136</v>
      </c>
      <c r="AO140" s="20">
        <v>1607288</v>
      </c>
      <c r="AP140" s="20">
        <v>3319120</v>
      </c>
      <c r="AQ140" s="20">
        <v>15724800</v>
      </c>
      <c r="AR140" s="20">
        <v>29918988</v>
      </c>
      <c r="BB140" s="20">
        <v>12977496</v>
      </c>
      <c r="BC140" s="20">
        <v>653568</v>
      </c>
      <c r="BD140" s="28">
        <v>816000</v>
      </c>
      <c r="BF140" s="28">
        <v>2522040</v>
      </c>
      <c r="BG140" s="28">
        <v>6928128</v>
      </c>
      <c r="BH140" s="28">
        <v>23897232</v>
      </c>
      <c r="BI140" s="28">
        <v>79749264</v>
      </c>
    </row>
    <row r="141" spans="1:61" x14ac:dyDescent="0.3">
      <c r="A141" s="1" t="s">
        <v>114</v>
      </c>
      <c r="B141" s="1" t="s">
        <v>107</v>
      </c>
      <c r="C141" s="1" t="s">
        <v>255</v>
      </c>
      <c r="D141" s="1" t="s">
        <v>246</v>
      </c>
      <c r="E141" s="1" t="s">
        <v>255</v>
      </c>
      <c r="F141" s="1" t="s">
        <v>246</v>
      </c>
      <c r="G141" s="1" t="s">
        <v>392</v>
      </c>
      <c r="H141" s="1" t="s">
        <v>393</v>
      </c>
      <c r="I141" s="1" t="s">
        <v>107</v>
      </c>
      <c r="J141" s="1" t="s">
        <v>117</v>
      </c>
      <c r="K141" s="1" t="s">
        <v>118</v>
      </c>
      <c r="L141" s="1" t="s">
        <v>99</v>
      </c>
      <c r="V141" s="20">
        <v>8107718</v>
      </c>
      <c r="W141" s="20">
        <v>408384</v>
      </c>
      <c r="X141" s="20">
        <v>374000</v>
      </c>
      <c r="Y141" s="20">
        <v>433680</v>
      </c>
      <c r="Z141" s="20">
        <v>1853140</v>
      </c>
      <c r="AA141" s="20">
        <v>3964224</v>
      </c>
      <c r="AB141" s="20">
        <v>15141146</v>
      </c>
      <c r="AL141" s="20">
        <v>6633240</v>
      </c>
      <c r="AN141" s="20">
        <v>374000</v>
      </c>
      <c r="AO141" s="20">
        <v>433680</v>
      </c>
      <c r="AP141" s="20">
        <v>4365480</v>
      </c>
      <c r="AQ141" s="20">
        <v>6206400</v>
      </c>
      <c r="AR141" s="20">
        <v>18012800</v>
      </c>
      <c r="BB141" s="20">
        <v>9202112</v>
      </c>
      <c r="BC141" s="20">
        <v>1808844</v>
      </c>
      <c r="BD141" s="28">
        <v>1551000</v>
      </c>
      <c r="BE141" s="28">
        <v>384800</v>
      </c>
      <c r="BF141" s="28">
        <v>2761540</v>
      </c>
      <c r="BG141" s="28">
        <v>6543888</v>
      </c>
      <c r="BH141" s="28">
        <v>22252184</v>
      </c>
      <c r="BI141" s="28">
        <v>55406130</v>
      </c>
    </row>
    <row r="142" spans="1:61" x14ac:dyDescent="0.3">
      <c r="A142" s="1" t="s">
        <v>114</v>
      </c>
      <c r="B142" s="1" t="s">
        <v>107</v>
      </c>
      <c r="C142" s="1" t="s">
        <v>255</v>
      </c>
      <c r="D142" s="1" t="s">
        <v>246</v>
      </c>
      <c r="E142" s="1" t="s">
        <v>255</v>
      </c>
      <c r="F142" s="1" t="s">
        <v>246</v>
      </c>
      <c r="G142" s="1" t="s">
        <v>394</v>
      </c>
      <c r="H142" s="1" t="s">
        <v>395</v>
      </c>
      <c r="I142" s="1" t="s">
        <v>107</v>
      </c>
      <c r="J142" s="1" t="s">
        <v>117</v>
      </c>
      <c r="K142" s="1" t="s">
        <v>118</v>
      </c>
      <c r="L142" s="1" t="s">
        <v>99</v>
      </c>
      <c r="V142" s="20">
        <v>11308814</v>
      </c>
      <c r="W142" s="20">
        <v>962784</v>
      </c>
      <c r="X142" s="20">
        <v>701760</v>
      </c>
      <c r="Y142" s="20">
        <v>996368</v>
      </c>
      <c r="Z142" s="20">
        <v>13073160</v>
      </c>
      <c r="AA142" s="20">
        <v>11822112</v>
      </c>
      <c r="AB142" s="20">
        <v>38864998</v>
      </c>
      <c r="AL142" s="20">
        <v>9545868</v>
      </c>
      <c r="AM142" s="20">
        <v>857184</v>
      </c>
      <c r="AN142" s="20">
        <v>782000</v>
      </c>
      <c r="AO142" s="20">
        <v>944624</v>
      </c>
      <c r="AP142" s="20">
        <v>14003230</v>
      </c>
      <c r="AQ142" s="20">
        <v>16553664</v>
      </c>
      <c r="AR142" s="20">
        <v>42686570</v>
      </c>
      <c r="BB142" s="20">
        <v>11489716</v>
      </c>
      <c r="BC142" s="20">
        <v>1591908</v>
      </c>
      <c r="BD142" s="28">
        <v>1619000</v>
      </c>
      <c r="BF142" s="28">
        <v>7080720</v>
      </c>
      <c r="BG142" s="28">
        <v>9798432</v>
      </c>
      <c r="BH142" s="28">
        <v>31579776</v>
      </c>
      <c r="BI142" s="28">
        <v>113131344</v>
      </c>
    </row>
    <row r="143" spans="1:61" x14ac:dyDescent="0.3">
      <c r="A143" s="1" t="s">
        <v>114</v>
      </c>
      <c r="B143" s="1" t="s">
        <v>107</v>
      </c>
      <c r="C143" s="1" t="s">
        <v>255</v>
      </c>
      <c r="D143" s="1" t="s">
        <v>246</v>
      </c>
      <c r="E143" s="1" t="s">
        <v>255</v>
      </c>
      <c r="F143" s="1" t="s">
        <v>246</v>
      </c>
      <c r="G143" s="1" t="s">
        <v>396</v>
      </c>
      <c r="H143" s="1" t="s">
        <v>397</v>
      </c>
      <c r="I143" s="1" t="s">
        <v>107</v>
      </c>
      <c r="J143" s="1" t="s">
        <v>117</v>
      </c>
      <c r="K143" s="1" t="s">
        <v>118</v>
      </c>
      <c r="L143" s="1" t="s">
        <v>99</v>
      </c>
      <c r="V143" s="20">
        <v>6470912</v>
      </c>
      <c r="X143" s="20">
        <v>374000</v>
      </c>
      <c r="Y143" s="20">
        <v>138840</v>
      </c>
      <c r="Z143" s="20">
        <v>1678440</v>
      </c>
      <c r="AA143" s="20">
        <v>3613824</v>
      </c>
      <c r="AB143" s="20">
        <v>12276016</v>
      </c>
      <c r="AL143" s="20">
        <v>8797286</v>
      </c>
      <c r="AN143" s="20">
        <v>815136</v>
      </c>
      <c r="AO143" s="20">
        <v>416520</v>
      </c>
      <c r="AP143" s="20">
        <v>3820140</v>
      </c>
      <c r="AQ143" s="20">
        <v>5968800</v>
      </c>
      <c r="AR143" s="20">
        <v>19817882</v>
      </c>
      <c r="BB143" s="20">
        <v>6359128</v>
      </c>
      <c r="BD143" s="28">
        <v>1122000</v>
      </c>
      <c r="BE143" s="28">
        <v>156000</v>
      </c>
      <c r="BF143" s="28">
        <v>1218740</v>
      </c>
      <c r="BG143" s="28">
        <v>4336320</v>
      </c>
      <c r="BH143" s="28">
        <v>13192188</v>
      </c>
      <c r="BI143" s="28">
        <v>45286086</v>
      </c>
    </row>
    <row r="144" spans="1:61" x14ac:dyDescent="0.3">
      <c r="A144" s="1" t="s">
        <v>114</v>
      </c>
      <c r="B144" s="1" t="s">
        <v>107</v>
      </c>
      <c r="C144" s="1" t="s">
        <v>255</v>
      </c>
      <c r="D144" s="1" t="s">
        <v>246</v>
      </c>
      <c r="E144" s="1" t="s">
        <v>255</v>
      </c>
      <c r="F144" s="1" t="s">
        <v>246</v>
      </c>
      <c r="G144" s="1" t="s">
        <v>398</v>
      </c>
      <c r="H144" s="1" t="s">
        <v>399</v>
      </c>
      <c r="I144" s="1" t="s">
        <v>107</v>
      </c>
      <c r="J144" s="1" t="s">
        <v>117</v>
      </c>
      <c r="K144" s="1" t="s">
        <v>118</v>
      </c>
      <c r="L144" s="1" t="s">
        <v>99</v>
      </c>
      <c r="V144" s="20">
        <v>7289714</v>
      </c>
      <c r="W144" s="20">
        <v>408384</v>
      </c>
      <c r="Y144" s="20">
        <v>312000</v>
      </c>
      <c r="Z144" s="20">
        <v>1646740</v>
      </c>
      <c r="AA144" s="20">
        <v>4372944</v>
      </c>
      <c r="AB144" s="20">
        <v>14029782</v>
      </c>
      <c r="AL144" s="20">
        <v>10766678</v>
      </c>
      <c r="AM144" s="20">
        <v>962784</v>
      </c>
      <c r="AN144" s="20">
        <v>816000</v>
      </c>
      <c r="AO144" s="20">
        <v>277680</v>
      </c>
      <c r="AP144" s="20">
        <v>5014380</v>
      </c>
      <c r="AQ144" s="20">
        <v>9972000</v>
      </c>
      <c r="AR144" s="20">
        <v>27809522</v>
      </c>
      <c r="BB144" s="20">
        <v>7025380</v>
      </c>
      <c r="BC144" s="20">
        <v>238692</v>
      </c>
      <c r="BD144" s="28">
        <v>803000</v>
      </c>
      <c r="BF144" s="28">
        <v>2010780</v>
      </c>
      <c r="BG144" s="28">
        <v>4709664</v>
      </c>
      <c r="BH144" s="28">
        <v>14787516</v>
      </c>
      <c r="BI144" s="28">
        <v>56626820</v>
      </c>
    </row>
    <row r="145" spans="1:61" x14ac:dyDescent="0.3">
      <c r="A145" s="1" t="s">
        <v>114</v>
      </c>
      <c r="B145" s="1" t="s">
        <v>107</v>
      </c>
      <c r="C145" s="1" t="s">
        <v>255</v>
      </c>
      <c r="D145" s="1" t="s">
        <v>246</v>
      </c>
      <c r="E145" s="1" t="s">
        <v>255</v>
      </c>
      <c r="F145" s="1" t="s">
        <v>246</v>
      </c>
      <c r="G145" s="1" t="s">
        <v>400</v>
      </c>
      <c r="H145" s="1" t="s">
        <v>401</v>
      </c>
      <c r="I145" s="1" t="s">
        <v>107</v>
      </c>
      <c r="J145" s="1" t="s">
        <v>117</v>
      </c>
      <c r="K145" s="1" t="s">
        <v>118</v>
      </c>
      <c r="L145" s="1" t="s">
        <v>99</v>
      </c>
      <c r="V145" s="20">
        <v>10702684</v>
      </c>
      <c r="W145" s="20">
        <v>962784</v>
      </c>
      <c r="Y145" s="20">
        <v>1408880</v>
      </c>
      <c r="Z145" s="20">
        <v>3143920</v>
      </c>
      <c r="AA145" s="20">
        <v>7372992</v>
      </c>
      <c r="AB145" s="20">
        <v>23591260</v>
      </c>
      <c r="AL145" s="20">
        <v>11708520</v>
      </c>
      <c r="AM145" s="20">
        <v>816768</v>
      </c>
      <c r="AN145" s="20">
        <v>782000</v>
      </c>
      <c r="AO145" s="20">
        <v>678120</v>
      </c>
      <c r="AP145" s="20">
        <v>3486320</v>
      </c>
      <c r="AQ145" s="20">
        <v>6479232</v>
      </c>
      <c r="AR145" s="20">
        <v>23950960</v>
      </c>
      <c r="BB145" s="20">
        <v>7814692</v>
      </c>
      <c r="BC145" s="20">
        <v>399408</v>
      </c>
      <c r="BD145" s="28">
        <v>2014000</v>
      </c>
      <c r="BF145" s="28">
        <v>1576880</v>
      </c>
      <c r="BG145" s="28">
        <v>5279328</v>
      </c>
      <c r="BH145" s="28">
        <v>17084308</v>
      </c>
      <c r="BI145" s="28">
        <v>64626528</v>
      </c>
    </row>
    <row r="146" spans="1:61" x14ac:dyDescent="0.3">
      <c r="A146" s="1" t="s">
        <v>114</v>
      </c>
      <c r="B146" s="1" t="s">
        <v>107</v>
      </c>
      <c r="C146" s="1" t="s">
        <v>255</v>
      </c>
      <c r="D146" s="1" t="s">
        <v>246</v>
      </c>
      <c r="E146" s="1" t="s">
        <v>255</v>
      </c>
      <c r="F146" s="1" t="s">
        <v>246</v>
      </c>
      <c r="G146" s="1" t="s">
        <v>402</v>
      </c>
      <c r="H146" s="1" t="s">
        <v>403</v>
      </c>
      <c r="I146" s="1" t="s">
        <v>107</v>
      </c>
      <c r="J146" s="1" t="s">
        <v>117</v>
      </c>
      <c r="K146" s="1" t="s">
        <v>118</v>
      </c>
      <c r="L146" s="1" t="s">
        <v>99</v>
      </c>
      <c r="V146" s="20">
        <v>5725906</v>
      </c>
      <c r="Z146" s="20">
        <v>2505040</v>
      </c>
      <c r="AA146" s="20">
        <v>5348400</v>
      </c>
      <c r="AB146" s="20">
        <v>13579346</v>
      </c>
      <c r="AL146" s="20">
        <v>9549630</v>
      </c>
      <c r="AN146" s="20">
        <v>407136</v>
      </c>
      <c r="AO146" s="20">
        <v>277680</v>
      </c>
      <c r="AP146" s="20">
        <v>3369240</v>
      </c>
      <c r="AQ146" s="20">
        <v>5954400</v>
      </c>
      <c r="AR146" s="20">
        <v>19558086</v>
      </c>
      <c r="BB146" s="20">
        <v>8009188</v>
      </c>
      <c r="BC146" s="20">
        <v>238692</v>
      </c>
      <c r="BD146" s="28">
        <v>748000</v>
      </c>
      <c r="BF146" s="28">
        <v>1999680</v>
      </c>
      <c r="BG146" s="28">
        <v>4337424</v>
      </c>
      <c r="BH146" s="28">
        <v>15332984</v>
      </c>
      <c r="BI146" s="28">
        <v>48470416</v>
      </c>
    </row>
    <row r="147" spans="1:61" x14ac:dyDescent="0.3">
      <c r="A147" s="1" t="s">
        <v>114</v>
      </c>
      <c r="B147" s="1" t="s">
        <v>107</v>
      </c>
      <c r="C147" s="1" t="s">
        <v>255</v>
      </c>
      <c r="D147" s="1" t="s">
        <v>246</v>
      </c>
      <c r="E147" s="1" t="s">
        <v>255</v>
      </c>
      <c r="F147" s="1" t="s">
        <v>246</v>
      </c>
      <c r="G147" s="1" t="s">
        <v>404</v>
      </c>
      <c r="H147" s="1" t="s">
        <v>405</v>
      </c>
      <c r="I147" s="1" t="s">
        <v>107</v>
      </c>
      <c r="J147" s="1" t="s">
        <v>117</v>
      </c>
      <c r="K147" s="1" t="s">
        <v>118</v>
      </c>
      <c r="L147" s="1" t="s">
        <v>99</v>
      </c>
      <c r="V147" s="20">
        <v>3510638</v>
      </c>
      <c r="Z147" s="20">
        <v>604100</v>
      </c>
      <c r="AA147" s="20">
        <v>972000</v>
      </c>
      <c r="AB147" s="20">
        <v>5086738</v>
      </c>
      <c r="AL147" s="20">
        <v>7350198</v>
      </c>
      <c r="AM147" s="20">
        <v>408384</v>
      </c>
      <c r="AP147" s="20">
        <v>1017400</v>
      </c>
      <c r="AQ147" s="20">
        <v>3144000</v>
      </c>
      <c r="AR147" s="20">
        <v>11919982</v>
      </c>
      <c r="BB147" s="20">
        <v>4667564</v>
      </c>
      <c r="BC147" s="20">
        <v>408384</v>
      </c>
      <c r="BF147" s="28">
        <v>413300</v>
      </c>
      <c r="BG147" s="28">
        <v>1589664</v>
      </c>
      <c r="BH147" s="28">
        <v>7078912</v>
      </c>
      <c r="BI147" s="28">
        <v>24085632</v>
      </c>
    </row>
    <row r="148" spans="1:61" x14ac:dyDescent="0.3">
      <c r="A148" s="1" t="s">
        <v>114</v>
      </c>
      <c r="B148" s="1" t="s">
        <v>107</v>
      </c>
      <c r="C148" s="1" t="s">
        <v>255</v>
      </c>
      <c r="D148" s="1" t="s">
        <v>246</v>
      </c>
      <c r="E148" s="1" t="s">
        <v>255</v>
      </c>
      <c r="F148" s="1" t="s">
        <v>246</v>
      </c>
      <c r="G148" s="1" t="s">
        <v>406</v>
      </c>
      <c r="H148" s="1" t="s">
        <v>407</v>
      </c>
      <c r="I148" s="1" t="s">
        <v>107</v>
      </c>
      <c r="J148" s="1" t="s">
        <v>117</v>
      </c>
      <c r="K148" s="1" t="s">
        <v>118</v>
      </c>
      <c r="L148" s="1" t="s">
        <v>99</v>
      </c>
      <c r="V148" s="20">
        <v>4218948</v>
      </c>
      <c r="X148" s="20">
        <v>408000</v>
      </c>
      <c r="Y148" s="20">
        <v>156000</v>
      </c>
      <c r="Z148" s="20">
        <v>1303300</v>
      </c>
      <c r="AA148" s="20">
        <v>3756480</v>
      </c>
      <c r="AB148" s="20">
        <v>9842728</v>
      </c>
      <c r="AL148" s="20">
        <v>7088450</v>
      </c>
      <c r="AM148" s="20">
        <v>408384</v>
      </c>
      <c r="AN148" s="20">
        <v>1223136</v>
      </c>
      <c r="AP148" s="20">
        <v>2971900</v>
      </c>
      <c r="AQ148" s="20">
        <v>5023200</v>
      </c>
      <c r="AR148" s="20">
        <v>16715070</v>
      </c>
      <c r="BB148" s="20">
        <v>3983864</v>
      </c>
      <c r="BC148" s="20">
        <v>238692</v>
      </c>
      <c r="BD148" s="28">
        <v>374000</v>
      </c>
      <c r="BF148" s="28">
        <v>979240</v>
      </c>
      <c r="BG148" s="28">
        <v>4716384</v>
      </c>
      <c r="BH148" s="28">
        <v>10292180</v>
      </c>
      <c r="BI148" s="28">
        <v>36849978</v>
      </c>
    </row>
    <row r="149" spans="1:61" x14ac:dyDescent="0.3">
      <c r="A149" s="1" t="s">
        <v>114</v>
      </c>
      <c r="B149" s="1" t="s">
        <v>107</v>
      </c>
      <c r="C149" s="1" t="s">
        <v>255</v>
      </c>
      <c r="D149" s="1" t="s">
        <v>246</v>
      </c>
      <c r="E149" s="1" t="s">
        <v>255</v>
      </c>
      <c r="F149" s="1" t="s">
        <v>246</v>
      </c>
      <c r="G149" s="1" t="s">
        <v>408</v>
      </c>
      <c r="H149" s="1" t="s">
        <v>409</v>
      </c>
      <c r="I149" s="1" t="s">
        <v>107</v>
      </c>
      <c r="J149" s="1" t="s">
        <v>117</v>
      </c>
      <c r="K149" s="1" t="s">
        <v>118</v>
      </c>
      <c r="L149" s="1" t="s">
        <v>99</v>
      </c>
      <c r="V149" s="20">
        <v>14387220</v>
      </c>
      <c r="X149" s="20">
        <v>350880</v>
      </c>
      <c r="Y149" s="20">
        <v>277680</v>
      </c>
      <c r="Z149" s="20">
        <v>2415800</v>
      </c>
      <c r="AA149" s="20">
        <v>5218368</v>
      </c>
      <c r="AB149" s="20">
        <v>22649948</v>
      </c>
      <c r="AL149" s="20">
        <v>3707016</v>
      </c>
      <c r="AM149" s="20">
        <v>408384</v>
      </c>
      <c r="AN149" s="20">
        <v>408000</v>
      </c>
      <c r="AO149" s="20">
        <v>416520</v>
      </c>
      <c r="AP149" s="20">
        <v>1894700</v>
      </c>
      <c r="AQ149" s="20">
        <v>2515200</v>
      </c>
      <c r="AR149" s="20">
        <v>9349820</v>
      </c>
      <c r="BB149" s="20">
        <v>7530096</v>
      </c>
      <c r="BE149" s="28">
        <v>156000</v>
      </c>
      <c r="BF149" s="28">
        <v>2076000</v>
      </c>
      <c r="BG149" s="28">
        <v>2172000</v>
      </c>
      <c r="BH149" s="28">
        <v>11934096</v>
      </c>
      <c r="BI149" s="28">
        <v>43933864</v>
      </c>
    </row>
    <row r="150" spans="1:61" x14ac:dyDescent="0.3">
      <c r="A150" s="1" t="s">
        <v>114</v>
      </c>
      <c r="B150" s="1" t="s">
        <v>107</v>
      </c>
      <c r="C150" s="1" t="s">
        <v>255</v>
      </c>
      <c r="D150" s="1" t="s">
        <v>246</v>
      </c>
      <c r="E150" s="1" t="s">
        <v>255</v>
      </c>
      <c r="F150" s="1" t="s">
        <v>246</v>
      </c>
      <c r="G150" s="1" t="s">
        <v>410</v>
      </c>
      <c r="H150" s="1" t="s">
        <v>411</v>
      </c>
      <c r="I150" s="1" t="s">
        <v>107</v>
      </c>
      <c r="J150" s="1" t="s">
        <v>117</v>
      </c>
      <c r="K150" s="1" t="s">
        <v>118</v>
      </c>
      <c r="L150" s="1" t="s">
        <v>99</v>
      </c>
      <c r="V150" s="20">
        <v>5778872</v>
      </c>
      <c r="X150" s="20">
        <v>350880</v>
      </c>
      <c r="Y150" s="20">
        <v>138840</v>
      </c>
      <c r="Z150" s="20">
        <v>1303300</v>
      </c>
      <c r="AA150" s="20">
        <v>2344800</v>
      </c>
      <c r="AB150" s="20">
        <v>9916692</v>
      </c>
      <c r="AL150" s="20">
        <v>4958100</v>
      </c>
      <c r="AO150" s="20">
        <v>416520</v>
      </c>
      <c r="AP150" s="20">
        <v>3441100</v>
      </c>
      <c r="AQ150" s="20">
        <v>5781600</v>
      </c>
      <c r="AR150" s="20">
        <v>14597320</v>
      </c>
      <c r="BF150" s="28">
        <v>2277900</v>
      </c>
      <c r="BG150" s="28">
        <v>4344000</v>
      </c>
      <c r="BH150" s="28">
        <v>6621900</v>
      </c>
      <c r="BI150" s="28">
        <v>31135912</v>
      </c>
    </row>
    <row r="151" spans="1:61" x14ac:dyDescent="0.3">
      <c r="A151" s="1" t="s">
        <v>114</v>
      </c>
      <c r="B151" s="1" t="s">
        <v>107</v>
      </c>
      <c r="C151" s="1" t="s">
        <v>255</v>
      </c>
      <c r="D151" s="1" t="s">
        <v>246</v>
      </c>
      <c r="E151" s="1" t="s">
        <v>255</v>
      </c>
      <c r="F151" s="1" t="s">
        <v>246</v>
      </c>
      <c r="G151" s="1" t="s">
        <v>412</v>
      </c>
      <c r="H151" s="1" t="s">
        <v>413</v>
      </c>
      <c r="I151" s="1" t="s">
        <v>107</v>
      </c>
      <c r="J151" s="1" t="s">
        <v>117</v>
      </c>
      <c r="K151" s="1" t="s">
        <v>118</v>
      </c>
      <c r="L151" s="1" t="s">
        <v>99</v>
      </c>
      <c r="V151" s="20">
        <v>10141630</v>
      </c>
      <c r="W151" s="20">
        <v>554400</v>
      </c>
      <c r="X151" s="20">
        <v>758880</v>
      </c>
      <c r="Y151" s="20">
        <v>156000</v>
      </c>
      <c r="Z151" s="20">
        <v>3160020</v>
      </c>
      <c r="AA151" s="20">
        <v>6346080</v>
      </c>
      <c r="AB151" s="20">
        <v>21117010</v>
      </c>
      <c r="AL151" s="20">
        <v>8219396</v>
      </c>
      <c r="AN151" s="20">
        <v>408000</v>
      </c>
      <c r="AO151" s="20">
        <v>138840</v>
      </c>
      <c r="AP151" s="20">
        <v>5054420</v>
      </c>
      <c r="AQ151" s="20">
        <v>9100032</v>
      </c>
      <c r="AR151" s="20">
        <v>22920688</v>
      </c>
      <c r="BB151" s="20">
        <v>7674684</v>
      </c>
      <c r="BC151" s="20">
        <v>1198224</v>
      </c>
      <c r="BD151" s="28">
        <v>1211000</v>
      </c>
      <c r="BE151" s="28">
        <v>156000</v>
      </c>
      <c r="BF151" s="28">
        <v>3201420</v>
      </c>
      <c r="BG151" s="28">
        <v>5956128</v>
      </c>
      <c r="BH151" s="28">
        <v>19397456</v>
      </c>
      <c r="BI151" s="28">
        <v>63435154</v>
      </c>
    </row>
    <row r="152" spans="1:61" x14ac:dyDescent="0.3">
      <c r="A152" s="1" t="s">
        <v>114</v>
      </c>
      <c r="B152" s="1" t="s">
        <v>107</v>
      </c>
      <c r="C152" s="1" t="s">
        <v>255</v>
      </c>
      <c r="D152" s="1" t="s">
        <v>246</v>
      </c>
      <c r="E152" s="1" t="s">
        <v>255</v>
      </c>
      <c r="F152" s="1" t="s">
        <v>246</v>
      </c>
      <c r="G152" s="1" t="s">
        <v>414</v>
      </c>
      <c r="H152" s="1" t="s">
        <v>415</v>
      </c>
      <c r="I152" s="1" t="s">
        <v>107</v>
      </c>
      <c r="J152" s="1" t="s">
        <v>117</v>
      </c>
      <c r="K152" s="1" t="s">
        <v>118</v>
      </c>
      <c r="L152" s="1" t="s">
        <v>99</v>
      </c>
      <c r="V152" s="20">
        <v>4756718</v>
      </c>
      <c r="X152" s="20">
        <v>350880</v>
      </c>
      <c r="Y152" s="20">
        <v>294840</v>
      </c>
      <c r="Z152" s="20">
        <v>3680940</v>
      </c>
      <c r="AA152" s="20">
        <v>4747056</v>
      </c>
      <c r="AB152" s="20">
        <v>13830434</v>
      </c>
      <c r="AL152" s="20">
        <v>4965012</v>
      </c>
      <c r="AN152" s="20">
        <v>407136</v>
      </c>
      <c r="AO152" s="20">
        <v>294840</v>
      </c>
      <c r="AP152" s="20">
        <v>3536240</v>
      </c>
      <c r="AQ152" s="20">
        <v>5244000</v>
      </c>
      <c r="AR152" s="20">
        <v>14447228</v>
      </c>
      <c r="BB152" s="20">
        <v>4966052</v>
      </c>
      <c r="BE152" s="28">
        <v>156000</v>
      </c>
      <c r="BF152" s="28">
        <v>1097800</v>
      </c>
      <c r="BG152" s="28">
        <v>5332944</v>
      </c>
      <c r="BH152" s="28">
        <v>11552796</v>
      </c>
      <c r="BI152" s="28">
        <v>39830458</v>
      </c>
    </row>
    <row r="153" spans="1:61" x14ac:dyDescent="0.3">
      <c r="A153" s="1" t="s">
        <v>114</v>
      </c>
      <c r="B153" s="1" t="s">
        <v>107</v>
      </c>
      <c r="C153" s="1" t="s">
        <v>255</v>
      </c>
      <c r="D153" s="1" t="s">
        <v>246</v>
      </c>
      <c r="E153" s="1" t="s">
        <v>255</v>
      </c>
      <c r="F153" s="1" t="s">
        <v>246</v>
      </c>
      <c r="G153" s="1" t="s">
        <v>416</v>
      </c>
      <c r="H153" s="1" t="s">
        <v>417</v>
      </c>
      <c r="I153" s="1" t="s">
        <v>107</v>
      </c>
      <c r="J153" s="1" t="s">
        <v>117</v>
      </c>
      <c r="K153" s="1" t="s">
        <v>118</v>
      </c>
      <c r="L153" s="1" t="s">
        <v>99</v>
      </c>
      <c r="V153" s="20">
        <v>4476046</v>
      </c>
      <c r="Y153" s="20">
        <v>138840</v>
      </c>
      <c r="Z153" s="20">
        <v>3925500</v>
      </c>
      <c r="AA153" s="20">
        <v>5388480</v>
      </c>
      <c r="AB153" s="20">
        <v>13928866</v>
      </c>
      <c r="AL153" s="20">
        <v>8191284</v>
      </c>
      <c r="AM153" s="20">
        <v>408384</v>
      </c>
      <c r="AN153" s="20">
        <v>781136</v>
      </c>
      <c r="AO153" s="20">
        <v>138840</v>
      </c>
      <c r="AP153" s="20">
        <v>2195600</v>
      </c>
      <c r="AQ153" s="20">
        <v>6957600</v>
      </c>
      <c r="AR153" s="20">
        <v>18672844</v>
      </c>
      <c r="BB153" s="20">
        <v>8408680</v>
      </c>
      <c r="BC153" s="20">
        <v>638100</v>
      </c>
      <c r="BD153" s="28">
        <v>1156000</v>
      </c>
      <c r="BF153" s="28">
        <v>2155000</v>
      </c>
      <c r="BG153" s="28">
        <v>5995344</v>
      </c>
      <c r="BH153" s="28">
        <v>18353124</v>
      </c>
      <c r="BI153" s="28">
        <v>50954834</v>
      </c>
    </row>
    <row r="154" spans="1:61" x14ac:dyDescent="0.3">
      <c r="A154" s="1" t="s">
        <v>114</v>
      </c>
      <c r="B154" s="1" t="s">
        <v>107</v>
      </c>
      <c r="C154" s="1" t="s">
        <v>255</v>
      </c>
      <c r="D154" s="1" t="s">
        <v>246</v>
      </c>
      <c r="E154" s="1" t="s">
        <v>255</v>
      </c>
      <c r="F154" s="1" t="s">
        <v>246</v>
      </c>
      <c r="G154" s="1" t="s">
        <v>418</v>
      </c>
      <c r="H154" s="1" t="s">
        <v>419</v>
      </c>
      <c r="I154" s="1" t="s">
        <v>107</v>
      </c>
      <c r="J154" s="1" t="s">
        <v>117</v>
      </c>
      <c r="K154" s="1" t="s">
        <v>118</v>
      </c>
      <c r="L154" s="1" t="s">
        <v>99</v>
      </c>
      <c r="V154" s="20">
        <v>6587688</v>
      </c>
      <c r="X154" s="20">
        <v>701760</v>
      </c>
      <c r="Y154" s="20">
        <v>294840</v>
      </c>
      <c r="Z154" s="20">
        <v>1780000</v>
      </c>
      <c r="AA154" s="20">
        <v>6551136</v>
      </c>
      <c r="AB154" s="20">
        <v>15915424</v>
      </c>
      <c r="AL154" s="20">
        <v>5310864</v>
      </c>
      <c r="AM154" s="20">
        <v>408384</v>
      </c>
      <c r="AP154" s="20">
        <v>890000</v>
      </c>
      <c r="AQ154" s="20">
        <v>1200000</v>
      </c>
      <c r="AR154" s="20">
        <v>7809248</v>
      </c>
      <c r="BB154" s="20">
        <v>2112588</v>
      </c>
      <c r="BC154" s="20">
        <v>399408</v>
      </c>
      <c r="BF154" s="28">
        <v>1080800</v>
      </c>
      <c r="BG154" s="28">
        <v>628800</v>
      </c>
      <c r="BH154" s="28">
        <v>4221596</v>
      </c>
      <c r="BI154" s="28">
        <v>27946268</v>
      </c>
    </row>
    <row r="155" spans="1:61" x14ac:dyDescent="0.3">
      <c r="A155" s="1" t="s">
        <v>114</v>
      </c>
      <c r="B155" s="1" t="s">
        <v>107</v>
      </c>
      <c r="C155" s="1" t="s">
        <v>255</v>
      </c>
      <c r="D155" s="1" t="s">
        <v>246</v>
      </c>
      <c r="E155" s="1" t="s">
        <v>255</v>
      </c>
      <c r="F155" s="1" t="s">
        <v>246</v>
      </c>
      <c r="G155" s="1" t="s">
        <v>420</v>
      </c>
      <c r="H155" s="1" t="s">
        <v>421</v>
      </c>
      <c r="I155" s="1" t="s">
        <v>107</v>
      </c>
      <c r="J155" s="1" t="s">
        <v>117</v>
      </c>
      <c r="K155" s="1" t="s">
        <v>118</v>
      </c>
      <c r="L155" s="1" t="s">
        <v>99</v>
      </c>
      <c r="V155" s="20">
        <v>1120032</v>
      </c>
      <c r="Z155" s="20">
        <v>1939100</v>
      </c>
      <c r="AA155" s="20">
        <v>2923968</v>
      </c>
      <c r="AB155" s="20">
        <v>5983100</v>
      </c>
      <c r="AL155" s="20">
        <v>11072870</v>
      </c>
      <c r="AM155" s="20">
        <v>408384</v>
      </c>
      <c r="AN155" s="20">
        <v>781136</v>
      </c>
      <c r="AP155" s="20">
        <v>3053900</v>
      </c>
      <c r="AQ155" s="20">
        <v>7677600</v>
      </c>
      <c r="AR155" s="20">
        <v>22993890</v>
      </c>
      <c r="BB155" s="20">
        <v>4529360</v>
      </c>
      <c r="BC155" s="20">
        <v>238692</v>
      </c>
      <c r="BD155" s="28">
        <v>1530000</v>
      </c>
      <c r="BF155" s="28">
        <v>1979080</v>
      </c>
      <c r="BG155" s="28">
        <v>5536320</v>
      </c>
      <c r="BH155" s="28">
        <v>13813452</v>
      </c>
      <c r="BI155" s="28">
        <v>42790442</v>
      </c>
    </row>
    <row r="156" spans="1:61" x14ac:dyDescent="0.3">
      <c r="A156" s="1" t="s">
        <v>114</v>
      </c>
      <c r="B156" s="1" t="s">
        <v>107</v>
      </c>
      <c r="C156" s="1" t="s">
        <v>255</v>
      </c>
      <c r="D156" s="1" t="s">
        <v>246</v>
      </c>
      <c r="E156" s="1" t="s">
        <v>255</v>
      </c>
      <c r="F156" s="1" t="s">
        <v>246</v>
      </c>
      <c r="G156" s="1" t="s">
        <v>422</v>
      </c>
      <c r="H156" s="1" t="s">
        <v>423</v>
      </c>
      <c r="I156" s="1" t="s">
        <v>107</v>
      </c>
      <c r="J156" s="1" t="s">
        <v>117</v>
      </c>
      <c r="K156" s="1" t="s">
        <v>118</v>
      </c>
      <c r="L156" s="1" t="s">
        <v>99</v>
      </c>
      <c r="V156" s="20">
        <v>2875064</v>
      </c>
      <c r="W156" s="20">
        <v>408384</v>
      </c>
      <c r="Z156" s="20">
        <v>890000</v>
      </c>
      <c r="AA156" s="20">
        <v>2267712</v>
      </c>
      <c r="AB156" s="20">
        <v>6441160</v>
      </c>
      <c r="AL156" s="20">
        <v>3938448</v>
      </c>
      <c r="AN156" s="20">
        <v>816000</v>
      </c>
      <c r="AP156" s="20">
        <v>2178040</v>
      </c>
      <c r="AQ156" s="20">
        <v>3945600</v>
      </c>
      <c r="AR156" s="20">
        <v>10878088</v>
      </c>
      <c r="BB156" s="20">
        <v>4710368</v>
      </c>
      <c r="BC156" s="20">
        <v>238692</v>
      </c>
      <c r="BD156" s="28">
        <v>1551000</v>
      </c>
      <c r="BF156" s="28">
        <v>565940</v>
      </c>
      <c r="BG156" s="28">
        <v>2083200</v>
      </c>
      <c r="BH156" s="28">
        <v>9149200</v>
      </c>
      <c r="BI156" s="28">
        <v>26468448</v>
      </c>
    </row>
    <row r="157" spans="1:61" x14ac:dyDescent="0.3">
      <c r="A157" s="1" t="s">
        <v>114</v>
      </c>
      <c r="B157" s="1" t="s">
        <v>107</v>
      </c>
      <c r="C157" s="1" t="s">
        <v>255</v>
      </c>
      <c r="D157" s="1" t="s">
        <v>246</v>
      </c>
      <c r="E157" s="1" t="s">
        <v>255</v>
      </c>
      <c r="F157" s="1" t="s">
        <v>246</v>
      </c>
      <c r="G157" s="1" t="s">
        <v>424</v>
      </c>
      <c r="H157" s="1" t="s">
        <v>425</v>
      </c>
      <c r="I157" s="1" t="s">
        <v>107</v>
      </c>
      <c r="J157" s="1" t="s">
        <v>117</v>
      </c>
      <c r="K157" s="1" t="s">
        <v>118</v>
      </c>
      <c r="L157" s="1" t="s">
        <v>99</v>
      </c>
      <c r="V157" s="20">
        <v>5540114</v>
      </c>
      <c r="Y157" s="20">
        <v>294840</v>
      </c>
      <c r="Z157" s="20">
        <v>2244380</v>
      </c>
      <c r="AA157" s="20">
        <v>5467392</v>
      </c>
      <c r="AB157" s="20">
        <v>13546726</v>
      </c>
      <c r="AL157" s="20">
        <v>7642216</v>
      </c>
      <c r="AN157" s="20">
        <v>407136</v>
      </c>
      <c r="AO157" s="20">
        <v>277680</v>
      </c>
      <c r="AP157" s="20">
        <v>3257800</v>
      </c>
      <c r="AQ157" s="20">
        <v>6264000</v>
      </c>
      <c r="AR157" s="20">
        <v>17848832</v>
      </c>
      <c r="BB157" s="20">
        <v>5488054</v>
      </c>
      <c r="BC157" s="20">
        <v>1799868</v>
      </c>
      <c r="BD157" s="28">
        <v>1938000</v>
      </c>
      <c r="BE157" s="28">
        <v>156000</v>
      </c>
      <c r="BF157" s="28">
        <v>2414020</v>
      </c>
      <c r="BG157" s="28">
        <v>5868384</v>
      </c>
      <c r="BH157" s="28">
        <v>17664326</v>
      </c>
      <c r="BI157" s="28">
        <v>49059884</v>
      </c>
    </row>
    <row r="158" spans="1:61" x14ac:dyDescent="0.3">
      <c r="A158" s="1" t="s">
        <v>114</v>
      </c>
      <c r="B158" s="1" t="s">
        <v>107</v>
      </c>
      <c r="C158" s="1" t="s">
        <v>255</v>
      </c>
      <c r="D158" s="1" t="s">
        <v>246</v>
      </c>
      <c r="E158" s="1" t="s">
        <v>255</v>
      </c>
      <c r="F158" s="1" t="s">
        <v>246</v>
      </c>
      <c r="G158" s="1" t="s">
        <v>426</v>
      </c>
      <c r="H158" s="1" t="s">
        <v>427</v>
      </c>
      <c r="I158" s="1" t="s">
        <v>107</v>
      </c>
      <c r="J158" s="1" t="s">
        <v>117</v>
      </c>
      <c r="K158" s="1" t="s">
        <v>118</v>
      </c>
      <c r="L158" s="1" t="s">
        <v>99</v>
      </c>
      <c r="V158" s="20">
        <v>22196652</v>
      </c>
      <c r="W158" s="20">
        <v>816768</v>
      </c>
      <c r="X158" s="20">
        <v>1754400</v>
      </c>
      <c r="Y158" s="20">
        <v>138840</v>
      </c>
      <c r="Z158" s="20">
        <v>3109140</v>
      </c>
      <c r="AA158" s="20">
        <v>6631200</v>
      </c>
      <c r="AB158" s="20">
        <v>34647000</v>
      </c>
      <c r="AL158" s="20">
        <v>7454004</v>
      </c>
      <c r="AM158" s="20">
        <v>408384</v>
      </c>
      <c r="AN158" s="20">
        <v>408000</v>
      </c>
      <c r="AO158" s="20">
        <v>294840</v>
      </c>
      <c r="AP158" s="20">
        <v>3760900</v>
      </c>
      <c r="AQ158" s="20">
        <v>4116000</v>
      </c>
      <c r="AR158" s="20">
        <v>16442128</v>
      </c>
      <c r="BB158" s="20">
        <v>1050000</v>
      </c>
      <c r="BF158" s="28">
        <v>575440</v>
      </c>
      <c r="BG158" s="28">
        <v>2114400</v>
      </c>
      <c r="BH158" s="28">
        <v>3739840</v>
      </c>
      <c r="BI158" s="28">
        <v>54828968</v>
      </c>
    </row>
    <row r="159" spans="1:61" x14ac:dyDescent="0.3">
      <c r="A159" s="1" t="s">
        <v>114</v>
      </c>
      <c r="B159" s="1" t="s">
        <v>107</v>
      </c>
      <c r="C159" s="1" t="s">
        <v>255</v>
      </c>
      <c r="D159" s="1" t="s">
        <v>246</v>
      </c>
      <c r="E159" s="1" t="s">
        <v>255</v>
      </c>
      <c r="F159" s="1" t="s">
        <v>246</v>
      </c>
      <c r="G159" s="1" t="s">
        <v>428</v>
      </c>
      <c r="H159" s="1" t="s">
        <v>429</v>
      </c>
      <c r="I159" s="1" t="s">
        <v>107</v>
      </c>
      <c r="J159" s="1" t="s">
        <v>117</v>
      </c>
      <c r="K159" s="1" t="s">
        <v>118</v>
      </c>
      <c r="L159" s="1" t="s">
        <v>99</v>
      </c>
      <c r="BB159" s="20">
        <v>7807284</v>
      </c>
      <c r="BC159" s="20">
        <v>1192500</v>
      </c>
      <c r="BD159" s="28">
        <v>2005136</v>
      </c>
      <c r="BE159" s="28">
        <v>3325824</v>
      </c>
      <c r="BF159" s="28">
        <v>3066230</v>
      </c>
      <c r="BG159" s="28">
        <v>7861728</v>
      </c>
      <c r="BH159" s="28">
        <v>25258702</v>
      </c>
      <c r="BI159" s="28">
        <v>25258702</v>
      </c>
    </row>
    <row r="160" spans="1:61" x14ac:dyDescent="0.3">
      <c r="A160" s="1" t="s">
        <v>114</v>
      </c>
      <c r="B160" s="1" t="s">
        <v>107</v>
      </c>
      <c r="C160" s="1" t="s">
        <v>430</v>
      </c>
      <c r="D160" s="1" t="s">
        <v>252</v>
      </c>
      <c r="E160" s="1" t="s">
        <v>430</v>
      </c>
      <c r="F160" s="1" t="s">
        <v>252</v>
      </c>
      <c r="G160" s="1" t="s">
        <v>431</v>
      </c>
      <c r="H160" s="1" t="s">
        <v>432</v>
      </c>
      <c r="I160" s="1" t="s">
        <v>107</v>
      </c>
      <c r="J160" s="1" t="s">
        <v>117</v>
      </c>
      <c r="K160" s="1" t="s">
        <v>118</v>
      </c>
      <c r="L160" s="1" t="s">
        <v>99</v>
      </c>
      <c r="V160" s="20">
        <v>14288562</v>
      </c>
      <c r="W160" s="20">
        <v>1371168</v>
      </c>
      <c r="Y160" s="20">
        <v>1236800</v>
      </c>
      <c r="Z160" s="20">
        <v>9403940</v>
      </c>
      <c r="AA160" s="20">
        <v>18061776</v>
      </c>
      <c r="AB160" s="20">
        <v>44362246</v>
      </c>
      <c r="AL160" s="20">
        <v>13316654</v>
      </c>
      <c r="AM160" s="20">
        <v>962784</v>
      </c>
      <c r="AN160" s="20">
        <v>407136</v>
      </c>
      <c r="AO160" s="20">
        <v>1527208</v>
      </c>
      <c r="AP160" s="20">
        <v>9436916</v>
      </c>
      <c r="AQ160" s="20">
        <v>16900128</v>
      </c>
      <c r="AR160" s="20">
        <v>42550826</v>
      </c>
      <c r="BB160" s="20">
        <v>15933646</v>
      </c>
      <c r="BC160" s="20">
        <v>901236</v>
      </c>
      <c r="BD160" s="28">
        <v>2100000</v>
      </c>
      <c r="BE160" s="28">
        <v>417600</v>
      </c>
      <c r="BF160" s="28">
        <v>5797500</v>
      </c>
      <c r="BG160" s="28">
        <v>11003952</v>
      </c>
      <c r="BH160" s="28">
        <v>36153934</v>
      </c>
      <c r="BI160" s="28">
        <v>123067006</v>
      </c>
    </row>
    <row r="161" spans="1:61" x14ac:dyDescent="0.3">
      <c r="A161" s="1" t="s">
        <v>114</v>
      </c>
      <c r="B161" s="1" t="s">
        <v>107</v>
      </c>
      <c r="C161" s="1" t="s">
        <v>430</v>
      </c>
      <c r="D161" s="1" t="s">
        <v>252</v>
      </c>
      <c r="E161" s="1" t="s">
        <v>430</v>
      </c>
      <c r="F161" s="1" t="s">
        <v>252</v>
      </c>
      <c r="G161" s="1" t="s">
        <v>433</v>
      </c>
      <c r="H161" s="1" t="s">
        <v>434</v>
      </c>
      <c r="I161" s="1" t="s">
        <v>107</v>
      </c>
      <c r="J161" s="1" t="s">
        <v>117</v>
      </c>
      <c r="K161" s="1" t="s">
        <v>118</v>
      </c>
      <c r="L161" s="1" t="s">
        <v>99</v>
      </c>
      <c r="V161" s="20">
        <v>9679860</v>
      </c>
      <c r="W161" s="20">
        <v>408384</v>
      </c>
      <c r="X161" s="20">
        <v>782000</v>
      </c>
      <c r="Y161" s="20">
        <v>1121976</v>
      </c>
      <c r="Z161" s="20">
        <v>2504540</v>
      </c>
      <c r="AA161" s="20">
        <v>3813312</v>
      </c>
      <c r="AB161" s="20">
        <v>18310072</v>
      </c>
      <c r="AL161" s="20">
        <v>6893150</v>
      </c>
      <c r="AM161" s="20">
        <v>962784</v>
      </c>
      <c r="AN161" s="20">
        <v>815136</v>
      </c>
      <c r="AO161" s="20">
        <v>816960</v>
      </c>
      <c r="AP161" s="20">
        <v>5144412</v>
      </c>
      <c r="AQ161" s="20">
        <v>9866400</v>
      </c>
      <c r="AR161" s="20">
        <v>24498842</v>
      </c>
      <c r="BB161" s="20">
        <v>6483204</v>
      </c>
      <c r="BC161" s="20">
        <v>1291668</v>
      </c>
      <c r="BD161" s="28">
        <v>374000</v>
      </c>
      <c r="BE161" s="28">
        <v>156000</v>
      </c>
      <c r="BF161" s="28">
        <v>5773620</v>
      </c>
      <c r="BG161" s="28">
        <v>7273728</v>
      </c>
      <c r="BH161" s="28">
        <v>21352220</v>
      </c>
      <c r="BI161" s="28">
        <v>64161134</v>
      </c>
    </row>
    <row r="162" spans="1:61" x14ac:dyDescent="0.3">
      <c r="A162" s="1" t="s">
        <v>114</v>
      </c>
      <c r="B162" s="1" t="s">
        <v>107</v>
      </c>
      <c r="C162" s="1" t="s">
        <v>430</v>
      </c>
      <c r="D162" s="1" t="s">
        <v>252</v>
      </c>
      <c r="E162" s="1" t="s">
        <v>430</v>
      </c>
      <c r="F162" s="1" t="s">
        <v>252</v>
      </c>
      <c r="G162" s="1" t="s">
        <v>435</v>
      </c>
      <c r="H162" s="1" t="s">
        <v>436</v>
      </c>
      <c r="I162" s="1" t="s">
        <v>107</v>
      </c>
      <c r="J162" s="1" t="s">
        <v>117</v>
      </c>
      <c r="K162" s="1" t="s">
        <v>118</v>
      </c>
      <c r="L162" s="1" t="s">
        <v>99</v>
      </c>
      <c r="V162" s="20">
        <v>15401078</v>
      </c>
      <c r="W162" s="20">
        <v>1411584</v>
      </c>
      <c r="X162" s="20">
        <v>1600880</v>
      </c>
      <c r="Y162" s="20">
        <v>2109248</v>
      </c>
      <c r="Z162" s="20">
        <v>9316200</v>
      </c>
      <c r="AA162" s="20">
        <v>7411344</v>
      </c>
      <c r="AB162" s="20">
        <v>37250334</v>
      </c>
      <c r="AL162" s="20">
        <v>11891544</v>
      </c>
      <c r="AM162" s="20">
        <v>1819968</v>
      </c>
      <c r="AN162" s="20">
        <v>407136</v>
      </c>
      <c r="AO162" s="20">
        <v>816960</v>
      </c>
      <c r="AP162" s="20">
        <v>10354760</v>
      </c>
      <c r="AQ162" s="20">
        <v>15736800</v>
      </c>
      <c r="AR162" s="20">
        <v>41027168</v>
      </c>
      <c r="BB162" s="20">
        <v>15952650</v>
      </c>
      <c r="BC162" s="20">
        <v>2644884</v>
      </c>
      <c r="BD162" s="28">
        <v>1190000</v>
      </c>
      <c r="BE162" s="28">
        <v>696800</v>
      </c>
      <c r="BF162" s="28">
        <v>13826940</v>
      </c>
      <c r="BG162" s="28">
        <v>9633792</v>
      </c>
      <c r="BH162" s="28">
        <v>43945066</v>
      </c>
      <c r="BI162" s="28">
        <v>122222568</v>
      </c>
    </row>
    <row r="163" spans="1:61" x14ac:dyDescent="0.3">
      <c r="A163" s="1" t="s">
        <v>114</v>
      </c>
      <c r="B163" s="1" t="s">
        <v>107</v>
      </c>
      <c r="C163" s="1" t="s">
        <v>430</v>
      </c>
      <c r="D163" s="1" t="s">
        <v>252</v>
      </c>
      <c r="E163" s="1" t="s">
        <v>430</v>
      </c>
      <c r="F163" s="1" t="s">
        <v>252</v>
      </c>
      <c r="G163" s="1" t="s">
        <v>437</v>
      </c>
      <c r="H163" s="1" t="s">
        <v>438</v>
      </c>
      <c r="I163" s="1" t="s">
        <v>107</v>
      </c>
      <c r="J163" s="1" t="s">
        <v>117</v>
      </c>
      <c r="K163" s="1" t="s">
        <v>118</v>
      </c>
      <c r="L163" s="1" t="s">
        <v>99</v>
      </c>
      <c r="V163" s="20">
        <v>14054136</v>
      </c>
      <c r="W163" s="20">
        <v>816768</v>
      </c>
      <c r="Y163" s="20">
        <v>1512680</v>
      </c>
      <c r="Z163" s="20">
        <v>4035020</v>
      </c>
      <c r="AA163" s="20">
        <v>9868848</v>
      </c>
      <c r="AB163" s="20">
        <v>30287452</v>
      </c>
      <c r="AL163" s="20">
        <v>10660022</v>
      </c>
      <c r="AM163" s="20">
        <v>554400</v>
      </c>
      <c r="AN163" s="20">
        <v>1597136</v>
      </c>
      <c r="AO163" s="20">
        <v>1319968</v>
      </c>
      <c r="AP163" s="20">
        <v>6471680</v>
      </c>
      <c r="AQ163" s="20">
        <v>13320864</v>
      </c>
      <c r="AR163" s="20">
        <v>33924070</v>
      </c>
      <c r="BB163" s="20">
        <v>11781028</v>
      </c>
      <c r="BC163" s="20">
        <v>1130952</v>
      </c>
      <c r="BD163" s="28">
        <v>1156000</v>
      </c>
      <c r="BE163" s="28">
        <v>156000</v>
      </c>
      <c r="BF163" s="28">
        <v>3024080</v>
      </c>
      <c r="BG163" s="28">
        <v>6246288</v>
      </c>
      <c r="BH163" s="28">
        <v>23494348</v>
      </c>
      <c r="BI163" s="28">
        <v>87705870</v>
      </c>
    </row>
    <row r="164" spans="1:61" x14ac:dyDescent="0.3">
      <c r="A164" s="1" t="s">
        <v>114</v>
      </c>
      <c r="B164" s="1" t="s">
        <v>107</v>
      </c>
      <c r="C164" s="1" t="s">
        <v>430</v>
      </c>
      <c r="D164" s="1" t="s">
        <v>252</v>
      </c>
      <c r="E164" s="1" t="s">
        <v>430</v>
      </c>
      <c r="F164" s="1" t="s">
        <v>252</v>
      </c>
      <c r="G164" s="1" t="s">
        <v>439</v>
      </c>
      <c r="H164" s="1" t="s">
        <v>440</v>
      </c>
      <c r="I164" s="1" t="s">
        <v>107</v>
      </c>
      <c r="J164" s="1" t="s">
        <v>117</v>
      </c>
      <c r="K164" s="1" t="s">
        <v>118</v>
      </c>
      <c r="L164" s="1" t="s">
        <v>99</v>
      </c>
      <c r="V164" s="20">
        <v>10615980</v>
      </c>
      <c r="W164" s="20">
        <v>816768</v>
      </c>
      <c r="X164" s="20">
        <v>350880</v>
      </c>
      <c r="Y164" s="20">
        <v>294840</v>
      </c>
      <c r="Z164" s="20">
        <v>3823440</v>
      </c>
      <c r="AA164" s="20">
        <v>6864480</v>
      </c>
      <c r="AB164" s="20">
        <v>22766388</v>
      </c>
      <c r="AL164" s="20">
        <v>11261556</v>
      </c>
      <c r="AM164" s="20">
        <v>408384</v>
      </c>
      <c r="AN164" s="20">
        <v>815136</v>
      </c>
      <c r="AO164" s="20">
        <v>1042288</v>
      </c>
      <c r="AP164" s="20">
        <v>6509268</v>
      </c>
      <c r="AQ164" s="20">
        <v>7694400</v>
      </c>
      <c r="AR164" s="20">
        <v>27731032</v>
      </c>
      <c r="BB164" s="20">
        <v>11140058</v>
      </c>
      <c r="BC164" s="20">
        <v>2208252</v>
      </c>
      <c r="BD164" s="28">
        <v>1564000</v>
      </c>
      <c r="BE164" s="28">
        <v>156000</v>
      </c>
      <c r="BF164" s="28">
        <v>3076940</v>
      </c>
      <c r="BG164" s="28">
        <v>5587392</v>
      </c>
      <c r="BH164" s="28">
        <v>23732642</v>
      </c>
      <c r="BI164" s="28">
        <v>74230062</v>
      </c>
    </row>
    <row r="165" spans="1:61" x14ac:dyDescent="0.3">
      <c r="A165" s="1" t="s">
        <v>114</v>
      </c>
      <c r="B165" s="1" t="s">
        <v>107</v>
      </c>
      <c r="C165" s="1" t="s">
        <v>430</v>
      </c>
      <c r="D165" s="1" t="s">
        <v>252</v>
      </c>
      <c r="E165" s="1" t="s">
        <v>430</v>
      </c>
      <c r="F165" s="1" t="s">
        <v>252</v>
      </c>
      <c r="G165" s="1" t="s">
        <v>441</v>
      </c>
      <c r="H165" s="1" t="s">
        <v>442</v>
      </c>
      <c r="I165" s="1" t="s">
        <v>107</v>
      </c>
      <c r="J165" s="1" t="s">
        <v>117</v>
      </c>
      <c r="K165" s="1" t="s">
        <v>118</v>
      </c>
      <c r="L165" s="1" t="s">
        <v>99</v>
      </c>
      <c r="V165" s="20">
        <v>10004112</v>
      </c>
      <c r="X165" s="20">
        <v>350880</v>
      </c>
      <c r="Y165" s="20">
        <v>294840</v>
      </c>
      <c r="Z165" s="20">
        <v>1608580</v>
      </c>
      <c r="AA165" s="20">
        <v>4882080</v>
      </c>
      <c r="AB165" s="20">
        <v>17140492</v>
      </c>
      <c r="AL165" s="20">
        <v>7715880</v>
      </c>
      <c r="AM165" s="20">
        <v>408384</v>
      </c>
      <c r="AN165" s="20">
        <v>781136</v>
      </c>
      <c r="AO165" s="20">
        <v>608608</v>
      </c>
      <c r="AP165" s="20">
        <v>2642980</v>
      </c>
      <c r="AQ165" s="20">
        <v>8682432</v>
      </c>
      <c r="AR165" s="20">
        <v>20839420</v>
      </c>
      <c r="BB165" s="20">
        <v>6438064</v>
      </c>
      <c r="BC165" s="20">
        <v>876792</v>
      </c>
      <c r="BD165" s="28">
        <v>1904000</v>
      </c>
      <c r="BE165" s="28">
        <v>156000</v>
      </c>
      <c r="BF165" s="28">
        <v>963140</v>
      </c>
      <c r="BG165" s="28">
        <v>5465424</v>
      </c>
      <c r="BH165" s="28">
        <v>15803420</v>
      </c>
      <c r="BI165" s="28">
        <v>53783332</v>
      </c>
    </row>
    <row r="166" spans="1:61" x14ac:dyDescent="0.3">
      <c r="A166" s="1" t="s">
        <v>114</v>
      </c>
      <c r="B166" s="1" t="s">
        <v>107</v>
      </c>
      <c r="C166" s="1" t="s">
        <v>430</v>
      </c>
      <c r="D166" s="1" t="s">
        <v>252</v>
      </c>
      <c r="E166" s="1" t="s">
        <v>430</v>
      </c>
      <c r="F166" s="1" t="s">
        <v>252</v>
      </c>
      <c r="G166" s="1" t="s">
        <v>443</v>
      </c>
      <c r="H166" s="1" t="s">
        <v>444</v>
      </c>
      <c r="I166" s="1" t="s">
        <v>107</v>
      </c>
      <c r="J166" s="1" t="s">
        <v>117</v>
      </c>
      <c r="K166" s="1" t="s">
        <v>118</v>
      </c>
      <c r="L166" s="1" t="s">
        <v>99</v>
      </c>
      <c r="V166" s="20">
        <v>5368776</v>
      </c>
      <c r="X166" s="20">
        <v>350880</v>
      </c>
      <c r="Y166" s="20">
        <v>450840</v>
      </c>
      <c r="Z166" s="20">
        <v>2981740</v>
      </c>
      <c r="AA166" s="20">
        <v>7009776</v>
      </c>
      <c r="AB166" s="20">
        <v>16162012</v>
      </c>
      <c r="AL166" s="20">
        <v>4452888</v>
      </c>
      <c r="AO166" s="20">
        <v>294840</v>
      </c>
      <c r="AP166" s="20">
        <v>4521900</v>
      </c>
      <c r="AQ166" s="20">
        <v>5030400</v>
      </c>
      <c r="AR166" s="20">
        <v>14300028</v>
      </c>
      <c r="BB166" s="20">
        <v>3988800</v>
      </c>
      <c r="BE166" s="28">
        <v>156000</v>
      </c>
      <c r="BF166" s="28">
        <v>815500</v>
      </c>
      <c r="BG166" s="28">
        <v>3028800</v>
      </c>
      <c r="BH166" s="28">
        <v>7989100</v>
      </c>
      <c r="BI166" s="28">
        <v>38451140</v>
      </c>
    </row>
    <row r="167" spans="1:61" x14ac:dyDescent="0.3">
      <c r="A167" s="1" t="s">
        <v>114</v>
      </c>
      <c r="B167" s="1" t="s">
        <v>107</v>
      </c>
      <c r="C167" s="1" t="s">
        <v>430</v>
      </c>
      <c r="D167" s="1" t="s">
        <v>252</v>
      </c>
      <c r="E167" s="1" t="s">
        <v>430</v>
      </c>
      <c r="F167" s="1" t="s">
        <v>252</v>
      </c>
      <c r="G167" s="1" t="s">
        <v>445</v>
      </c>
      <c r="H167" s="1" t="s">
        <v>446</v>
      </c>
      <c r="I167" s="1" t="s">
        <v>107</v>
      </c>
      <c r="J167" s="1" t="s">
        <v>117</v>
      </c>
      <c r="K167" s="1" t="s">
        <v>118</v>
      </c>
      <c r="L167" s="1" t="s">
        <v>99</v>
      </c>
      <c r="V167" s="20">
        <v>11904348</v>
      </c>
      <c r="W167" s="20">
        <v>408384</v>
      </c>
      <c r="X167" s="20">
        <v>1075760</v>
      </c>
      <c r="Y167" s="20">
        <v>1907216</v>
      </c>
      <c r="Z167" s="20">
        <v>7219000</v>
      </c>
      <c r="AA167" s="20">
        <v>8858544</v>
      </c>
      <c r="AB167" s="20">
        <v>31373252</v>
      </c>
      <c r="AL167" s="20">
        <v>11586984</v>
      </c>
      <c r="AM167" s="20">
        <v>1517184</v>
      </c>
      <c r="AN167" s="20">
        <v>1244136</v>
      </c>
      <c r="AO167" s="20">
        <v>747448</v>
      </c>
      <c r="AP167" s="20">
        <v>12640672</v>
      </c>
      <c r="AQ167" s="20">
        <v>17760864</v>
      </c>
      <c r="AR167" s="20">
        <v>45497288</v>
      </c>
      <c r="BB167" s="20">
        <v>10840126</v>
      </c>
      <c r="BC167" s="20">
        <v>1446660</v>
      </c>
      <c r="BD167" s="28">
        <v>782000</v>
      </c>
      <c r="BE167" s="28">
        <v>156000</v>
      </c>
      <c r="BF167" s="28">
        <v>15031080</v>
      </c>
      <c r="BG167" s="28">
        <v>11224992</v>
      </c>
      <c r="BH167" s="28">
        <v>39480858</v>
      </c>
      <c r="BI167" s="28">
        <v>116351398</v>
      </c>
    </row>
    <row r="168" spans="1:61" x14ac:dyDescent="0.3">
      <c r="A168" s="1" t="s">
        <v>114</v>
      </c>
      <c r="B168" s="1" t="s">
        <v>107</v>
      </c>
      <c r="C168" s="1" t="s">
        <v>430</v>
      </c>
      <c r="D168" s="1" t="s">
        <v>252</v>
      </c>
      <c r="E168" s="1" t="s">
        <v>430</v>
      </c>
      <c r="F168" s="1" t="s">
        <v>252</v>
      </c>
      <c r="G168" s="1" t="s">
        <v>447</v>
      </c>
      <c r="H168" s="1" t="s">
        <v>448</v>
      </c>
      <c r="I168" s="1" t="s">
        <v>107</v>
      </c>
      <c r="J168" s="1" t="s">
        <v>117</v>
      </c>
      <c r="K168" s="1" t="s">
        <v>118</v>
      </c>
      <c r="L168" s="1" t="s">
        <v>99</v>
      </c>
      <c r="V168" s="20">
        <v>7112432</v>
      </c>
      <c r="X168" s="20">
        <v>350880</v>
      </c>
      <c r="Y168" s="20">
        <v>156000</v>
      </c>
      <c r="Z168" s="20">
        <v>3141740</v>
      </c>
      <c r="AA168" s="20">
        <v>6435936</v>
      </c>
      <c r="AB168" s="20">
        <v>17196988</v>
      </c>
      <c r="AL168" s="20">
        <v>7340918</v>
      </c>
      <c r="AM168" s="20">
        <v>1411584</v>
      </c>
      <c r="AN168" s="20">
        <v>407136</v>
      </c>
      <c r="AO168" s="20">
        <v>903448</v>
      </c>
      <c r="AP168" s="20">
        <v>4723840</v>
      </c>
      <c r="AQ168" s="20">
        <v>9025632</v>
      </c>
      <c r="AR168" s="20">
        <v>23812558</v>
      </c>
      <c r="BB168" s="20">
        <v>13102788</v>
      </c>
      <c r="BC168" s="20">
        <v>1130952</v>
      </c>
      <c r="BD168" s="28">
        <v>2652000</v>
      </c>
      <c r="BE168" s="28">
        <v>312000</v>
      </c>
      <c r="BF168" s="28">
        <v>1824840</v>
      </c>
      <c r="BG168" s="28">
        <v>5325600</v>
      </c>
      <c r="BH168" s="28">
        <v>24348180</v>
      </c>
      <c r="BI168" s="28">
        <v>65357726</v>
      </c>
    </row>
    <row r="169" spans="1:61" x14ac:dyDescent="0.3">
      <c r="A169" s="1" t="s">
        <v>114</v>
      </c>
      <c r="B169" s="1" t="s">
        <v>107</v>
      </c>
      <c r="C169" s="1" t="s">
        <v>430</v>
      </c>
      <c r="D169" s="1" t="s">
        <v>252</v>
      </c>
      <c r="E169" s="1" t="s">
        <v>430</v>
      </c>
      <c r="F169" s="1" t="s">
        <v>252</v>
      </c>
      <c r="G169" s="1" t="s">
        <v>449</v>
      </c>
      <c r="H169" s="1" t="s">
        <v>450</v>
      </c>
      <c r="I169" s="1" t="s">
        <v>107</v>
      </c>
      <c r="J169" s="1" t="s">
        <v>117</v>
      </c>
      <c r="K169" s="1" t="s">
        <v>118</v>
      </c>
      <c r="L169" s="1" t="s">
        <v>99</v>
      </c>
      <c r="V169" s="20">
        <v>12806568</v>
      </c>
      <c r="X169" s="20">
        <v>1132880</v>
      </c>
      <c r="Y169" s="20">
        <v>1691648</v>
      </c>
      <c r="Z169" s="20">
        <v>6206660</v>
      </c>
      <c r="AA169" s="20">
        <v>8500992</v>
      </c>
      <c r="AB169" s="20">
        <v>30338748</v>
      </c>
      <c r="AL169" s="20">
        <v>10556436</v>
      </c>
      <c r="AN169" s="20">
        <v>815136</v>
      </c>
      <c r="AO169" s="20">
        <v>416520</v>
      </c>
      <c r="AP169" s="20">
        <v>8116592</v>
      </c>
      <c r="AQ169" s="20">
        <v>12761664</v>
      </c>
      <c r="AR169" s="20">
        <v>32666348</v>
      </c>
      <c r="BB169" s="20">
        <v>12033770</v>
      </c>
      <c r="BC169" s="20">
        <v>2326644</v>
      </c>
      <c r="BD169" s="28">
        <v>1632000</v>
      </c>
      <c r="BE169" s="28">
        <v>156000</v>
      </c>
      <c r="BF169" s="28">
        <v>13299380</v>
      </c>
      <c r="BG169" s="28">
        <v>11584992</v>
      </c>
      <c r="BH169" s="28">
        <v>41032786</v>
      </c>
      <c r="BI169" s="28">
        <v>104037882</v>
      </c>
    </row>
    <row r="170" spans="1:61" x14ac:dyDescent="0.3">
      <c r="A170" s="1" t="s">
        <v>114</v>
      </c>
      <c r="B170" s="1" t="s">
        <v>107</v>
      </c>
      <c r="C170" s="1" t="s">
        <v>430</v>
      </c>
      <c r="D170" s="1" t="s">
        <v>252</v>
      </c>
      <c r="E170" s="1" t="s">
        <v>430</v>
      </c>
      <c r="F170" s="1" t="s">
        <v>252</v>
      </c>
      <c r="G170" s="1" t="s">
        <v>451</v>
      </c>
      <c r="H170" s="1" t="s">
        <v>452</v>
      </c>
      <c r="I170" s="1" t="s">
        <v>107</v>
      </c>
      <c r="J170" s="1" t="s">
        <v>117</v>
      </c>
      <c r="K170" s="1" t="s">
        <v>118</v>
      </c>
      <c r="L170" s="1" t="s">
        <v>99</v>
      </c>
      <c r="V170" s="20">
        <v>5577584</v>
      </c>
      <c r="X170" s="20">
        <v>350880</v>
      </c>
      <c r="Y170" s="20">
        <v>138840</v>
      </c>
      <c r="Z170" s="20">
        <v>3242400</v>
      </c>
      <c r="AA170" s="20">
        <v>4160256</v>
      </c>
      <c r="AB170" s="20">
        <v>13469960</v>
      </c>
      <c r="AL170" s="20">
        <v>4110576</v>
      </c>
      <c r="AM170" s="20">
        <v>816768</v>
      </c>
      <c r="AO170" s="20">
        <v>433680</v>
      </c>
      <c r="AP170" s="20">
        <v>2595500</v>
      </c>
      <c r="AQ170" s="20">
        <v>5316000</v>
      </c>
      <c r="AR170" s="20">
        <v>13272524</v>
      </c>
      <c r="BB170" s="20">
        <v>2059764</v>
      </c>
      <c r="BE170" s="28">
        <v>468000</v>
      </c>
      <c r="BF170" s="28">
        <v>1462400</v>
      </c>
      <c r="BG170" s="28">
        <v>1875264</v>
      </c>
      <c r="BH170" s="28">
        <v>5865428</v>
      </c>
      <c r="BI170" s="28">
        <v>32607912</v>
      </c>
    </row>
    <row r="171" spans="1:61" x14ac:dyDescent="0.3">
      <c r="A171" s="1" t="s">
        <v>114</v>
      </c>
      <c r="B171" s="1" t="s">
        <v>107</v>
      </c>
      <c r="C171" s="1" t="s">
        <v>430</v>
      </c>
      <c r="D171" s="1" t="s">
        <v>252</v>
      </c>
      <c r="E171" s="1" t="s">
        <v>430</v>
      </c>
      <c r="F171" s="1" t="s">
        <v>252</v>
      </c>
      <c r="G171" s="1" t="s">
        <v>453</v>
      </c>
      <c r="H171" s="1" t="s">
        <v>454</v>
      </c>
      <c r="I171" s="1" t="s">
        <v>107</v>
      </c>
      <c r="J171" s="1" t="s">
        <v>117</v>
      </c>
      <c r="K171" s="1" t="s">
        <v>118</v>
      </c>
      <c r="L171" s="1" t="s">
        <v>99</v>
      </c>
      <c r="V171" s="20">
        <v>3558488</v>
      </c>
      <c r="X171" s="20">
        <v>350880</v>
      </c>
      <c r="Y171" s="20">
        <v>156000</v>
      </c>
      <c r="Z171" s="20">
        <v>1748300</v>
      </c>
      <c r="AA171" s="20">
        <v>2617056</v>
      </c>
      <c r="AB171" s="20">
        <v>8430724</v>
      </c>
      <c r="AL171" s="20">
        <v>2173440</v>
      </c>
      <c r="AN171" s="20">
        <v>816000</v>
      </c>
      <c r="AO171" s="20">
        <v>277680</v>
      </c>
      <c r="AP171" s="20">
        <v>1716600</v>
      </c>
      <c r="AQ171" s="20">
        <v>2515200</v>
      </c>
      <c r="AR171" s="20">
        <v>7498920</v>
      </c>
      <c r="BB171" s="20">
        <v>806064</v>
      </c>
      <c r="BF171" s="28">
        <v>858300</v>
      </c>
      <c r="BG171" s="28">
        <v>2685600</v>
      </c>
      <c r="BH171" s="28">
        <v>4349964</v>
      </c>
      <c r="BI171" s="28">
        <v>20279608</v>
      </c>
    </row>
    <row r="172" spans="1:61" x14ac:dyDescent="0.3">
      <c r="A172" s="1" t="s">
        <v>114</v>
      </c>
      <c r="B172" s="1" t="s">
        <v>107</v>
      </c>
      <c r="C172" s="1" t="s">
        <v>430</v>
      </c>
      <c r="D172" s="1" t="s">
        <v>252</v>
      </c>
      <c r="E172" s="1" t="s">
        <v>430</v>
      </c>
      <c r="F172" s="1" t="s">
        <v>252</v>
      </c>
      <c r="G172" s="1" t="s">
        <v>455</v>
      </c>
      <c r="H172" s="1" t="s">
        <v>456</v>
      </c>
      <c r="I172" s="1" t="s">
        <v>107</v>
      </c>
      <c r="J172" s="1" t="s">
        <v>117</v>
      </c>
      <c r="K172" s="1" t="s">
        <v>118</v>
      </c>
      <c r="L172" s="1" t="s">
        <v>99</v>
      </c>
      <c r="V172" s="20">
        <v>4076064</v>
      </c>
      <c r="Z172" s="20">
        <v>445000</v>
      </c>
      <c r="AA172" s="20">
        <v>540000</v>
      </c>
      <c r="AB172" s="20">
        <v>5061064</v>
      </c>
      <c r="AL172" s="20">
        <v>4812348</v>
      </c>
      <c r="AN172" s="20">
        <v>815136</v>
      </c>
      <c r="AO172" s="20">
        <v>277680</v>
      </c>
      <c r="AP172" s="20">
        <v>2027780</v>
      </c>
      <c r="AQ172" s="20">
        <v>5080800</v>
      </c>
      <c r="AR172" s="20">
        <v>13013744</v>
      </c>
      <c r="BB172" s="20">
        <v>3610166</v>
      </c>
      <c r="BC172" s="20">
        <v>807792</v>
      </c>
      <c r="BD172" s="28">
        <v>816000</v>
      </c>
      <c r="BF172" s="28">
        <v>3397340</v>
      </c>
      <c r="BG172" s="28">
        <v>3883200</v>
      </c>
      <c r="BH172" s="28">
        <v>12514498</v>
      </c>
      <c r="BI172" s="28">
        <v>30589306</v>
      </c>
    </row>
    <row r="173" spans="1:61" x14ac:dyDescent="0.3">
      <c r="A173" s="1" t="s">
        <v>114</v>
      </c>
      <c r="B173" s="1" t="s">
        <v>107</v>
      </c>
      <c r="C173" s="1" t="s">
        <v>430</v>
      </c>
      <c r="D173" s="1" t="s">
        <v>252</v>
      </c>
      <c r="E173" s="1" t="s">
        <v>430</v>
      </c>
      <c r="F173" s="1" t="s">
        <v>252</v>
      </c>
      <c r="G173" s="1" t="s">
        <v>457</v>
      </c>
      <c r="H173" s="1" t="s">
        <v>458</v>
      </c>
      <c r="I173" s="1" t="s">
        <v>107</v>
      </c>
      <c r="J173" s="1" t="s">
        <v>117</v>
      </c>
      <c r="K173" s="1" t="s">
        <v>118</v>
      </c>
      <c r="L173" s="1" t="s">
        <v>99</v>
      </c>
      <c r="V173" s="20">
        <v>5078640</v>
      </c>
      <c r="W173" s="20">
        <v>408384</v>
      </c>
      <c r="X173" s="20">
        <v>350880</v>
      </c>
      <c r="Y173" s="20">
        <v>138840</v>
      </c>
      <c r="Z173" s="20">
        <v>1748300</v>
      </c>
      <c r="AA173" s="20">
        <v>3031200</v>
      </c>
      <c r="AB173" s="20">
        <v>10756244</v>
      </c>
      <c r="AL173" s="20">
        <v>2501160</v>
      </c>
      <c r="AO173" s="20">
        <v>277680</v>
      </c>
      <c r="AP173" s="20">
        <v>1112500</v>
      </c>
      <c r="AQ173" s="20">
        <v>1944000</v>
      </c>
      <c r="AR173" s="20">
        <v>5835340</v>
      </c>
      <c r="BB173" s="20">
        <v>1676400</v>
      </c>
      <c r="BE173" s="28">
        <v>312000</v>
      </c>
      <c r="BF173" s="28">
        <v>1270000</v>
      </c>
      <c r="BG173" s="28">
        <v>2114400</v>
      </c>
      <c r="BH173" s="28">
        <v>5372800</v>
      </c>
      <c r="BI173" s="28">
        <v>21964384</v>
      </c>
    </row>
    <row r="174" spans="1:61" x14ac:dyDescent="0.3">
      <c r="A174" s="1" t="s">
        <v>114</v>
      </c>
      <c r="B174" s="1" t="s">
        <v>107</v>
      </c>
      <c r="C174" s="1" t="s">
        <v>430</v>
      </c>
      <c r="D174" s="1" t="s">
        <v>252</v>
      </c>
      <c r="E174" s="1" t="s">
        <v>430</v>
      </c>
      <c r="F174" s="1" t="s">
        <v>252</v>
      </c>
      <c r="G174" s="1" t="s">
        <v>459</v>
      </c>
      <c r="H174" s="1" t="s">
        <v>460</v>
      </c>
      <c r="I174" s="1" t="s">
        <v>107</v>
      </c>
      <c r="J174" s="1" t="s">
        <v>117</v>
      </c>
      <c r="K174" s="1" t="s">
        <v>118</v>
      </c>
      <c r="L174" s="1" t="s">
        <v>99</v>
      </c>
      <c r="V174" s="20">
        <v>14735450</v>
      </c>
      <c r="W174" s="20">
        <v>1517184</v>
      </c>
      <c r="X174" s="20">
        <v>724880</v>
      </c>
      <c r="Y174" s="20">
        <v>1114040</v>
      </c>
      <c r="Z174" s="20">
        <v>3545400</v>
      </c>
      <c r="AA174" s="20">
        <v>10113792</v>
      </c>
      <c r="AB174" s="20">
        <v>31750746</v>
      </c>
      <c r="AL174" s="20">
        <v>15978554</v>
      </c>
      <c r="AM174" s="20">
        <v>2333952</v>
      </c>
      <c r="AN174" s="20">
        <v>2005136</v>
      </c>
      <c r="AO174" s="20">
        <v>1199008</v>
      </c>
      <c r="AP174" s="20">
        <v>5180556</v>
      </c>
      <c r="AQ174" s="20">
        <v>11598432</v>
      </c>
      <c r="AR174" s="20">
        <v>38295638</v>
      </c>
      <c r="BB174" s="20">
        <v>15146950</v>
      </c>
      <c r="BC174" s="20">
        <v>1052976</v>
      </c>
      <c r="BD174" s="28">
        <v>468000</v>
      </c>
      <c r="BE174" s="28">
        <v>156000</v>
      </c>
      <c r="BF174" s="28">
        <v>3280660</v>
      </c>
      <c r="BG174" s="28">
        <v>10212576</v>
      </c>
      <c r="BH174" s="28">
        <v>30317162</v>
      </c>
      <c r="BI174" s="28">
        <v>100363546</v>
      </c>
    </row>
    <row r="175" spans="1:61" x14ac:dyDescent="0.3">
      <c r="A175" s="1" t="s">
        <v>114</v>
      </c>
      <c r="B175" s="1" t="s">
        <v>107</v>
      </c>
      <c r="C175" s="1" t="s">
        <v>430</v>
      </c>
      <c r="D175" s="1" t="s">
        <v>252</v>
      </c>
      <c r="E175" s="1" t="s">
        <v>430</v>
      </c>
      <c r="F175" s="1" t="s">
        <v>252</v>
      </c>
      <c r="G175" s="1" t="s">
        <v>461</v>
      </c>
      <c r="H175" s="1" t="s">
        <v>462</v>
      </c>
      <c r="I175" s="1" t="s">
        <v>107</v>
      </c>
      <c r="J175" s="1" t="s">
        <v>117</v>
      </c>
      <c r="K175" s="1" t="s">
        <v>118</v>
      </c>
      <c r="L175" s="1" t="s">
        <v>99</v>
      </c>
      <c r="V175" s="20">
        <v>11993808</v>
      </c>
      <c r="W175" s="20">
        <v>408384</v>
      </c>
      <c r="X175" s="20">
        <v>1109760</v>
      </c>
      <c r="Y175" s="20">
        <v>1362848</v>
      </c>
      <c r="Z175" s="20">
        <v>4021600</v>
      </c>
      <c r="AA175" s="20">
        <v>6124368</v>
      </c>
      <c r="AB175" s="20">
        <v>25020768</v>
      </c>
      <c r="AL175" s="20">
        <v>5872706</v>
      </c>
      <c r="AM175" s="20">
        <v>554400</v>
      </c>
      <c r="AN175" s="20">
        <v>815136</v>
      </c>
      <c r="AO175" s="20">
        <v>555360</v>
      </c>
      <c r="AP175" s="20">
        <v>6383756</v>
      </c>
      <c r="AQ175" s="20">
        <v>13767264</v>
      </c>
      <c r="AR175" s="20">
        <v>27948622</v>
      </c>
      <c r="BB175" s="20">
        <v>8801812</v>
      </c>
      <c r="BC175" s="20">
        <v>1291668</v>
      </c>
      <c r="BD175" s="28">
        <v>782000</v>
      </c>
      <c r="BE175" s="28">
        <v>156000</v>
      </c>
      <c r="BF175" s="28">
        <v>5016880</v>
      </c>
      <c r="BG175" s="28">
        <v>7453728</v>
      </c>
      <c r="BH175" s="28">
        <v>23502088</v>
      </c>
      <c r="BI175" s="28">
        <v>76471478</v>
      </c>
    </row>
    <row r="176" spans="1:61" x14ac:dyDescent="0.3">
      <c r="A176" s="1" t="s">
        <v>114</v>
      </c>
      <c r="B176" s="1" t="s">
        <v>107</v>
      </c>
      <c r="C176" s="1" t="s">
        <v>430</v>
      </c>
      <c r="D176" s="1" t="s">
        <v>252</v>
      </c>
      <c r="E176" s="1" t="s">
        <v>430</v>
      </c>
      <c r="F176" s="1" t="s">
        <v>252</v>
      </c>
      <c r="G176" s="1" t="s">
        <v>463</v>
      </c>
      <c r="H176" s="1" t="s">
        <v>464</v>
      </c>
      <c r="I176" s="1" t="s">
        <v>107</v>
      </c>
      <c r="J176" s="1" t="s">
        <v>117</v>
      </c>
      <c r="K176" s="1" t="s">
        <v>118</v>
      </c>
      <c r="L176" s="1" t="s">
        <v>99</v>
      </c>
      <c r="V176" s="20">
        <v>11506750</v>
      </c>
      <c r="X176" s="20">
        <v>758880</v>
      </c>
      <c r="Y176" s="20">
        <v>1907216</v>
      </c>
      <c r="Z176" s="20">
        <v>6671020</v>
      </c>
      <c r="AA176" s="20">
        <v>10007856</v>
      </c>
      <c r="AB176" s="20">
        <v>30851722</v>
      </c>
      <c r="AL176" s="20">
        <v>9872628</v>
      </c>
      <c r="AM176" s="20">
        <v>408384</v>
      </c>
      <c r="AN176" s="20">
        <v>1619000</v>
      </c>
      <c r="AO176" s="20">
        <v>1218920</v>
      </c>
      <c r="AP176" s="20">
        <v>8508612</v>
      </c>
      <c r="AQ176" s="20">
        <v>21136896</v>
      </c>
      <c r="AR176" s="20">
        <v>42764440</v>
      </c>
      <c r="BB176" s="20">
        <v>13139944</v>
      </c>
      <c r="BC176" s="20">
        <v>876792</v>
      </c>
      <c r="BD176" s="28">
        <v>1631136</v>
      </c>
      <c r="BE176" s="28">
        <v>556440</v>
      </c>
      <c r="BF176" s="28">
        <v>15438780</v>
      </c>
      <c r="BG176" s="28">
        <v>15159456</v>
      </c>
      <c r="BH176" s="28">
        <v>46802548</v>
      </c>
      <c r="BI176" s="28">
        <v>120418710</v>
      </c>
    </row>
    <row r="177" spans="1:61" x14ac:dyDescent="0.3">
      <c r="A177" s="1" t="s">
        <v>114</v>
      </c>
      <c r="B177" s="1" t="s">
        <v>107</v>
      </c>
      <c r="C177" s="1" t="s">
        <v>430</v>
      </c>
      <c r="D177" s="1" t="s">
        <v>252</v>
      </c>
      <c r="E177" s="1" t="s">
        <v>430</v>
      </c>
      <c r="F177" s="1" t="s">
        <v>252</v>
      </c>
      <c r="G177" s="1" t="s">
        <v>465</v>
      </c>
      <c r="H177" s="1" t="s">
        <v>466</v>
      </c>
      <c r="I177" s="1" t="s">
        <v>107</v>
      </c>
      <c r="J177" s="1" t="s">
        <v>117</v>
      </c>
      <c r="K177" s="1" t="s">
        <v>118</v>
      </c>
      <c r="L177" s="1" t="s">
        <v>99</v>
      </c>
      <c r="V177" s="20">
        <v>9934704</v>
      </c>
      <c r="X177" s="20">
        <v>374000</v>
      </c>
      <c r="Y177" s="20">
        <v>294840</v>
      </c>
      <c r="Z177" s="20">
        <v>3172040</v>
      </c>
      <c r="AA177" s="20">
        <v>7979856</v>
      </c>
      <c r="AB177" s="20">
        <v>21755440</v>
      </c>
      <c r="AL177" s="20">
        <v>11768428</v>
      </c>
      <c r="AM177" s="20">
        <v>1371168</v>
      </c>
      <c r="AN177" s="20">
        <v>407136</v>
      </c>
      <c r="AO177" s="20">
        <v>1271088</v>
      </c>
      <c r="AP177" s="20">
        <v>3300972</v>
      </c>
      <c r="AQ177" s="20">
        <v>8485632</v>
      </c>
      <c r="AR177" s="20">
        <v>26604424</v>
      </c>
      <c r="BB177" s="20">
        <v>11962016</v>
      </c>
      <c r="BC177" s="20">
        <v>653568</v>
      </c>
      <c r="BD177" s="28">
        <v>748000</v>
      </c>
      <c r="BE177" s="28">
        <v>156000</v>
      </c>
      <c r="BF177" s="28">
        <v>1821440</v>
      </c>
      <c r="BG177" s="28">
        <v>6637488</v>
      </c>
      <c r="BH177" s="28">
        <v>21978512</v>
      </c>
      <c r="BI177" s="28">
        <v>70338376</v>
      </c>
    </row>
    <row r="178" spans="1:61" x14ac:dyDescent="0.3">
      <c r="A178" s="1" t="s">
        <v>114</v>
      </c>
      <c r="B178" s="1" t="s">
        <v>107</v>
      </c>
      <c r="C178" s="1" t="s">
        <v>430</v>
      </c>
      <c r="D178" s="1" t="s">
        <v>252</v>
      </c>
      <c r="E178" s="1" t="s">
        <v>430</v>
      </c>
      <c r="F178" s="1" t="s">
        <v>252</v>
      </c>
      <c r="G178" s="1" t="s">
        <v>467</v>
      </c>
      <c r="H178" s="1" t="s">
        <v>468</v>
      </c>
      <c r="I178" s="1" t="s">
        <v>107</v>
      </c>
      <c r="J178" s="1" t="s">
        <v>117</v>
      </c>
      <c r="K178" s="1" t="s">
        <v>118</v>
      </c>
      <c r="L178" s="1" t="s">
        <v>99</v>
      </c>
      <c r="V178" s="20">
        <v>8093744</v>
      </c>
      <c r="X178" s="20">
        <v>350880</v>
      </c>
      <c r="Y178" s="20">
        <v>156000</v>
      </c>
      <c r="Z178" s="20">
        <v>3325180</v>
      </c>
      <c r="AA178" s="20">
        <v>7067424</v>
      </c>
      <c r="AB178" s="20">
        <v>18993228</v>
      </c>
      <c r="AL178" s="20">
        <v>9924396</v>
      </c>
      <c r="AM178" s="20">
        <v>962784</v>
      </c>
      <c r="AN178" s="20">
        <v>815136</v>
      </c>
      <c r="AO178" s="20">
        <v>608608</v>
      </c>
      <c r="AP178" s="20">
        <v>3843120</v>
      </c>
      <c r="AQ178" s="20">
        <v>7916832</v>
      </c>
      <c r="AR178" s="20">
        <v>24070876</v>
      </c>
      <c r="BB178" s="20">
        <v>10773828</v>
      </c>
      <c r="BC178" s="20">
        <v>731544</v>
      </c>
      <c r="BD178" s="28">
        <v>1496000</v>
      </c>
      <c r="BE178" s="28">
        <v>156000</v>
      </c>
      <c r="BF178" s="28">
        <v>1409540</v>
      </c>
      <c r="BG178" s="28">
        <v>5437488</v>
      </c>
      <c r="BH178" s="28">
        <v>20004400</v>
      </c>
      <c r="BI178" s="28">
        <v>63068504</v>
      </c>
    </row>
    <row r="179" spans="1:61" x14ac:dyDescent="0.3">
      <c r="A179" s="1" t="s">
        <v>114</v>
      </c>
      <c r="B179" s="1" t="s">
        <v>107</v>
      </c>
      <c r="C179" s="1" t="s">
        <v>430</v>
      </c>
      <c r="D179" s="1" t="s">
        <v>252</v>
      </c>
      <c r="E179" s="1" t="s">
        <v>430</v>
      </c>
      <c r="F179" s="1" t="s">
        <v>252</v>
      </c>
      <c r="G179" s="1" t="s">
        <v>469</v>
      </c>
      <c r="H179" s="1" t="s">
        <v>470</v>
      </c>
      <c r="I179" s="1" t="s">
        <v>107</v>
      </c>
      <c r="J179" s="1" t="s">
        <v>117</v>
      </c>
      <c r="K179" s="1" t="s">
        <v>118</v>
      </c>
      <c r="L179" s="1" t="s">
        <v>99</v>
      </c>
      <c r="V179" s="20">
        <v>6374544</v>
      </c>
      <c r="W179" s="20">
        <v>408384</v>
      </c>
      <c r="Y179" s="20">
        <v>294840</v>
      </c>
      <c r="Z179" s="20">
        <v>1010940</v>
      </c>
      <c r="AA179" s="20">
        <v>2831712</v>
      </c>
      <c r="AB179" s="20">
        <v>10920420</v>
      </c>
      <c r="AL179" s="20">
        <v>1644048</v>
      </c>
      <c r="AN179" s="20">
        <v>407136</v>
      </c>
      <c r="AO179" s="20">
        <v>277680</v>
      </c>
      <c r="AP179" s="20">
        <v>1632040</v>
      </c>
      <c r="AQ179" s="20">
        <v>4572000</v>
      </c>
      <c r="AR179" s="20">
        <v>8532904</v>
      </c>
      <c r="BB179" s="20">
        <v>5683526</v>
      </c>
      <c r="BC179" s="20">
        <v>1001052</v>
      </c>
      <c r="BD179" s="28">
        <v>748000</v>
      </c>
      <c r="BF179" s="28">
        <v>3007500</v>
      </c>
      <c r="BG179" s="28">
        <v>3046464</v>
      </c>
      <c r="BH179" s="28">
        <v>13486542</v>
      </c>
      <c r="BI179" s="28">
        <v>32939866</v>
      </c>
    </row>
    <row r="180" spans="1:61" x14ac:dyDescent="0.3">
      <c r="A180" s="1" t="s">
        <v>114</v>
      </c>
      <c r="B180" s="1" t="s">
        <v>107</v>
      </c>
      <c r="C180" s="1" t="s">
        <v>430</v>
      </c>
      <c r="D180" s="1" t="s">
        <v>252</v>
      </c>
      <c r="E180" s="1" t="s">
        <v>430</v>
      </c>
      <c r="F180" s="1" t="s">
        <v>252</v>
      </c>
      <c r="G180" s="1" t="s">
        <v>471</v>
      </c>
      <c r="H180" s="1" t="s">
        <v>472</v>
      </c>
      <c r="I180" s="1" t="s">
        <v>107</v>
      </c>
      <c r="J180" s="1" t="s">
        <v>117</v>
      </c>
      <c r="K180" s="1" t="s">
        <v>118</v>
      </c>
      <c r="L180" s="1" t="s">
        <v>99</v>
      </c>
      <c r="V180" s="20">
        <v>13024918</v>
      </c>
      <c r="W180" s="20">
        <v>408384</v>
      </c>
      <c r="Y180" s="20">
        <v>138840</v>
      </c>
      <c r="Z180" s="20">
        <v>4459240</v>
      </c>
      <c r="AA180" s="20">
        <v>8848080</v>
      </c>
      <c r="AB180" s="20">
        <v>26879462</v>
      </c>
      <c r="AL180" s="20">
        <v>11488802</v>
      </c>
      <c r="AM180" s="20">
        <v>554400</v>
      </c>
      <c r="AN180" s="20">
        <v>815136</v>
      </c>
      <c r="AO180" s="20">
        <v>416520</v>
      </c>
      <c r="AP180" s="20">
        <v>5857556</v>
      </c>
      <c r="AQ180" s="20">
        <v>11292000</v>
      </c>
      <c r="AR180" s="20">
        <v>30424414</v>
      </c>
      <c r="BB180" s="20">
        <v>8767288</v>
      </c>
      <c r="BD180" s="28">
        <v>1530000</v>
      </c>
      <c r="BE180" s="28">
        <v>156000</v>
      </c>
      <c r="BF180" s="28">
        <v>5109160</v>
      </c>
      <c r="BG180" s="28">
        <v>6872928</v>
      </c>
      <c r="BH180" s="28">
        <v>22435376</v>
      </c>
      <c r="BI180" s="28">
        <v>79739252</v>
      </c>
    </row>
    <row r="181" spans="1:61" x14ac:dyDescent="0.3">
      <c r="A181" s="1" t="s">
        <v>114</v>
      </c>
      <c r="B181" s="1" t="s">
        <v>107</v>
      </c>
      <c r="C181" s="1" t="s">
        <v>430</v>
      </c>
      <c r="D181" s="1" t="s">
        <v>252</v>
      </c>
      <c r="E181" s="1" t="s">
        <v>430</v>
      </c>
      <c r="F181" s="1" t="s">
        <v>252</v>
      </c>
      <c r="G181" s="1" t="s">
        <v>473</v>
      </c>
      <c r="H181" s="1" t="s">
        <v>474</v>
      </c>
      <c r="I181" s="1" t="s">
        <v>107</v>
      </c>
      <c r="J181" s="1" t="s">
        <v>117</v>
      </c>
      <c r="K181" s="1" t="s">
        <v>118</v>
      </c>
      <c r="L181" s="1" t="s">
        <v>99</v>
      </c>
      <c r="V181" s="20">
        <v>10574310</v>
      </c>
      <c r="W181" s="20">
        <v>408384</v>
      </c>
      <c r="X181" s="20">
        <v>350880</v>
      </c>
      <c r="Y181" s="20">
        <v>138840</v>
      </c>
      <c r="Z181" s="20">
        <v>4236740</v>
      </c>
      <c r="AA181" s="20">
        <v>10945584</v>
      </c>
      <c r="AB181" s="20">
        <v>26654738</v>
      </c>
      <c r="AL181" s="20">
        <v>10272186</v>
      </c>
      <c r="AM181" s="20">
        <v>554400</v>
      </c>
      <c r="AN181" s="20">
        <v>815136</v>
      </c>
      <c r="AO181" s="20">
        <v>608608</v>
      </c>
      <c r="AP181" s="20">
        <v>4751712</v>
      </c>
      <c r="AQ181" s="20">
        <v>9059232</v>
      </c>
      <c r="AR181" s="20">
        <v>26061274</v>
      </c>
      <c r="BB181" s="20">
        <v>10986552</v>
      </c>
      <c r="BC181" s="20">
        <v>1046484</v>
      </c>
      <c r="BD181" s="28">
        <v>1564000</v>
      </c>
      <c r="BE181" s="28">
        <v>156000</v>
      </c>
      <c r="BF181" s="28">
        <v>2380780</v>
      </c>
      <c r="BG181" s="28">
        <v>7208688</v>
      </c>
      <c r="BH181" s="28">
        <v>23342504</v>
      </c>
      <c r="BI181" s="28">
        <v>76058516</v>
      </c>
    </row>
    <row r="182" spans="1:61" x14ac:dyDescent="0.3">
      <c r="A182" s="1" t="s">
        <v>114</v>
      </c>
      <c r="B182" s="1" t="s">
        <v>107</v>
      </c>
      <c r="C182" s="1" t="s">
        <v>430</v>
      </c>
      <c r="D182" s="1" t="s">
        <v>252</v>
      </c>
      <c r="E182" s="1" t="s">
        <v>430</v>
      </c>
      <c r="F182" s="1" t="s">
        <v>252</v>
      </c>
      <c r="G182" s="1" t="s">
        <v>475</v>
      </c>
      <c r="H182" s="1" t="s">
        <v>476</v>
      </c>
      <c r="I182" s="1" t="s">
        <v>107</v>
      </c>
      <c r="J182" s="1" t="s">
        <v>117</v>
      </c>
      <c r="K182" s="1" t="s">
        <v>118</v>
      </c>
      <c r="L182" s="1" t="s">
        <v>99</v>
      </c>
      <c r="V182" s="20">
        <v>10222124</v>
      </c>
      <c r="X182" s="20">
        <v>350880</v>
      </c>
      <c r="Y182" s="20">
        <v>277680</v>
      </c>
      <c r="Z182" s="20">
        <v>2043440</v>
      </c>
      <c r="AA182" s="20">
        <v>3086400</v>
      </c>
      <c r="AB182" s="20">
        <v>15980524</v>
      </c>
      <c r="AL182" s="20">
        <v>11500622</v>
      </c>
      <c r="AM182" s="20">
        <v>1371168</v>
      </c>
      <c r="AN182" s="20">
        <v>1223136</v>
      </c>
      <c r="AO182" s="20">
        <v>277680</v>
      </c>
      <c r="AP182" s="20">
        <v>3905356</v>
      </c>
      <c r="AQ182" s="20">
        <v>7046400</v>
      </c>
      <c r="AR182" s="20">
        <v>25324362</v>
      </c>
      <c r="BB182" s="20">
        <v>7466256</v>
      </c>
      <c r="BC182" s="20">
        <v>653568</v>
      </c>
      <c r="BD182" s="28">
        <v>748000</v>
      </c>
      <c r="BE182" s="28">
        <v>156000</v>
      </c>
      <c r="BF182" s="28">
        <v>4860640</v>
      </c>
      <c r="BG182" s="28">
        <v>5355264</v>
      </c>
      <c r="BH182" s="28">
        <v>19239728</v>
      </c>
      <c r="BI182" s="28">
        <v>60544614</v>
      </c>
    </row>
    <row r="183" spans="1:61" x14ac:dyDescent="0.3">
      <c r="A183" s="1" t="s">
        <v>114</v>
      </c>
      <c r="B183" s="1" t="s">
        <v>107</v>
      </c>
      <c r="C183" s="1" t="s">
        <v>430</v>
      </c>
      <c r="D183" s="1" t="s">
        <v>252</v>
      </c>
      <c r="E183" s="1" t="s">
        <v>430</v>
      </c>
      <c r="F183" s="1" t="s">
        <v>252</v>
      </c>
      <c r="G183" s="1" t="s">
        <v>477</v>
      </c>
      <c r="H183" s="1" t="s">
        <v>478</v>
      </c>
      <c r="I183" s="1" t="s">
        <v>107</v>
      </c>
      <c r="J183" s="1" t="s">
        <v>117</v>
      </c>
      <c r="K183" s="1" t="s">
        <v>118</v>
      </c>
      <c r="L183" s="1" t="s">
        <v>99</v>
      </c>
      <c r="V183" s="20">
        <v>9392412</v>
      </c>
      <c r="X183" s="20">
        <v>1483760</v>
      </c>
      <c r="Y183" s="20">
        <v>450840</v>
      </c>
      <c r="Z183" s="20">
        <v>1868740</v>
      </c>
      <c r="AA183" s="20">
        <v>3079968</v>
      </c>
      <c r="AB183" s="20">
        <v>16275720</v>
      </c>
      <c r="AL183" s="20">
        <v>9068114</v>
      </c>
      <c r="AM183" s="20">
        <v>962784</v>
      </c>
      <c r="AN183" s="20">
        <v>815136</v>
      </c>
      <c r="AO183" s="20">
        <v>416520</v>
      </c>
      <c r="AP183" s="20">
        <v>4348946</v>
      </c>
      <c r="AQ183" s="20">
        <v>7905600</v>
      </c>
      <c r="AR183" s="20">
        <v>23517100</v>
      </c>
      <c r="BB183" s="20">
        <v>8149396</v>
      </c>
      <c r="BC183" s="20">
        <v>1700052</v>
      </c>
      <c r="BD183" s="28">
        <v>748000</v>
      </c>
      <c r="BE183" s="28">
        <v>156000</v>
      </c>
      <c r="BF183" s="28">
        <v>3936080</v>
      </c>
      <c r="BG183" s="28">
        <v>7338528</v>
      </c>
      <c r="BH183" s="28">
        <v>22028056</v>
      </c>
      <c r="BI183" s="28">
        <v>61820876</v>
      </c>
    </row>
    <row r="184" spans="1:61" x14ac:dyDescent="0.3">
      <c r="A184" s="1" t="s">
        <v>114</v>
      </c>
      <c r="B184" s="1" t="s">
        <v>107</v>
      </c>
      <c r="C184" s="1" t="s">
        <v>430</v>
      </c>
      <c r="D184" s="1" t="s">
        <v>252</v>
      </c>
      <c r="E184" s="1" t="s">
        <v>430</v>
      </c>
      <c r="F184" s="1" t="s">
        <v>252</v>
      </c>
      <c r="G184" s="1" t="s">
        <v>479</v>
      </c>
      <c r="H184" s="1" t="s">
        <v>480</v>
      </c>
      <c r="I184" s="1" t="s">
        <v>107</v>
      </c>
      <c r="J184" s="1" t="s">
        <v>117</v>
      </c>
      <c r="K184" s="1" t="s">
        <v>118</v>
      </c>
      <c r="L184" s="1" t="s">
        <v>99</v>
      </c>
      <c r="V184" s="20">
        <v>7983576</v>
      </c>
      <c r="X184" s="20">
        <v>350880</v>
      </c>
      <c r="Y184" s="20">
        <v>138840</v>
      </c>
      <c r="Z184" s="20">
        <v>4354900</v>
      </c>
      <c r="AA184" s="20">
        <v>4405824</v>
      </c>
      <c r="AB184" s="20">
        <v>17234020</v>
      </c>
      <c r="AL184" s="20">
        <v>5470704</v>
      </c>
      <c r="AM184" s="20">
        <v>408384</v>
      </c>
      <c r="AN184" s="20">
        <v>374000</v>
      </c>
      <c r="AO184" s="20">
        <v>555360</v>
      </c>
      <c r="AP184" s="20">
        <v>2775200</v>
      </c>
      <c r="AQ184" s="20">
        <v>4466400</v>
      </c>
      <c r="AR184" s="20">
        <v>14050048</v>
      </c>
      <c r="BB184" s="20">
        <v>4759008</v>
      </c>
      <c r="BC184" s="20">
        <v>448800</v>
      </c>
      <c r="BD184" s="28">
        <v>408000</v>
      </c>
      <c r="BE184" s="28">
        <v>468000</v>
      </c>
      <c r="BF184" s="28">
        <v>2880400</v>
      </c>
      <c r="BG184" s="28">
        <v>6447264</v>
      </c>
      <c r="BH184" s="28">
        <v>15411472</v>
      </c>
      <c r="BI184" s="28">
        <v>46695540</v>
      </c>
    </row>
    <row r="185" spans="1:61" x14ac:dyDescent="0.3">
      <c r="A185" s="1" t="s">
        <v>114</v>
      </c>
      <c r="B185" s="1" t="s">
        <v>107</v>
      </c>
      <c r="C185" s="1" t="s">
        <v>430</v>
      </c>
      <c r="D185" s="1" t="s">
        <v>252</v>
      </c>
      <c r="E185" s="1" t="s">
        <v>430</v>
      </c>
      <c r="F185" s="1" t="s">
        <v>252</v>
      </c>
      <c r="G185" s="1" t="s">
        <v>481</v>
      </c>
      <c r="H185" s="1" t="s">
        <v>482</v>
      </c>
      <c r="I185" s="1" t="s">
        <v>107</v>
      </c>
      <c r="J185" s="1" t="s">
        <v>117</v>
      </c>
      <c r="K185" s="1" t="s">
        <v>118</v>
      </c>
      <c r="L185" s="1" t="s">
        <v>99</v>
      </c>
      <c r="V185" s="20">
        <v>8330582</v>
      </c>
      <c r="W185" s="20">
        <v>408384</v>
      </c>
      <c r="X185" s="20">
        <v>350880</v>
      </c>
      <c r="Z185" s="20">
        <v>1010940</v>
      </c>
      <c r="AA185" s="20">
        <v>1862400</v>
      </c>
      <c r="AB185" s="20">
        <v>11963186</v>
      </c>
      <c r="AL185" s="20">
        <v>5327558</v>
      </c>
      <c r="AM185" s="20">
        <v>962784</v>
      </c>
      <c r="AO185" s="20">
        <v>469768</v>
      </c>
      <c r="AP185" s="20">
        <v>2391820</v>
      </c>
      <c r="AQ185" s="20">
        <v>5262432</v>
      </c>
      <c r="AR185" s="20">
        <v>14414362</v>
      </c>
      <c r="BB185" s="20">
        <v>4415264</v>
      </c>
      <c r="BD185" s="28">
        <v>408000</v>
      </c>
      <c r="BE185" s="28">
        <v>156000</v>
      </c>
      <c r="BF185" s="28">
        <v>994840</v>
      </c>
      <c r="BG185" s="28">
        <v>3603024</v>
      </c>
      <c r="BH185" s="28">
        <v>9577128</v>
      </c>
      <c r="BI185" s="28">
        <v>35954676</v>
      </c>
    </row>
    <row r="186" spans="1:61" x14ac:dyDescent="0.3">
      <c r="A186" s="1" t="s">
        <v>114</v>
      </c>
      <c r="B186" s="1" t="s">
        <v>107</v>
      </c>
      <c r="C186" s="1" t="s">
        <v>430</v>
      </c>
      <c r="D186" s="1" t="s">
        <v>252</v>
      </c>
      <c r="E186" s="1" t="s">
        <v>430</v>
      </c>
      <c r="F186" s="1" t="s">
        <v>252</v>
      </c>
      <c r="G186" s="1" t="s">
        <v>483</v>
      </c>
      <c r="H186" s="1" t="s">
        <v>484</v>
      </c>
      <c r="I186" s="1" t="s">
        <v>107</v>
      </c>
      <c r="J186" s="1" t="s">
        <v>117</v>
      </c>
      <c r="K186" s="1" t="s">
        <v>118</v>
      </c>
      <c r="L186" s="1" t="s">
        <v>99</v>
      </c>
      <c r="V186" s="20">
        <v>11177408</v>
      </c>
      <c r="W186" s="20">
        <v>408384</v>
      </c>
      <c r="X186" s="20">
        <v>408000</v>
      </c>
      <c r="Y186" s="20">
        <v>1907216</v>
      </c>
      <c r="Z186" s="20">
        <v>10522020</v>
      </c>
      <c r="AA186" s="20">
        <v>9899568</v>
      </c>
      <c r="AB186" s="20">
        <v>34322596</v>
      </c>
      <c r="AL186" s="20">
        <v>8993808</v>
      </c>
      <c r="AM186" s="20">
        <v>1225152</v>
      </c>
      <c r="AN186" s="20">
        <v>2039136</v>
      </c>
      <c r="AO186" s="20">
        <v>1784800</v>
      </c>
      <c r="AP186" s="20">
        <v>9241816</v>
      </c>
      <c r="AQ186" s="20">
        <v>14368032</v>
      </c>
      <c r="AR186" s="20">
        <v>37652744</v>
      </c>
      <c r="BB186" s="20">
        <v>8729872</v>
      </c>
      <c r="BC186" s="20">
        <v>1046484</v>
      </c>
      <c r="BD186" s="28">
        <v>782000</v>
      </c>
      <c r="BE186" s="28">
        <v>156000</v>
      </c>
      <c r="BF186" s="28">
        <v>15251400</v>
      </c>
      <c r="BG186" s="28">
        <v>10473792</v>
      </c>
      <c r="BH186" s="28">
        <v>36439548</v>
      </c>
      <c r="BI186" s="28">
        <v>108414888</v>
      </c>
    </row>
    <row r="187" spans="1:61" x14ac:dyDescent="0.3">
      <c r="A187" s="1" t="s">
        <v>114</v>
      </c>
      <c r="B187" s="1" t="s">
        <v>107</v>
      </c>
      <c r="C187" s="1" t="s">
        <v>430</v>
      </c>
      <c r="D187" s="1" t="s">
        <v>252</v>
      </c>
      <c r="E187" s="1" t="s">
        <v>430</v>
      </c>
      <c r="F187" s="1" t="s">
        <v>252</v>
      </c>
      <c r="G187" s="1" t="s">
        <v>485</v>
      </c>
      <c r="H187" s="1" t="s">
        <v>486</v>
      </c>
      <c r="I187" s="1" t="s">
        <v>107</v>
      </c>
      <c r="J187" s="1" t="s">
        <v>117</v>
      </c>
      <c r="K187" s="1" t="s">
        <v>118</v>
      </c>
      <c r="L187" s="1" t="s">
        <v>99</v>
      </c>
      <c r="V187" s="20">
        <v>4018988</v>
      </c>
      <c r="W187" s="20">
        <v>408384</v>
      </c>
      <c r="X187" s="20">
        <v>350880</v>
      </c>
      <c r="Y187" s="20">
        <v>589680</v>
      </c>
      <c r="Z187" s="20">
        <v>1525800</v>
      </c>
      <c r="AA187" s="20">
        <v>5225232</v>
      </c>
      <c r="AB187" s="20">
        <v>12118964</v>
      </c>
      <c r="AL187" s="20">
        <v>5329128</v>
      </c>
      <c r="AO187" s="20">
        <v>156000</v>
      </c>
      <c r="AP187" s="20">
        <v>1977480</v>
      </c>
      <c r="AQ187" s="20">
        <v>3086400</v>
      </c>
      <c r="AR187" s="20">
        <v>10549008</v>
      </c>
      <c r="BB187" s="20">
        <v>2227440</v>
      </c>
      <c r="BE187" s="28">
        <v>312000</v>
      </c>
      <c r="BF187" s="28">
        <v>1006300</v>
      </c>
      <c r="BG187" s="28">
        <v>2457600</v>
      </c>
      <c r="BH187" s="28">
        <v>6003340</v>
      </c>
      <c r="BI187" s="28">
        <v>28671312</v>
      </c>
    </row>
    <row r="188" spans="1:61" x14ac:dyDescent="0.3">
      <c r="A188" s="1" t="s">
        <v>114</v>
      </c>
      <c r="B188" s="1" t="s">
        <v>107</v>
      </c>
      <c r="C188" s="1" t="s">
        <v>430</v>
      </c>
      <c r="D188" s="1" t="s">
        <v>252</v>
      </c>
      <c r="E188" s="1" t="s">
        <v>430</v>
      </c>
      <c r="F188" s="1" t="s">
        <v>252</v>
      </c>
      <c r="G188" s="1" t="s">
        <v>487</v>
      </c>
      <c r="H188" s="1" t="s">
        <v>488</v>
      </c>
      <c r="I188" s="1" t="s">
        <v>107</v>
      </c>
      <c r="J188" s="1" t="s">
        <v>117</v>
      </c>
      <c r="K188" s="1" t="s">
        <v>118</v>
      </c>
      <c r="L188" s="1" t="s">
        <v>99</v>
      </c>
      <c r="V188" s="20">
        <v>23637528</v>
      </c>
      <c r="W188" s="20">
        <v>554400</v>
      </c>
      <c r="X188" s="20">
        <v>350880</v>
      </c>
      <c r="Y188" s="20">
        <v>884520</v>
      </c>
      <c r="Z188" s="20">
        <v>5249480</v>
      </c>
      <c r="AA188" s="20">
        <v>9325968</v>
      </c>
      <c r="AB188" s="20">
        <v>40002776</v>
      </c>
      <c r="AL188" s="20">
        <v>10545158</v>
      </c>
      <c r="AM188" s="20">
        <v>1633536</v>
      </c>
      <c r="AN188" s="20">
        <v>1189136</v>
      </c>
      <c r="AO188" s="20">
        <v>1506040</v>
      </c>
      <c r="AP188" s="20">
        <v>3901996</v>
      </c>
      <c r="AQ188" s="20">
        <v>7512864</v>
      </c>
      <c r="AR188" s="20">
        <v>26288730</v>
      </c>
      <c r="BB188" s="20">
        <v>16515854</v>
      </c>
      <c r="BC188" s="20">
        <v>1446660</v>
      </c>
      <c r="BD188" s="28">
        <v>1564000</v>
      </c>
      <c r="BE188" s="28">
        <v>156000</v>
      </c>
      <c r="BF188" s="28">
        <v>4353880</v>
      </c>
      <c r="BG188" s="28">
        <v>6258528</v>
      </c>
      <c r="BH188" s="28">
        <v>30294922</v>
      </c>
      <c r="BI188" s="28">
        <v>96586428</v>
      </c>
    </row>
    <row r="189" spans="1:61" x14ac:dyDescent="0.3">
      <c r="A189" s="1" t="s">
        <v>114</v>
      </c>
      <c r="B189" s="1" t="s">
        <v>107</v>
      </c>
      <c r="C189" s="1" t="s">
        <v>430</v>
      </c>
      <c r="D189" s="1" t="s">
        <v>252</v>
      </c>
      <c r="E189" s="1" t="s">
        <v>430</v>
      </c>
      <c r="F189" s="1" t="s">
        <v>252</v>
      </c>
      <c r="G189" s="1" t="s">
        <v>489</v>
      </c>
      <c r="H189" s="1" t="s">
        <v>490</v>
      </c>
      <c r="I189" s="1" t="s">
        <v>107</v>
      </c>
      <c r="J189" s="1" t="s">
        <v>117</v>
      </c>
      <c r="K189" s="1" t="s">
        <v>118</v>
      </c>
      <c r="L189" s="1" t="s">
        <v>99</v>
      </c>
      <c r="V189" s="20">
        <v>11253752</v>
      </c>
      <c r="Y189" s="20">
        <v>885240</v>
      </c>
      <c r="Z189" s="20">
        <v>4696960</v>
      </c>
      <c r="AA189" s="20">
        <v>6739824</v>
      </c>
      <c r="AB189" s="20">
        <v>23575776</v>
      </c>
      <c r="AL189" s="20">
        <v>9878378</v>
      </c>
      <c r="AM189" s="20">
        <v>1371168</v>
      </c>
      <c r="AN189" s="20">
        <v>2039136</v>
      </c>
      <c r="AO189" s="20">
        <v>1613160</v>
      </c>
      <c r="AP189" s="20">
        <v>4941480</v>
      </c>
      <c r="AQ189" s="20">
        <v>12536832</v>
      </c>
      <c r="AR189" s="20">
        <v>32380154</v>
      </c>
      <c r="BB189" s="20">
        <v>12292484</v>
      </c>
      <c r="BC189" s="20">
        <v>1559868</v>
      </c>
      <c r="BD189" s="28">
        <v>408000</v>
      </c>
      <c r="BE189" s="28">
        <v>312000</v>
      </c>
      <c r="BF189" s="28">
        <v>5203180</v>
      </c>
      <c r="BG189" s="28">
        <v>6601728</v>
      </c>
      <c r="BH189" s="28">
        <v>26377260</v>
      </c>
      <c r="BI189" s="28">
        <v>82333190</v>
      </c>
    </row>
    <row r="190" spans="1:61" x14ac:dyDescent="0.3">
      <c r="A190" s="1" t="s">
        <v>114</v>
      </c>
      <c r="B190" s="1" t="s">
        <v>107</v>
      </c>
      <c r="C190" s="1" t="s">
        <v>430</v>
      </c>
      <c r="D190" s="1" t="s">
        <v>252</v>
      </c>
      <c r="E190" s="1" t="s">
        <v>430</v>
      </c>
      <c r="F190" s="1" t="s">
        <v>252</v>
      </c>
      <c r="G190" s="1" t="s">
        <v>491</v>
      </c>
      <c r="H190" s="1" t="s">
        <v>492</v>
      </c>
      <c r="I190" s="1" t="s">
        <v>107</v>
      </c>
      <c r="J190" s="1" t="s">
        <v>117</v>
      </c>
      <c r="K190" s="1" t="s">
        <v>118</v>
      </c>
      <c r="L190" s="1" t="s">
        <v>99</v>
      </c>
      <c r="V190" s="20">
        <v>6361152</v>
      </c>
      <c r="X190" s="20">
        <v>350880</v>
      </c>
      <c r="Y190" s="20">
        <v>138840</v>
      </c>
      <c r="Z190" s="20">
        <v>2797400</v>
      </c>
      <c r="AA190" s="20">
        <v>6684144</v>
      </c>
      <c r="AB190" s="20">
        <v>16332416</v>
      </c>
      <c r="AL190" s="20">
        <v>9101726</v>
      </c>
      <c r="AM190" s="20">
        <v>408384</v>
      </c>
      <c r="AO190" s="20">
        <v>277680</v>
      </c>
      <c r="AP190" s="20">
        <v>3040500</v>
      </c>
      <c r="AQ190" s="20">
        <v>5887200</v>
      </c>
      <c r="AR190" s="20">
        <v>18715490</v>
      </c>
      <c r="BB190" s="20">
        <v>4758624</v>
      </c>
      <c r="BE190" s="28">
        <v>156000</v>
      </c>
      <c r="BF190" s="28">
        <v>2076000</v>
      </c>
      <c r="BG190" s="28">
        <v>3075264</v>
      </c>
      <c r="BH190" s="28">
        <v>10065888</v>
      </c>
      <c r="BI190" s="28">
        <v>45113794</v>
      </c>
    </row>
    <row r="191" spans="1:61" x14ac:dyDescent="0.3">
      <c r="A191" s="1" t="s">
        <v>114</v>
      </c>
      <c r="B191" s="1" t="s">
        <v>107</v>
      </c>
      <c r="C191" s="1" t="s">
        <v>430</v>
      </c>
      <c r="D191" s="1" t="s">
        <v>252</v>
      </c>
      <c r="E191" s="1" t="s">
        <v>430</v>
      </c>
      <c r="F191" s="1" t="s">
        <v>252</v>
      </c>
      <c r="G191" s="1" t="s">
        <v>493</v>
      </c>
      <c r="H191" s="1" t="s">
        <v>494</v>
      </c>
      <c r="I191" s="1" t="s">
        <v>107</v>
      </c>
      <c r="J191" s="1" t="s">
        <v>117</v>
      </c>
      <c r="K191" s="1" t="s">
        <v>118</v>
      </c>
      <c r="L191" s="1" t="s">
        <v>99</v>
      </c>
      <c r="V191" s="20">
        <v>7000838</v>
      </c>
      <c r="Y191" s="20">
        <v>138840</v>
      </c>
      <c r="Z191" s="20">
        <v>604100</v>
      </c>
      <c r="AA191" s="20">
        <v>1877520</v>
      </c>
      <c r="AB191" s="20">
        <v>9621298</v>
      </c>
      <c r="AL191" s="20">
        <v>5714572</v>
      </c>
      <c r="AM191" s="20">
        <v>962784</v>
      </c>
      <c r="AN191" s="20">
        <v>407136</v>
      </c>
      <c r="AO191" s="20">
        <v>138840</v>
      </c>
      <c r="AP191" s="20">
        <v>1864040</v>
      </c>
      <c r="AQ191" s="20">
        <v>3073632</v>
      </c>
      <c r="AR191" s="20">
        <v>12161004</v>
      </c>
      <c r="BB191" s="20">
        <v>985680</v>
      </c>
      <c r="BF191" s="28">
        <v>1255500</v>
      </c>
      <c r="BG191" s="28">
        <v>2070960</v>
      </c>
      <c r="BH191" s="28">
        <v>4312140</v>
      </c>
      <c r="BI191" s="28">
        <v>26094442</v>
      </c>
    </row>
    <row r="192" spans="1:61" x14ac:dyDescent="0.3">
      <c r="A192" s="1" t="s">
        <v>114</v>
      </c>
      <c r="B192" s="1" t="s">
        <v>107</v>
      </c>
      <c r="C192" s="1" t="s">
        <v>430</v>
      </c>
      <c r="D192" s="1" t="s">
        <v>252</v>
      </c>
      <c r="E192" s="1" t="s">
        <v>430</v>
      </c>
      <c r="F192" s="1" t="s">
        <v>252</v>
      </c>
      <c r="G192" s="1" t="s">
        <v>495</v>
      </c>
      <c r="H192" s="1" t="s">
        <v>496</v>
      </c>
      <c r="I192" s="1" t="s">
        <v>107</v>
      </c>
      <c r="J192" s="1" t="s">
        <v>117</v>
      </c>
      <c r="K192" s="1" t="s">
        <v>118</v>
      </c>
      <c r="L192" s="1" t="s">
        <v>99</v>
      </c>
      <c r="V192" s="20">
        <v>14826312</v>
      </c>
      <c r="W192" s="20">
        <v>408384</v>
      </c>
      <c r="X192" s="20">
        <v>876000</v>
      </c>
      <c r="Y192" s="20">
        <v>2370848</v>
      </c>
      <c r="Z192" s="20">
        <v>3771980</v>
      </c>
      <c r="AA192" s="20">
        <v>15814176</v>
      </c>
      <c r="AB192" s="20">
        <v>38067700</v>
      </c>
      <c r="AL192" s="20">
        <v>15093578</v>
      </c>
      <c r="AM192" s="20">
        <v>408384</v>
      </c>
      <c r="AN192" s="20">
        <v>815136</v>
      </c>
      <c r="AO192" s="20">
        <v>1175112</v>
      </c>
      <c r="AP192" s="20">
        <v>6189946</v>
      </c>
      <c r="AQ192" s="20">
        <v>21393600</v>
      </c>
      <c r="AR192" s="20">
        <v>45075756</v>
      </c>
      <c r="BB192" s="20">
        <v>15597114</v>
      </c>
      <c r="BC192" s="20">
        <v>2808852</v>
      </c>
      <c r="BD192" s="28">
        <v>1598000</v>
      </c>
      <c r="BE192" s="28">
        <v>417600</v>
      </c>
      <c r="BF192" s="28">
        <v>12962400</v>
      </c>
      <c r="BG192" s="28">
        <v>12577056</v>
      </c>
      <c r="BH192" s="28">
        <v>45961022</v>
      </c>
      <c r="BI192" s="28">
        <v>129104478</v>
      </c>
    </row>
    <row r="193" spans="1:61" x14ac:dyDescent="0.3">
      <c r="A193" s="1" t="s">
        <v>114</v>
      </c>
      <c r="B193" s="1" t="s">
        <v>107</v>
      </c>
      <c r="C193" s="1" t="s">
        <v>430</v>
      </c>
      <c r="D193" s="1" t="s">
        <v>252</v>
      </c>
      <c r="E193" s="1" t="s">
        <v>430</v>
      </c>
      <c r="F193" s="1" t="s">
        <v>252</v>
      </c>
      <c r="G193" s="1" t="s">
        <v>497</v>
      </c>
      <c r="H193" s="1" t="s">
        <v>498</v>
      </c>
      <c r="I193" s="1" t="s">
        <v>107</v>
      </c>
      <c r="J193" s="1" t="s">
        <v>117</v>
      </c>
      <c r="K193" s="1" t="s">
        <v>118</v>
      </c>
      <c r="L193" s="1" t="s">
        <v>99</v>
      </c>
      <c r="V193" s="20">
        <v>8246640</v>
      </c>
      <c r="X193" s="20">
        <v>724880</v>
      </c>
      <c r="Y193" s="20">
        <v>433680</v>
      </c>
      <c r="Z193" s="20">
        <v>4580180</v>
      </c>
      <c r="AA193" s="20">
        <v>5094912</v>
      </c>
      <c r="AB193" s="20">
        <v>19080292</v>
      </c>
      <c r="AL193" s="20">
        <v>7189104</v>
      </c>
      <c r="AM193" s="20">
        <v>554400</v>
      </c>
      <c r="AN193" s="20">
        <v>407136</v>
      </c>
      <c r="AO193" s="20">
        <v>277680</v>
      </c>
      <c r="AP193" s="20">
        <v>7313176</v>
      </c>
      <c r="AQ193" s="20">
        <v>7963200</v>
      </c>
      <c r="AR193" s="20">
        <v>23704696</v>
      </c>
      <c r="BB193" s="20">
        <v>3288704</v>
      </c>
      <c r="BC193" s="20">
        <v>238692</v>
      </c>
      <c r="BD193" s="28">
        <v>374000</v>
      </c>
      <c r="BE193" s="28">
        <v>156000</v>
      </c>
      <c r="BF193" s="28">
        <v>5225240</v>
      </c>
      <c r="BG193" s="28">
        <v>7100928</v>
      </c>
      <c r="BH193" s="28">
        <v>16383564</v>
      </c>
      <c r="BI193" s="28">
        <v>59168552</v>
      </c>
    </row>
    <row r="194" spans="1:61" x14ac:dyDescent="0.3">
      <c r="A194" s="1" t="s">
        <v>114</v>
      </c>
      <c r="B194" s="1" t="s">
        <v>107</v>
      </c>
      <c r="C194" s="1" t="s">
        <v>430</v>
      </c>
      <c r="D194" s="1" t="s">
        <v>252</v>
      </c>
      <c r="E194" s="1" t="s">
        <v>430</v>
      </c>
      <c r="F194" s="1" t="s">
        <v>252</v>
      </c>
      <c r="G194" s="1" t="s">
        <v>499</v>
      </c>
      <c r="H194" s="1" t="s">
        <v>500</v>
      </c>
      <c r="I194" s="1" t="s">
        <v>107</v>
      </c>
      <c r="J194" s="1" t="s">
        <v>117</v>
      </c>
      <c r="K194" s="1" t="s">
        <v>118</v>
      </c>
      <c r="L194" s="1" t="s">
        <v>99</v>
      </c>
      <c r="V194" s="20">
        <v>6056186</v>
      </c>
      <c r="X194" s="20">
        <v>758880</v>
      </c>
      <c r="Y194" s="20">
        <v>138840</v>
      </c>
      <c r="Z194" s="20">
        <v>2091740</v>
      </c>
      <c r="AA194" s="20">
        <v>2856432</v>
      </c>
      <c r="AB194" s="20">
        <v>11902078</v>
      </c>
      <c r="AL194" s="20">
        <v>5073684</v>
      </c>
      <c r="AM194" s="20">
        <v>962784</v>
      </c>
      <c r="AN194" s="20">
        <v>1189136</v>
      </c>
      <c r="AO194" s="20">
        <v>138840</v>
      </c>
      <c r="AP194" s="20">
        <v>4226350</v>
      </c>
      <c r="AQ194" s="20">
        <v>5995200</v>
      </c>
      <c r="AR194" s="20">
        <v>17585994</v>
      </c>
      <c r="BB194" s="20">
        <v>4484072</v>
      </c>
      <c r="BC194" s="20">
        <v>638100</v>
      </c>
      <c r="BD194" s="28">
        <v>748000</v>
      </c>
      <c r="BE194" s="28">
        <v>156000</v>
      </c>
      <c r="BF194" s="28">
        <v>4483000</v>
      </c>
      <c r="BG194" s="28">
        <v>5044128</v>
      </c>
      <c r="BH194" s="28">
        <v>15553300</v>
      </c>
      <c r="BI194" s="28">
        <v>45041372</v>
      </c>
    </row>
    <row r="195" spans="1:61" x14ac:dyDescent="0.3">
      <c r="A195" s="1" t="s">
        <v>114</v>
      </c>
      <c r="B195" s="1" t="s">
        <v>107</v>
      </c>
      <c r="C195" s="1" t="s">
        <v>430</v>
      </c>
      <c r="D195" s="1" t="s">
        <v>252</v>
      </c>
      <c r="E195" s="1" t="s">
        <v>430</v>
      </c>
      <c r="F195" s="1" t="s">
        <v>252</v>
      </c>
      <c r="G195" s="1" t="s">
        <v>501</v>
      </c>
      <c r="H195" s="1" t="s">
        <v>502</v>
      </c>
      <c r="I195" s="1" t="s">
        <v>107</v>
      </c>
      <c r="J195" s="1" t="s">
        <v>117</v>
      </c>
      <c r="K195" s="1" t="s">
        <v>118</v>
      </c>
      <c r="L195" s="1" t="s">
        <v>99</v>
      </c>
      <c r="V195" s="20">
        <v>3255576</v>
      </c>
      <c r="Y195" s="20">
        <v>294840</v>
      </c>
      <c r="Z195" s="20">
        <v>1678440</v>
      </c>
      <c r="AA195" s="20">
        <v>2055456</v>
      </c>
      <c r="AB195" s="20">
        <v>7284312</v>
      </c>
      <c r="AL195" s="20">
        <v>4362648</v>
      </c>
      <c r="AN195" s="20">
        <v>407136</v>
      </c>
      <c r="AO195" s="20">
        <v>138840</v>
      </c>
      <c r="AP195" s="20">
        <v>3347040</v>
      </c>
      <c r="AQ195" s="20">
        <v>3511200</v>
      </c>
      <c r="AR195" s="20">
        <v>11766864</v>
      </c>
      <c r="BB195" s="20">
        <v>1672656</v>
      </c>
      <c r="BF195" s="28">
        <v>3880500</v>
      </c>
      <c r="BG195" s="28">
        <v>3475200</v>
      </c>
      <c r="BH195" s="28">
        <v>9028356</v>
      </c>
      <c r="BI195" s="28">
        <v>28079532</v>
      </c>
    </row>
    <row r="196" spans="1:61" x14ac:dyDescent="0.3">
      <c r="A196" s="1" t="s">
        <v>114</v>
      </c>
      <c r="B196" s="1" t="s">
        <v>107</v>
      </c>
      <c r="C196" s="1" t="s">
        <v>430</v>
      </c>
      <c r="D196" s="1" t="s">
        <v>252</v>
      </c>
      <c r="E196" s="1" t="s">
        <v>430</v>
      </c>
      <c r="F196" s="1" t="s">
        <v>252</v>
      </c>
      <c r="G196" s="1" t="s">
        <v>503</v>
      </c>
      <c r="H196" s="1" t="s">
        <v>504</v>
      </c>
      <c r="I196" s="1" t="s">
        <v>107</v>
      </c>
      <c r="J196" s="1" t="s">
        <v>117</v>
      </c>
      <c r="K196" s="1" t="s">
        <v>118</v>
      </c>
      <c r="L196" s="1" t="s">
        <v>99</v>
      </c>
      <c r="V196" s="20">
        <v>7400928</v>
      </c>
      <c r="W196" s="20">
        <v>408384</v>
      </c>
      <c r="X196" s="20">
        <v>350880</v>
      </c>
      <c r="Y196" s="20">
        <v>572520</v>
      </c>
      <c r="Z196" s="20">
        <v>3687400</v>
      </c>
      <c r="AA196" s="20">
        <v>4975200</v>
      </c>
      <c r="AB196" s="20">
        <v>17395312</v>
      </c>
      <c r="AL196" s="20">
        <v>5320872</v>
      </c>
      <c r="AM196" s="20">
        <v>408384</v>
      </c>
      <c r="AO196" s="20">
        <v>277680</v>
      </c>
      <c r="AP196" s="20">
        <v>4078500</v>
      </c>
      <c r="AQ196" s="20">
        <v>5316000</v>
      </c>
      <c r="AR196" s="20">
        <v>15401436</v>
      </c>
      <c r="BB196" s="20">
        <v>2625600</v>
      </c>
      <c r="BD196" s="28">
        <v>408000</v>
      </c>
      <c r="BE196" s="28">
        <v>156000</v>
      </c>
      <c r="BF196" s="28">
        <v>2074400</v>
      </c>
      <c r="BG196" s="28">
        <v>3075264</v>
      </c>
      <c r="BH196" s="28">
        <v>8339264</v>
      </c>
      <c r="BI196" s="28">
        <v>41136012</v>
      </c>
    </row>
    <row r="197" spans="1:61" x14ac:dyDescent="0.3">
      <c r="A197" s="1" t="s">
        <v>114</v>
      </c>
      <c r="B197" s="1" t="s">
        <v>107</v>
      </c>
      <c r="C197" s="1" t="s">
        <v>430</v>
      </c>
      <c r="D197" s="1" t="s">
        <v>252</v>
      </c>
      <c r="E197" s="1" t="s">
        <v>430</v>
      </c>
      <c r="F197" s="1" t="s">
        <v>252</v>
      </c>
      <c r="G197" s="1" t="s">
        <v>505</v>
      </c>
      <c r="H197" s="1" t="s">
        <v>506</v>
      </c>
      <c r="I197" s="1" t="s">
        <v>107</v>
      </c>
      <c r="J197" s="1" t="s">
        <v>117</v>
      </c>
      <c r="K197" s="1" t="s">
        <v>118</v>
      </c>
      <c r="L197" s="1" t="s">
        <v>99</v>
      </c>
      <c r="V197" s="20">
        <v>8342544</v>
      </c>
      <c r="W197" s="20">
        <v>408384</v>
      </c>
      <c r="X197" s="20">
        <v>350880</v>
      </c>
      <c r="Y197" s="20">
        <v>138840</v>
      </c>
      <c r="Z197" s="20">
        <v>1939100</v>
      </c>
      <c r="AA197" s="20">
        <v>4552176</v>
      </c>
      <c r="AB197" s="20">
        <v>15731924</v>
      </c>
      <c r="AL197" s="20">
        <v>6510444</v>
      </c>
      <c r="AO197" s="20">
        <v>138840</v>
      </c>
      <c r="AP197" s="20">
        <v>3061100</v>
      </c>
      <c r="AQ197" s="20">
        <v>4286400</v>
      </c>
      <c r="AR197" s="20">
        <v>13996784</v>
      </c>
      <c r="BB197" s="20">
        <v>240288</v>
      </c>
      <c r="BE197" s="28">
        <v>312000</v>
      </c>
      <c r="BF197" s="28">
        <v>985700</v>
      </c>
      <c r="BG197" s="28">
        <v>2743200</v>
      </c>
      <c r="BH197" s="28">
        <v>4281188</v>
      </c>
      <c r="BI197" s="28">
        <v>34009896</v>
      </c>
    </row>
    <row r="198" spans="1:61" x14ac:dyDescent="0.3">
      <c r="A198" s="1" t="s">
        <v>114</v>
      </c>
      <c r="B198" s="1" t="s">
        <v>107</v>
      </c>
      <c r="C198" s="1" t="s">
        <v>430</v>
      </c>
      <c r="D198" s="1" t="s">
        <v>252</v>
      </c>
      <c r="E198" s="1" t="s">
        <v>430</v>
      </c>
      <c r="F198" s="1" t="s">
        <v>252</v>
      </c>
      <c r="G198" s="1" t="s">
        <v>507</v>
      </c>
      <c r="H198" s="1" t="s">
        <v>508</v>
      </c>
      <c r="I198" s="1" t="s">
        <v>107</v>
      </c>
      <c r="J198" s="1" t="s">
        <v>117</v>
      </c>
      <c r="K198" s="1" t="s">
        <v>118</v>
      </c>
      <c r="L198" s="1" t="s">
        <v>99</v>
      </c>
      <c r="V198" s="20">
        <v>13064740</v>
      </c>
      <c r="W198" s="20">
        <v>448800</v>
      </c>
      <c r="X198" s="20">
        <v>758880</v>
      </c>
      <c r="Y198" s="20">
        <v>1045248</v>
      </c>
      <c r="Z198" s="20">
        <v>5252360</v>
      </c>
      <c r="AA198" s="20">
        <v>4143168</v>
      </c>
      <c r="AB198" s="20">
        <v>24713196</v>
      </c>
      <c r="AL198" s="20">
        <v>6524208</v>
      </c>
      <c r="AM198" s="20">
        <v>408384</v>
      </c>
      <c r="AN198" s="20">
        <v>1189136</v>
      </c>
      <c r="AO198" s="20">
        <v>1270648</v>
      </c>
      <c r="AP198" s="20">
        <v>7939828</v>
      </c>
      <c r="AQ198" s="20">
        <v>10840032</v>
      </c>
      <c r="AR198" s="20">
        <v>28172236</v>
      </c>
      <c r="BB198" s="20">
        <v>8859744</v>
      </c>
      <c r="BC198" s="20">
        <v>1639152</v>
      </c>
      <c r="BD198" s="28">
        <v>876000</v>
      </c>
      <c r="BE198" s="28">
        <v>156000</v>
      </c>
      <c r="BF198" s="28">
        <v>6479500</v>
      </c>
      <c r="BG198" s="28">
        <v>6646464</v>
      </c>
      <c r="BH198" s="28">
        <v>24656860</v>
      </c>
      <c r="BI198" s="28">
        <v>77542292</v>
      </c>
    </row>
    <row r="199" spans="1:61" x14ac:dyDescent="0.3">
      <c r="A199" s="1" t="s">
        <v>114</v>
      </c>
      <c r="B199" s="1" t="s">
        <v>107</v>
      </c>
      <c r="C199" s="1" t="s">
        <v>430</v>
      </c>
      <c r="D199" s="1" t="s">
        <v>252</v>
      </c>
      <c r="E199" s="1" t="s">
        <v>430</v>
      </c>
      <c r="F199" s="1" t="s">
        <v>252</v>
      </c>
      <c r="G199" s="1" t="s">
        <v>509</v>
      </c>
      <c r="H199" s="1" t="s">
        <v>510</v>
      </c>
      <c r="I199" s="1" t="s">
        <v>107</v>
      </c>
      <c r="J199" s="1" t="s">
        <v>117</v>
      </c>
      <c r="K199" s="1" t="s">
        <v>118</v>
      </c>
      <c r="L199" s="1" t="s">
        <v>99</v>
      </c>
      <c r="V199" s="20">
        <v>9980078</v>
      </c>
      <c r="X199" s="20">
        <v>701760</v>
      </c>
      <c r="Y199" s="20">
        <v>294840</v>
      </c>
      <c r="Z199" s="20">
        <v>3613860</v>
      </c>
      <c r="AA199" s="20">
        <v>3978288</v>
      </c>
      <c r="AB199" s="20">
        <v>18568826</v>
      </c>
      <c r="AL199" s="20">
        <v>7679220</v>
      </c>
      <c r="AM199" s="20">
        <v>962784</v>
      </c>
      <c r="AN199" s="20">
        <v>1223136</v>
      </c>
      <c r="AO199" s="20">
        <v>416520</v>
      </c>
      <c r="AP199" s="20">
        <v>4581096</v>
      </c>
      <c r="AQ199" s="20">
        <v>7677600</v>
      </c>
      <c r="AR199" s="20">
        <v>22540356</v>
      </c>
      <c r="BB199" s="20">
        <v>7332924</v>
      </c>
      <c r="BC199" s="20">
        <v>238692</v>
      </c>
      <c r="BD199" s="28">
        <v>408000</v>
      </c>
      <c r="BE199" s="28">
        <v>156000</v>
      </c>
      <c r="BF199" s="28">
        <v>5043940</v>
      </c>
      <c r="BG199" s="28">
        <v>5429664</v>
      </c>
      <c r="BH199" s="28">
        <v>18609220</v>
      </c>
      <c r="BI199" s="28">
        <v>59718402</v>
      </c>
    </row>
    <row r="200" spans="1:61" x14ac:dyDescent="0.3">
      <c r="A200" s="1" t="s">
        <v>114</v>
      </c>
      <c r="B200" s="1" t="s">
        <v>107</v>
      </c>
      <c r="C200" s="1" t="s">
        <v>430</v>
      </c>
      <c r="D200" s="1" t="s">
        <v>252</v>
      </c>
      <c r="E200" s="1" t="s">
        <v>430</v>
      </c>
      <c r="F200" s="1" t="s">
        <v>252</v>
      </c>
      <c r="G200" s="1" t="s">
        <v>511</v>
      </c>
      <c r="H200" s="1" t="s">
        <v>512</v>
      </c>
      <c r="I200" s="1" t="s">
        <v>107</v>
      </c>
      <c r="J200" s="1" t="s">
        <v>117</v>
      </c>
      <c r="K200" s="1" t="s">
        <v>118</v>
      </c>
      <c r="L200" s="1" t="s">
        <v>99</v>
      </c>
      <c r="V200" s="20">
        <v>2177288</v>
      </c>
      <c r="X200" s="20">
        <v>701760</v>
      </c>
      <c r="Y200" s="20">
        <v>884520</v>
      </c>
      <c r="Z200" s="20">
        <v>2384100</v>
      </c>
      <c r="AA200" s="20">
        <v>9414000</v>
      </c>
      <c r="AB200" s="20">
        <v>15561668</v>
      </c>
      <c r="AL200" s="20">
        <v>5792414</v>
      </c>
      <c r="AO200" s="20">
        <v>277680</v>
      </c>
      <c r="AP200" s="20">
        <v>2415800</v>
      </c>
      <c r="AQ200" s="20">
        <v>1152000</v>
      </c>
      <c r="AR200" s="20">
        <v>9637894</v>
      </c>
      <c r="BB200" s="20">
        <v>1591680</v>
      </c>
      <c r="BC200" s="20">
        <v>399408</v>
      </c>
      <c r="BE200" s="28">
        <v>156000</v>
      </c>
      <c r="BF200" s="28">
        <v>1694400</v>
      </c>
      <c r="BG200" s="28">
        <v>3372000</v>
      </c>
      <c r="BH200" s="28">
        <v>7213488</v>
      </c>
      <c r="BI200" s="28">
        <v>32413050</v>
      </c>
    </row>
    <row r="201" spans="1:61" x14ac:dyDescent="0.3">
      <c r="A201" s="1" t="s">
        <v>114</v>
      </c>
      <c r="B201" s="1" t="s">
        <v>107</v>
      </c>
      <c r="C201" s="1" t="s">
        <v>430</v>
      </c>
      <c r="D201" s="1" t="s">
        <v>252</v>
      </c>
      <c r="E201" s="1" t="s">
        <v>430</v>
      </c>
      <c r="F201" s="1" t="s">
        <v>252</v>
      </c>
      <c r="G201" s="1" t="s">
        <v>513</v>
      </c>
      <c r="H201" s="1" t="s">
        <v>514</v>
      </c>
      <c r="I201" s="1" t="s">
        <v>107</v>
      </c>
      <c r="J201" s="1" t="s">
        <v>117</v>
      </c>
      <c r="K201" s="1" t="s">
        <v>118</v>
      </c>
      <c r="L201" s="1" t="s">
        <v>99</v>
      </c>
      <c r="V201" s="20">
        <v>5334526</v>
      </c>
      <c r="X201" s="20">
        <v>374000</v>
      </c>
      <c r="Y201" s="20">
        <v>156000</v>
      </c>
      <c r="Z201" s="20">
        <v>1939100</v>
      </c>
      <c r="AA201" s="20">
        <v>5682336</v>
      </c>
      <c r="AB201" s="20">
        <v>13485962</v>
      </c>
      <c r="AL201" s="20">
        <v>6574886</v>
      </c>
      <c r="AM201" s="20">
        <v>554400</v>
      </c>
      <c r="AN201" s="20">
        <v>407136</v>
      </c>
      <c r="AO201" s="20">
        <v>800696</v>
      </c>
      <c r="AP201" s="20">
        <v>2531540</v>
      </c>
      <c r="AQ201" s="20">
        <v>5024832</v>
      </c>
      <c r="AR201" s="20">
        <v>15893490</v>
      </c>
      <c r="BB201" s="20">
        <v>4720648</v>
      </c>
      <c r="BC201" s="20">
        <v>399408</v>
      </c>
      <c r="BD201" s="28">
        <v>782000</v>
      </c>
      <c r="BE201" s="28">
        <v>156000</v>
      </c>
      <c r="BF201" s="28">
        <v>826600</v>
      </c>
      <c r="BG201" s="28">
        <v>3963024</v>
      </c>
      <c r="BH201" s="28">
        <v>10847680</v>
      </c>
      <c r="BI201" s="28">
        <v>40227132</v>
      </c>
    </row>
    <row r="202" spans="1:61" x14ac:dyDescent="0.3">
      <c r="A202" s="1" t="s">
        <v>114</v>
      </c>
      <c r="B202" s="1" t="s">
        <v>107</v>
      </c>
      <c r="C202" s="1" t="s">
        <v>430</v>
      </c>
      <c r="D202" s="1" t="s">
        <v>252</v>
      </c>
      <c r="E202" s="1" t="s">
        <v>430</v>
      </c>
      <c r="F202" s="1" t="s">
        <v>252</v>
      </c>
      <c r="G202" s="1" t="s">
        <v>515</v>
      </c>
      <c r="H202" s="1" t="s">
        <v>516</v>
      </c>
      <c r="I202" s="1" t="s">
        <v>107</v>
      </c>
      <c r="J202" s="1" t="s">
        <v>117</v>
      </c>
      <c r="K202" s="1" t="s">
        <v>118</v>
      </c>
      <c r="L202" s="1" t="s">
        <v>99</v>
      </c>
      <c r="V202" s="20">
        <v>6200098</v>
      </c>
      <c r="W202" s="20">
        <v>408384</v>
      </c>
      <c r="Y202" s="20">
        <v>277680</v>
      </c>
      <c r="Z202" s="20">
        <v>1424240</v>
      </c>
      <c r="AA202" s="20">
        <v>1944000</v>
      </c>
      <c r="AB202" s="20">
        <v>10254402</v>
      </c>
      <c r="AL202" s="20">
        <v>5232566</v>
      </c>
      <c r="AM202" s="20">
        <v>554400</v>
      </c>
      <c r="AN202" s="20">
        <v>815136</v>
      </c>
      <c r="AO202" s="20">
        <v>416520</v>
      </c>
      <c r="AP202" s="20">
        <v>3577040</v>
      </c>
      <c r="AQ202" s="20">
        <v>5726400</v>
      </c>
      <c r="AR202" s="20">
        <v>16322062</v>
      </c>
      <c r="BB202" s="20">
        <v>4125644</v>
      </c>
      <c r="BC202" s="20">
        <v>892260</v>
      </c>
      <c r="BD202" s="28">
        <v>1156000</v>
      </c>
      <c r="BF202" s="28">
        <v>3181300</v>
      </c>
      <c r="BG202" s="28">
        <v>4356624</v>
      </c>
      <c r="BH202" s="28">
        <v>13711828</v>
      </c>
      <c r="BI202" s="28">
        <v>40288292</v>
      </c>
    </row>
    <row r="203" spans="1:61" x14ac:dyDescent="0.3">
      <c r="A203" s="1" t="s">
        <v>114</v>
      </c>
      <c r="B203" s="1" t="s">
        <v>107</v>
      </c>
      <c r="C203" s="1" t="s">
        <v>430</v>
      </c>
      <c r="D203" s="1" t="s">
        <v>252</v>
      </c>
      <c r="E203" s="1" t="s">
        <v>430</v>
      </c>
      <c r="F203" s="1" t="s">
        <v>252</v>
      </c>
      <c r="G203" s="1" t="s">
        <v>517</v>
      </c>
      <c r="H203" s="1" t="s">
        <v>518</v>
      </c>
      <c r="I203" s="1" t="s">
        <v>107</v>
      </c>
      <c r="J203" s="1" t="s">
        <v>117</v>
      </c>
      <c r="K203" s="1" t="s">
        <v>118</v>
      </c>
      <c r="L203" s="1" t="s">
        <v>99</v>
      </c>
      <c r="V203" s="20">
        <v>10340796</v>
      </c>
      <c r="W203" s="20">
        <v>408384</v>
      </c>
      <c r="X203" s="20">
        <v>701760</v>
      </c>
      <c r="Y203" s="20">
        <v>572520</v>
      </c>
      <c r="Z203" s="20">
        <v>2384100</v>
      </c>
      <c r="AA203" s="20">
        <v>4204512</v>
      </c>
      <c r="AB203" s="20">
        <v>18612072</v>
      </c>
      <c r="AL203" s="20">
        <v>1019760</v>
      </c>
      <c r="AO203" s="20">
        <v>138840</v>
      </c>
      <c r="AP203" s="20">
        <v>1948600</v>
      </c>
      <c r="AQ203" s="20">
        <v>4228800</v>
      </c>
      <c r="AR203" s="20">
        <v>7336000</v>
      </c>
      <c r="BB203" s="20">
        <v>4220124</v>
      </c>
      <c r="BD203" s="28">
        <v>408000</v>
      </c>
      <c r="BE203" s="28">
        <v>156000</v>
      </c>
      <c r="BF203" s="28">
        <v>1440200</v>
      </c>
      <c r="BG203" s="28">
        <v>3372000</v>
      </c>
      <c r="BH203" s="28">
        <v>9596324</v>
      </c>
      <c r="BI203" s="28">
        <v>35544396</v>
      </c>
    </row>
    <row r="204" spans="1:61" x14ac:dyDescent="0.3">
      <c r="A204" s="1" t="s">
        <v>114</v>
      </c>
      <c r="B204" s="1" t="s">
        <v>107</v>
      </c>
      <c r="C204" s="1" t="s">
        <v>430</v>
      </c>
      <c r="D204" s="1" t="s">
        <v>252</v>
      </c>
      <c r="E204" s="1" t="s">
        <v>430</v>
      </c>
      <c r="F204" s="1" t="s">
        <v>252</v>
      </c>
      <c r="G204" s="1" t="s">
        <v>519</v>
      </c>
      <c r="H204" s="1" t="s">
        <v>520</v>
      </c>
      <c r="I204" s="1" t="s">
        <v>107</v>
      </c>
      <c r="J204" s="1" t="s">
        <v>117</v>
      </c>
      <c r="K204" s="1" t="s">
        <v>118</v>
      </c>
      <c r="L204" s="1" t="s">
        <v>99</v>
      </c>
      <c r="V204" s="20">
        <v>9523700</v>
      </c>
      <c r="W204" s="20">
        <v>816768</v>
      </c>
      <c r="X204" s="20">
        <v>374000</v>
      </c>
      <c r="Y204" s="20">
        <v>138840</v>
      </c>
      <c r="Z204" s="20">
        <v>3211600</v>
      </c>
      <c r="AA204" s="20">
        <v>1947456</v>
      </c>
      <c r="AB204" s="20">
        <v>16012364</v>
      </c>
      <c r="AL204" s="20">
        <v>6580228</v>
      </c>
      <c r="AM204" s="20">
        <v>1371168</v>
      </c>
      <c r="AN204" s="20">
        <v>1971136</v>
      </c>
      <c r="AO204" s="20">
        <v>982056</v>
      </c>
      <c r="AP204" s="20">
        <v>4445816</v>
      </c>
      <c r="AQ204" s="20">
        <v>6480864</v>
      </c>
      <c r="AR204" s="20">
        <v>21831268</v>
      </c>
      <c r="BB204" s="20">
        <v>8755008</v>
      </c>
      <c r="BC204" s="20">
        <v>1061952</v>
      </c>
      <c r="BD204" s="28">
        <v>408000</v>
      </c>
      <c r="BE204" s="28">
        <v>156000</v>
      </c>
      <c r="BF204" s="28">
        <v>2944900</v>
      </c>
      <c r="BG204" s="28">
        <v>5014224</v>
      </c>
      <c r="BH204" s="28">
        <v>18340084</v>
      </c>
      <c r="BI204" s="28">
        <v>56183716</v>
      </c>
    </row>
    <row r="205" spans="1:61" x14ac:dyDescent="0.3">
      <c r="A205" s="1" t="s">
        <v>114</v>
      </c>
      <c r="B205" s="1" t="s">
        <v>107</v>
      </c>
      <c r="C205" s="1" t="s">
        <v>430</v>
      </c>
      <c r="D205" s="1" t="s">
        <v>252</v>
      </c>
      <c r="E205" s="1" t="s">
        <v>430</v>
      </c>
      <c r="F205" s="1" t="s">
        <v>252</v>
      </c>
      <c r="G205" s="1" t="s">
        <v>521</v>
      </c>
      <c r="H205" s="1" t="s">
        <v>522</v>
      </c>
      <c r="I205" s="1" t="s">
        <v>107</v>
      </c>
      <c r="J205" s="1" t="s">
        <v>117</v>
      </c>
      <c r="K205" s="1" t="s">
        <v>118</v>
      </c>
      <c r="L205" s="1" t="s">
        <v>99</v>
      </c>
      <c r="V205" s="20">
        <v>11956068</v>
      </c>
      <c r="W205" s="20">
        <v>408384</v>
      </c>
      <c r="X205" s="20">
        <v>701760</v>
      </c>
      <c r="Y205" s="20">
        <v>572520</v>
      </c>
      <c r="Z205" s="20">
        <v>6454480</v>
      </c>
      <c r="AA205" s="20">
        <v>8232144</v>
      </c>
      <c r="AB205" s="20">
        <v>28325356</v>
      </c>
      <c r="AL205" s="20">
        <v>10099308</v>
      </c>
      <c r="AM205" s="20">
        <v>408384</v>
      </c>
      <c r="AN205" s="20">
        <v>374000</v>
      </c>
      <c r="AO205" s="20">
        <v>589680</v>
      </c>
      <c r="AP205" s="20">
        <v>5722400</v>
      </c>
      <c r="AQ205" s="20">
        <v>7684800</v>
      </c>
      <c r="AR205" s="20">
        <v>24878572</v>
      </c>
      <c r="BB205" s="20">
        <v>8313732</v>
      </c>
      <c r="BC205" s="20">
        <v>448800</v>
      </c>
      <c r="BE205" s="28">
        <v>624000</v>
      </c>
      <c r="BF205" s="28">
        <v>5405600</v>
      </c>
      <c r="BG205" s="28">
        <v>6689424</v>
      </c>
      <c r="BH205" s="28">
        <v>21481556</v>
      </c>
      <c r="BI205" s="28">
        <v>74685484</v>
      </c>
    </row>
    <row r="206" spans="1:61" x14ac:dyDescent="0.3">
      <c r="A206" s="1" t="s">
        <v>114</v>
      </c>
      <c r="B206" s="1" t="s">
        <v>107</v>
      </c>
      <c r="C206" s="1" t="s">
        <v>430</v>
      </c>
      <c r="D206" s="1" t="s">
        <v>252</v>
      </c>
      <c r="E206" s="1" t="s">
        <v>430</v>
      </c>
      <c r="F206" s="1" t="s">
        <v>252</v>
      </c>
      <c r="G206" s="1" t="s">
        <v>523</v>
      </c>
      <c r="H206" s="1" t="s">
        <v>524</v>
      </c>
      <c r="I206" s="1" t="s">
        <v>107</v>
      </c>
      <c r="J206" s="1" t="s">
        <v>117</v>
      </c>
      <c r="K206" s="1" t="s">
        <v>118</v>
      </c>
      <c r="L206" s="1" t="s">
        <v>99</v>
      </c>
      <c r="V206" s="20">
        <v>6100448</v>
      </c>
      <c r="X206" s="20">
        <v>350880</v>
      </c>
      <c r="Y206" s="20">
        <v>138840</v>
      </c>
      <c r="Z206" s="20">
        <v>2762020</v>
      </c>
      <c r="AA206" s="20">
        <v>5367168</v>
      </c>
      <c r="AB206" s="20">
        <v>14719356</v>
      </c>
      <c r="AL206" s="20">
        <v>4736174</v>
      </c>
      <c r="AM206" s="20">
        <v>554400</v>
      </c>
      <c r="AN206" s="20">
        <v>407136</v>
      </c>
      <c r="AO206" s="20">
        <v>416520</v>
      </c>
      <c r="AP206" s="20">
        <v>4119930</v>
      </c>
      <c r="AQ206" s="20">
        <v>8659200</v>
      </c>
      <c r="AR206" s="20">
        <v>18893360</v>
      </c>
      <c r="BB206" s="20">
        <v>9019718</v>
      </c>
      <c r="BC206" s="20">
        <v>254160</v>
      </c>
      <c r="BD206" s="28">
        <v>1624000</v>
      </c>
      <c r="BE206" s="28">
        <v>156000</v>
      </c>
      <c r="BF206" s="28">
        <v>4295480</v>
      </c>
      <c r="BG206" s="28">
        <v>6587328</v>
      </c>
      <c r="BH206" s="28">
        <v>21936686</v>
      </c>
      <c r="BI206" s="28">
        <v>55549402</v>
      </c>
    </row>
    <row r="207" spans="1:61" x14ac:dyDescent="0.3">
      <c r="A207" s="1" t="s">
        <v>114</v>
      </c>
      <c r="B207" s="1" t="s">
        <v>107</v>
      </c>
      <c r="C207" s="1" t="s">
        <v>430</v>
      </c>
      <c r="D207" s="1" t="s">
        <v>252</v>
      </c>
      <c r="E207" s="1" t="s">
        <v>430</v>
      </c>
      <c r="F207" s="1" t="s">
        <v>252</v>
      </c>
      <c r="G207" s="1" t="s">
        <v>525</v>
      </c>
      <c r="H207" s="1" t="s">
        <v>526</v>
      </c>
      <c r="I207" s="1" t="s">
        <v>107</v>
      </c>
      <c r="J207" s="1" t="s">
        <v>117</v>
      </c>
      <c r="K207" s="1" t="s">
        <v>118</v>
      </c>
      <c r="L207" s="1" t="s">
        <v>99</v>
      </c>
      <c r="V207" s="20">
        <v>14909194</v>
      </c>
      <c r="W207" s="20">
        <v>448800</v>
      </c>
      <c r="X207" s="20">
        <v>1543760</v>
      </c>
      <c r="Y207" s="20">
        <v>433680</v>
      </c>
      <c r="Z207" s="20">
        <v>6641520</v>
      </c>
      <c r="AA207" s="20">
        <v>10461936</v>
      </c>
      <c r="AB207" s="20">
        <v>34438890</v>
      </c>
      <c r="AL207" s="20">
        <v>16494230</v>
      </c>
      <c r="AM207" s="20">
        <v>1371168</v>
      </c>
      <c r="AN207" s="20">
        <v>876000</v>
      </c>
      <c r="AO207" s="20">
        <v>1852264</v>
      </c>
      <c r="AP207" s="20">
        <v>7700980</v>
      </c>
      <c r="AQ207" s="20">
        <v>15978432</v>
      </c>
      <c r="AR207" s="20">
        <v>44273074</v>
      </c>
      <c r="BB207" s="20">
        <v>16561622</v>
      </c>
      <c r="BC207" s="20">
        <v>3809136</v>
      </c>
      <c r="BD207" s="28">
        <v>408000</v>
      </c>
      <c r="BE207" s="28">
        <v>802400</v>
      </c>
      <c r="BF207" s="28">
        <v>14988920</v>
      </c>
      <c r="BG207" s="28">
        <v>12757056</v>
      </c>
      <c r="BH207" s="28">
        <v>49327134</v>
      </c>
      <c r="BI207" s="28">
        <v>128039098</v>
      </c>
    </row>
    <row r="208" spans="1:61" x14ac:dyDescent="0.3">
      <c r="A208" s="1" t="s">
        <v>114</v>
      </c>
      <c r="B208" s="1" t="s">
        <v>107</v>
      </c>
      <c r="C208" s="1" t="s">
        <v>430</v>
      </c>
      <c r="D208" s="1" t="s">
        <v>252</v>
      </c>
      <c r="E208" s="1" t="s">
        <v>430</v>
      </c>
      <c r="F208" s="1" t="s">
        <v>252</v>
      </c>
      <c r="G208" s="1" t="s">
        <v>527</v>
      </c>
      <c r="H208" s="1" t="s">
        <v>528</v>
      </c>
      <c r="I208" s="1" t="s">
        <v>107</v>
      </c>
      <c r="J208" s="1" t="s">
        <v>117</v>
      </c>
      <c r="K208" s="1" t="s">
        <v>118</v>
      </c>
      <c r="L208" s="1" t="s">
        <v>99</v>
      </c>
      <c r="V208" s="20">
        <v>8967008</v>
      </c>
      <c r="W208" s="20">
        <v>408384</v>
      </c>
      <c r="X208" s="20">
        <v>701760</v>
      </c>
      <c r="Y208" s="20">
        <v>416520</v>
      </c>
      <c r="Z208" s="20">
        <v>3909900</v>
      </c>
      <c r="AA208" s="20">
        <v>5989056</v>
      </c>
      <c r="AB208" s="20">
        <v>20392628</v>
      </c>
      <c r="AL208" s="20">
        <v>8153940</v>
      </c>
      <c r="AM208" s="20">
        <v>408384</v>
      </c>
      <c r="AO208" s="20">
        <v>277680</v>
      </c>
      <c r="AP208" s="20">
        <v>4323200</v>
      </c>
      <c r="AQ208" s="20">
        <v>5438400</v>
      </c>
      <c r="AR208" s="20">
        <v>18601604</v>
      </c>
      <c r="BB208" s="20">
        <v>1365600</v>
      </c>
      <c r="BF208" s="28">
        <v>2543200</v>
      </c>
      <c r="BG208" s="28">
        <v>3418464</v>
      </c>
      <c r="BH208" s="28">
        <v>7327264</v>
      </c>
      <c r="BI208" s="28">
        <v>46321496</v>
      </c>
    </row>
    <row r="209" spans="1:61" x14ac:dyDescent="0.3">
      <c r="A209" s="1" t="s">
        <v>114</v>
      </c>
      <c r="B209" s="1" t="s">
        <v>107</v>
      </c>
      <c r="C209" s="1" t="s">
        <v>430</v>
      </c>
      <c r="D209" s="1" t="s">
        <v>252</v>
      </c>
      <c r="E209" s="1" t="s">
        <v>430</v>
      </c>
      <c r="F209" s="1" t="s">
        <v>252</v>
      </c>
      <c r="G209" s="1" t="s">
        <v>529</v>
      </c>
      <c r="H209" s="1" t="s">
        <v>530</v>
      </c>
      <c r="I209" s="1" t="s">
        <v>107</v>
      </c>
      <c r="J209" s="1" t="s">
        <v>117</v>
      </c>
      <c r="K209" s="1" t="s">
        <v>118</v>
      </c>
      <c r="L209" s="1" t="s">
        <v>99</v>
      </c>
      <c r="V209" s="20">
        <v>8586188</v>
      </c>
      <c r="W209" s="20">
        <v>816768</v>
      </c>
      <c r="X209" s="20">
        <v>350880</v>
      </c>
      <c r="Y209" s="20">
        <v>294840</v>
      </c>
      <c r="Z209" s="20">
        <v>3721880</v>
      </c>
      <c r="AA209" s="20">
        <v>6522912</v>
      </c>
      <c r="AB209" s="20">
        <v>20293468</v>
      </c>
      <c r="AL209" s="20">
        <v>7633048</v>
      </c>
      <c r="AM209" s="20">
        <v>962784</v>
      </c>
      <c r="AN209" s="20">
        <v>781136</v>
      </c>
      <c r="AO209" s="20">
        <v>747448</v>
      </c>
      <c r="AP209" s="20">
        <v>4935436</v>
      </c>
      <c r="AQ209" s="20">
        <v>8454432</v>
      </c>
      <c r="AR209" s="20">
        <v>23514284</v>
      </c>
      <c r="BB209" s="20">
        <v>6959692</v>
      </c>
      <c r="BC209" s="20">
        <v>876792</v>
      </c>
      <c r="BD209" s="28">
        <v>2244000</v>
      </c>
      <c r="BE209" s="28">
        <v>156000</v>
      </c>
      <c r="BF209" s="28">
        <v>2903140</v>
      </c>
      <c r="BG209" s="28">
        <v>5855088</v>
      </c>
      <c r="BH209" s="28">
        <v>18994712</v>
      </c>
      <c r="BI209" s="28">
        <v>62802464</v>
      </c>
    </row>
    <row r="210" spans="1:61" x14ac:dyDescent="0.3">
      <c r="A210" s="1" t="s">
        <v>114</v>
      </c>
      <c r="B210" s="1" t="s">
        <v>107</v>
      </c>
      <c r="C210" s="1" t="s">
        <v>430</v>
      </c>
      <c r="D210" s="1" t="s">
        <v>252</v>
      </c>
      <c r="E210" s="1" t="s">
        <v>430</v>
      </c>
      <c r="F210" s="1" t="s">
        <v>252</v>
      </c>
      <c r="G210" s="1" t="s">
        <v>531</v>
      </c>
      <c r="H210" s="1" t="s">
        <v>532</v>
      </c>
      <c r="I210" s="1" t="s">
        <v>107</v>
      </c>
      <c r="J210" s="1" t="s">
        <v>117</v>
      </c>
      <c r="K210" s="1" t="s">
        <v>118</v>
      </c>
      <c r="L210" s="1" t="s">
        <v>99</v>
      </c>
      <c r="V210" s="20">
        <v>5316968</v>
      </c>
      <c r="Y210" s="20">
        <v>996368</v>
      </c>
      <c r="Z210" s="20">
        <v>1185640</v>
      </c>
      <c r="AA210" s="20">
        <v>2716512</v>
      </c>
      <c r="AB210" s="20">
        <v>10215488</v>
      </c>
      <c r="AL210" s="20">
        <v>4107660</v>
      </c>
      <c r="AN210" s="20">
        <v>407136</v>
      </c>
      <c r="AP210" s="20">
        <v>2435180</v>
      </c>
      <c r="AQ210" s="20">
        <v>4991232</v>
      </c>
      <c r="AR210" s="20">
        <v>11941208</v>
      </c>
      <c r="BB210" s="20">
        <v>2457408</v>
      </c>
      <c r="BF210" s="28">
        <v>3127040</v>
      </c>
      <c r="BG210" s="28">
        <v>3785424</v>
      </c>
      <c r="BH210" s="28">
        <v>9369872</v>
      </c>
      <c r="BI210" s="28">
        <v>31526568</v>
      </c>
    </row>
    <row r="211" spans="1:61" x14ac:dyDescent="0.3">
      <c r="A211" s="1" t="s">
        <v>114</v>
      </c>
      <c r="B211" s="1" t="s">
        <v>107</v>
      </c>
      <c r="C211" s="1" t="s">
        <v>533</v>
      </c>
      <c r="D211" s="1" t="s">
        <v>534</v>
      </c>
      <c r="E211" s="1" t="s">
        <v>533</v>
      </c>
      <c r="F211" s="1" t="s">
        <v>534</v>
      </c>
      <c r="G211" s="1" t="s">
        <v>535</v>
      </c>
      <c r="H211" s="1" t="s">
        <v>536</v>
      </c>
      <c r="I211" s="1" t="s">
        <v>107</v>
      </c>
      <c r="J211" s="1" t="s">
        <v>117</v>
      </c>
      <c r="K211" s="1" t="s">
        <v>118</v>
      </c>
      <c r="L211" s="1" t="s">
        <v>99</v>
      </c>
      <c r="V211" s="20">
        <v>5226938</v>
      </c>
      <c r="W211" s="20">
        <v>408384</v>
      </c>
      <c r="X211" s="20">
        <v>758880</v>
      </c>
      <c r="Y211" s="20">
        <v>556440</v>
      </c>
      <c r="Z211" s="20">
        <v>2830000</v>
      </c>
      <c r="AA211" s="20">
        <v>3616512</v>
      </c>
      <c r="AB211" s="20">
        <v>13397154</v>
      </c>
      <c r="AL211" s="20">
        <v>4430916</v>
      </c>
      <c r="AM211" s="20">
        <v>448800</v>
      </c>
      <c r="AO211" s="20">
        <v>1122760</v>
      </c>
      <c r="AP211" s="20">
        <v>3829966</v>
      </c>
      <c r="AQ211" s="20">
        <v>6464064</v>
      </c>
      <c r="AR211" s="20">
        <v>16296506</v>
      </c>
      <c r="BB211" s="20">
        <v>11994310</v>
      </c>
      <c r="BC211" s="20">
        <v>1239744</v>
      </c>
      <c r="BD211" s="28">
        <v>3510000</v>
      </c>
      <c r="BE211" s="28">
        <v>312000</v>
      </c>
      <c r="BF211" s="28">
        <v>2336300</v>
      </c>
      <c r="BG211" s="28">
        <v>4940688</v>
      </c>
      <c r="BH211" s="28">
        <v>24333042</v>
      </c>
      <c r="BI211" s="28">
        <v>54026702</v>
      </c>
    </row>
    <row r="212" spans="1:61" x14ac:dyDescent="0.3">
      <c r="A212" s="1" t="s">
        <v>114</v>
      </c>
      <c r="B212" s="1" t="s">
        <v>107</v>
      </c>
      <c r="C212" s="1" t="s">
        <v>533</v>
      </c>
      <c r="D212" s="1" t="s">
        <v>534</v>
      </c>
      <c r="E212" s="1" t="s">
        <v>533</v>
      </c>
      <c r="F212" s="1" t="s">
        <v>534</v>
      </c>
      <c r="G212" s="1" t="s">
        <v>537</v>
      </c>
      <c r="H212" s="1" t="s">
        <v>538</v>
      </c>
      <c r="I212" s="1" t="s">
        <v>107</v>
      </c>
      <c r="J212" s="1" t="s">
        <v>117</v>
      </c>
      <c r="K212" s="1" t="s">
        <v>118</v>
      </c>
      <c r="L212" s="1" t="s">
        <v>99</v>
      </c>
      <c r="V212" s="20">
        <v>3337106</v>
      </c>
      <c r="W212" s="20">
        <v>408384</v>
      </c>
      <c r="Y212" s="20">
        <v>1211936</v>
      </c>
      <c r="Z212" s="20">
        <v>1692260</v>
      </c>
      <c r="AA212" s="20">
        <v>1696512</v>
      </c>
      <c r="AB212" s="20">
        <v>8346198</v>
      </c>
      <c r="AL212" s="20">
        <v>5306748</v>
      </c>
      <c r="AM212" s="20">
        <v>408384</v>
      </c>
      <c r="AO212" s="20">
        <v>662480</v>
      </c>
      <c r="AP212" s="20">
        <v>3942666</v>
      </c>
      <c r="AQ212" s="20">
        <v>5712864</v>
      </c>
      <c r="AR212" s="20">
        <v>16033142</v>
      </c>
      <c r="BB212" s="20">
        <v>7012798</v>
      </c>
      <c r="BC212" s="20">
        <v>1400460</v>
      </c>
      <c r="BD212" s="28">
        <v>2367000</v>
      </c>
      <c r="BE212" s="28">
        <v>156000</v>
      </c>
      <c r="BF212" s="28">
        <v>3968340</v>
      </c>
      <c r="BG212" s="28">
        <v>4198464</v>
      </c>
      <c r="BH212" s="28">
        <v>19103062</v>
      </c>
      <c r="BI212" s="28">
        <v>43482402</v>
      </c>
    </row>
    <row r="213" spans="1:61" x14ac:dyDescent="0.3">
      <c r="A213" s="1" t="s">
        <v>114</v>
      </c>
      <c r="B213" s="1" t="s">
        <v>107</v>
      </c>
      <c r="C213" s="1" t="s">
        <v>533</v>
      </c>
      <c r="D213" s="1" t="s">
        <v>534</v>
      </c>
      <c r="E213" s="1" t="s">
        <v>533</v>
      </c>
      <c r="F213" s="1" t="s">
        <v>534</v>
      </c>
      <c r="G213" s="1" t="s">
        <v>539</v>
      </c>
      <c r="H213" s="1" t="s">
        <v>540</v>
      </c>
      <c r="I213" s="1" t="s">
        <v>107</v>
      </c>
      <c r="J213" s="1" t="s">
        <v>117</v>
      </c>
      <c r="K213" s="1" t="s">
        <v>118</v>
      </c>
      <c r="L213" s="1" t="s">
        <v>99</v>
      </c>
      <c r="V213" s="20">
        <v>2691426</v>
      </c>
      <c r="W213" s="20">
        <v>408384</v>
      </c>
      <c r="Y213" s="20">
        <v>1085168</v>
      </c>
      <c r="Z213" s="20">
        <v>1936820</v>
      </c>
      <c r="AA213" s="20">
        <v>3888768</v>
      </c>
      <c r="AB213" s="20">
        <v>10010566</v>
      </c>
      <c r="AL213" s="20">
        <v>7631306</v>
      </c>
      <c r="AM213" s="20">
        <v>554400</v>
      </c>
      <c r="AN213" s="20">
        <v>815136</v>
      </c>
      <c r="AO213" s="20">
        <v>731368</v>
      </c>
      <c r="AP213" s="20">
        <v>4275006</v>
      </c>
      <c r="AQ213" s="20">
        <v>5967264</v>
      </c>
      <c r="AR213" s="20">
        <v>19974480</v>
      </c>
      <c r="BB213" s="20">
        <v>6825204</v>
      </c>
      <c r="BC213" s="20">
        <v>1130952</v>
      </c>
      <c r="BD213" s="28">
        <v>1972000</v>
      </c>
      <c r="BE213" s="28">
        <v>156000</v>
      </c>
      <c r="BF213" s="28">
        <v>1637100</v>
      </c>
      <c r="BG213" s="28">
        <v>5843952</v>
      </c>
      <c r="BH213" s="28">
        <v>17565208</v>
      </c>
      <c r="BI213" s="28">
        <v>47550254</v>
      </c>
    </row>
    <row r="214" spans="1:61" x14ac:dyDescent="0.3">
      <c r="A214" s="1" t="s">
        <v>114</v>
      </c>
      <c r="B214" s="1" t="s">
        <v>107</v>
      </c>
      <c r="C214" s="1" t="s">
        <v>533</v>
      </c>
      <c r="D214" s="1" t="s">
        <v>534</v>
      </c>
      <c r="E214" s="1" t="s">
        <v>533</v>
      </c>
      <c r="F214" s="1" t="s">
        <v>534</v>
      </c>
      <c r="G214" s="1" t="s">
        <v>541</v>
      </c>
      <c r="H214" s="1" t="s">
        <v>542</v>
      </c>
      <c r="I214" s="1" t="s">
        <v>107</v>
      </c>
      <c r="J214" s="1" t="s">
        <v>117</v>
      </c>
      <c r="K214" s="1" t="s">
        <v>118</v>
      </c>
      <c r="L214" s="1" t="s">
        <v>99</v>
      </c>
      <c r="BB214" s="20">
        <v>17504544</v>
      </c>
      <c r="BC214" s="20">
        <v>1607376</v>
      </c>
      <c r="BD214" s="28">
        <v>2447136</v>
      </c>
      <c r="BE214" s="28">
        <v>468000</v>
      </c>
      <c r="BF214" s="28">
        <v>1233440</v>
      </c>
      <c r="BG214" s="28">
        <v>7326288</v>
      </c>
      <c r="BH214" s="28">
        <v>30586784</v>
      </c>
      <c r="BI214" s="28">
        <v>30586784</v>
      </c>
    </row>
    <row r="215" spans="1:61" x14ac:dyDescent="0.3">
      <c r="A215" s="1" t="s">
        <v>114</v>
      </c>
      <c r="B215" s="1" t="s">
        <v>108</v>
      </c>
      <c r="C215" s="1" t="s">
        <v>543</v>
      </c>
      <c r="D215" s="1" t="s">
        <v>544</v>
      </c>
      <c r="E215" s="1" t="s">
        <v>545</v>
      </c>
      <c r="F215" s="1" t="s">
        <v>546</v>
      </c>
      <c r="G215" s="1" t="s">
        <v>547</v>
      </c>
      <c r="H215" s="1" t="s">
        <v>545</v>
      </c>
      <c r="I215" s="1" t="s">
        <v>548</v>
      </c>
      <c r="J215" s="1" t="s">
        <v>117</v>
      </c>
      <c r="K215" s="1" t="s">
        <v>118</v>
      </c>
      <c r="L215" s="1" t="s">
        <v>103</v>
      </c>
      <c r="M215" s="20">
        <v>3732000</v>
      </c>
      <c r="O215" s="20">
        <v>408000</v>
      </c>
      <c r="Q215" s="20">
        <v>667800</v>
      </c>
      <c r="R215" s="20">
        <v>1322400</v>
      </c>
      <c r="AB215" s="20">
        <v>6130200</v>
      </c>
      <c r="AC215" s="20">
        <v>3428400</v>
      </c>
      <c r="AE215" s="20">
        <v>408000</v>
      </c>
      <c r="AG215" s="20">
        <v>477000</v>
      </c>
      <c r="AH215" s="20">
        <v>608400</v>
      </c>
      <c r="AR215" s="20">
        <v>4921800</v>
      </c>
      <c r="AS215" s="20">
        <v>4475100</v>
      </c>
      <c r="AT215" s="20">
        <v>448800</v>
      </c>
      <c r="AV215" s="20">
        <v>523200</v>
      </c>
      <c r="AW215" s="20">
        <v>572400</v>
      </c>
      <c r="AX215" s="20">
        <v>1216800</v>
      </c>
      <c r="BH215" s="28">
        <v>7236300</v>
      </c>
      <c r="BI215" s="28">
        <v>18288300</v>
      </c>
    </row>
    <row r="216" spans="1:61" x14ac:dyDescent="0.3">
      <c r="A216" s="1" t="s">
        <v>114</v>
      </c>
      <c r="B216" s="1" t="s">
        <v>108</v>
      </c>
      <c r="C216" s="1" t="s">
        <v>543</v>
      </c>
      <c r="D216" s="1" t="s">
        <v>544</v>
      </c>
      <c r="E216" s="1" t="s">
        <v>549</v>
      </c>
      <c r="F216" s="1" t="s">
        <v>550</v>
      </c>
      <c r="G216" s="1" t="s">
        <v>551</v>
      </c>
      <c r="H216" s="1" t="s">
        <v>549</v>
      </c>
      <c r="I216" s="1" t="s">
        <v>548</v>
      </c>
      <c r="J216" s="1" t="s">
        <v>117</v>
      </c>
      <c r="K216" s="1" t="s">
        <v>118</v>
      </c>
      <c r="L216" s="1" t="s">
        <v>103</v>
      </c>
      <c r="M216" s="20">
        <v>2541750</v>
      </c>
      <c r="O216" s="20">
        <v>612000</v>
      </c>
      <c r="Q216" s="20">
        <v>858600</v>
      </c>
      <c r="R216" s="20">
        <v>960000</v>
      </c>
      <c r="AB216" s="20">
        <v>4972350</v>
      </c>
      <c r="AC216" s="20">
        <v>2559450</v>
      </c>
      <c r="AE216" s="20">
        <v>408000</v>
      </c>
      <c r="AG216" s="20">
        <v>1040400</v>
      </c>
      <c r="AH216" s="20">
        <v>1454400</v>
      </c>
      <c r="AR216" s="20">
        <v>5462250</v>
      </c>
      <c r="AS216" s="20">
        <v>3650400</v>
      </c>
      <c r="AT216" s="20">
        <v>536400</v>
      </c>
      <c r="AW216" s="20">
        <v>381600</v>
      </c>
      <c r="AX216" s="20">
        <v>1041600</v>
      </c>
      <c r="BH216" s="28">
        <v>5610000</v>
      </c>
      <c r="BI216" s="28">
        <v>16044600</v>
      </c>
    </row>
    <row r="217" spans="1:61" x14ac:dyDescent="0.3">
      <c r="A217" s="1" t="s">
        <v>114</v>
      </c>
      <c r="B217" s="1" t="s">
        <v>108</v>
      </c>
      <c r="C217" s="1" t="s">
        <v>543</v>
      </c>
      <c r="D217" s="1" t="s">
        <v>544</v>
      </c>
      <c r="E217" s="1" t="s">
        <v>552</v>
      </c>
      <c r="F217" s="1" t="s">
        <v>553</v>
      </c>
      <c r="G217" s="1" t="s">
        <v>554</v>
      </c>
      <c r="H217" s="1" t="s">
        <v>552</v>
      </c>
      <c r="I217" s="1" t="s">
        <v>548</v>
      </c>
      <c r="J217" s="1" t="s">
        <v>117</v>
      </c>
      <c r="K217" s="1" t="s">
        <v>118</v>
      </c>
      <c r="L217" s="1" t="s">
        <v>103</v>
      </c>
      <c r="M217" s="20">
        <v>5552700</v>
      </c>
      <c r="Q217" s="20">
        <v>381600</v>
      </c>
      <c r="R217" s="20">
        <v>1588800</v>
      </c>
      <c r="AB217" s="20">
        <v>7523100</v>
      </c>
      <c r="AC217" s="20">
        <v>3140250</v>
      </c>
      <c r="AE217" s="20">
        <v>204000</v>
      </c>
      <c r="AG217" s="20">
        <v>286200</v>
      </c>
      <c r="AH217" s="20">
        <v>1626000</v>
      </c>
      <c r="AR217" s="20">
        <v>5256450</v>
      </c>
      <c r="AS217" s="20">
        <v>3021900</v>
      </c>
      <c r="AV217" s="20">
        <v>261600</v>
      </c>
      <c r="AW217" s="20">
        <v>95400</v>
      </c>
      <c r="AX217" s="20">
        <v>1723200</v>
      </c>
      <c r="BH217" s="28">
        <v>5102100</v>
      </c>
      <c r="BI217" s="28">
        <v>17881650</v>
      </c>
    </row>
    <row r="218" spans="1:61" x14ac:dyDescent="0.3">
      <c r="A218" s="1" t="s">
        <v>114</v>
      </c>
      <c r="B218" s="1" t="s">
        <v>108</v>
      </c>
      <c r="C218" s="1" t="s">
        <v>543</v>
      </c>
      <c r="D218" s="1" t="s">
        <v>544</v>
      </c>
      <c r="E218" s="1" t="s">
        <v>555</v>
      </c>
      <c r="F218" s="1" t="s">
        <v>556</v>
      </c>
      <c r="G218" s="1" t="s">
        <v>557</v>
      </c>
      <c r="H218" s="1" t="s">
        <v>555</v>
      </c>
      <c r="I218" s="1" t="s">
        <v>548</v>
      </c>
      <c r="J218" s="1" t="s">
        <v>117</v>
      </c>
      <c r="K218" s="1" t="s">
        <v>118</v>
      </c>
      <c r="L218" s="1" t="s">
        <v>103</v>
      </c>
      <c r="M218" s="20">
        <v>2605200</v>
      </c>
      <c r="O218" s="20">
        <v>408000</v>
      </c>
      <c r="Q218" s="20">
        <v>1040400</v>
      </c>
      <c r="R218" s="20">
        <v>1274400</v>
      </c>
      <c r="AB218" s="20">
        <v>5328000</v>
      </c>
      <c r="AC218" s="20">
        <v>3853200</v>
      </c>
      <c r="AE218" s="20">
        <v>816000</v>
      </c>
      <c r="AG218" s="20">
        <v>1040400</v>
      </c>
      <c r="AH218" s="20">
        <v>1588800</v>
      </c>
      <c r="AR218" s="20">
        <v>7298400</v>
      </c>
      <c r="AS218" s="20">
        <v>5133450</v>
      </c>
      <c r="AV218" s="20">
        <v>646400</v>
      </c>
      <c r="AW218" s="20">
        <v>667800</v>
      </c>
      <c r="AX218" s="20">
        <v>1382400</v>
      </c>
      <c r="BH218" s="28">
        <v>7830050</v>
      </c>
      <c r="BI218" s="28">
        <v>20456450</v>
      </c>
    </row>
    <row r="219" spans="1:61" x14ac:dyDescent="0.3">
      <c r="A219" s="1" t="s">
        <v>114</v>
      </c>
      <c r="B219" s="1" t="s">
        <v>108</v>
      </c>
      <c r="C219" s="1" t="s">
        <v>558</v>
      </c>
      <c r="D219" s="1" t="s">
        <v>559</v>
      </c>
      <c r="E219" s="1" t="s">
        <v>560</v>
      </c>
      <c r="F219" s="1" t="s">
        <v>561</v>
      </c>
      <c r="G219" s="1" t="s">
        <v>562</v>
      </c>
      <c r="H219" s="1" t="s">
        <v>560</v>
      </c>
      <c r="I219" s="1" t="s">
        <v>548</v>
      </c>
      <c r="J219" s="1" t="s">
        <v>117</v>
      </c>
      <c r="K219" s="1" t="s">
        <v>118</v>
      </c>
      <c r="L219" s="1" t="s">
        <v>103</v>
      </c>
      <c r="M219" s="20">
        <v>1847450</v>
      </c>
      <c r="O219" s="20">
        <v>510000</v>
      </c>
      <c r="Q219" s="20">
        <v>381600</v>
      </c>
      <c r="R219" s="20">
        <v>214200</v>
      </c>
      <c r="AB219" s="20">
        <v>2953250</v>
      </c>
      <c r="AC219" s="20">
        <v>2602950</v>
      </c>
      <c r="AD219" s="20">
        <v>224400</v>
      </c>
      <c r="AE219" s="20">
        <v>102000</v>
      </c>
      <c r="AG219" s="20">
        <v>333900</v>
      </c>
      <c r="AH219" s="20">
        <v>285600</v>
      </c>
      <c r="AR219" s="20">
        <v>3548850</v>
      </c>
      <c r="AS219" s="20">
        <v>2420250</v>
      </c>
      <c r="AU219" s="20">
        <v>204000</v>
      </c>
      <c r="AV219" s="20">
        <v>646400</v>
      </c>
      <c r="AW219" s="20">
        <v>477000</v>
      </c>
      <c r="AX219" s="20">
        <v>930000</v>
      </c>
      <c r="BH219" s="28">
        <v>4677650</v>
      </c>
      <c r="BI219" s="28">
        <v>11179750</v>
      </c>
    </row>
    <row r="220" spans="1:61" x14ac:dyDescent="0.3">
      <c r="A220" s="1" t="s">
        <v>114</v>
      </c>
      <c r="B220" s="1" t="s">
        <v>108</v>
      </c>
      <c r="C220" s="1" t="s">
        <v>558</v>
      </c>
      <c r="D220" s="1" t="s">
        <v>559</v>
      </c>
      <c r="E220" s="1" t="s">
        <v>563</v>
      </c>
      <c r="F220" s="1" t="s">
        <v>561</v>
      </c>
      <c r="G220" s="1" t="s">
        <v>564</v>
      </c>
      <c r="H220" s="1" t="s">
        <v>563</v>
      </c>
      <c r="I220" s="1" t="s">
        <v>548</v>
      </c>
      <c r="J220" s="1" t="s">
        <v>117</v>
      </c>
      <c r="K220" s="1" t="s">
        <v>118</v>
      </c>
      <c r="L220" s="1" t="s">
        <v>103</v>
      </c>
      <c r="M220" s="20">
        <v>2490000</v>
      </c>
      <c r="N220" s="20">
        <v>268200</v>
      </c>
      <c r="O220" s="20">
        <v>102000</v>
      </c>
      <c r="Q220" s="20">
        <v>1179000</v>
      </c>
      <c r="R220" s="20">
        <v>661200</v>
      </c>
      <c r="AB220" s="20">
        <v>4700400</v>
      </c>
      <c r="AC220" s="20">
        <v>2617500</v>
      </c>
      <c r="AD220" s="20">
        <v>224400</v>
      </c>
      <c r="AE220" s="20">
        <v>544000</v>
      </c>
      <c r="AG220" s="20">
        <v>520200</v>
      </c>
      <c r="AH220" s="20">
        <v>371400</v>
      </c>
      <c r="AR220" s="20">
        <v>4277500</v>
      </c>
      <c r="AS220" s="20">
        <v>5920450</v>
      </c>
      <c r="AT220" s="20">
        <v>268200</v>
      </c>
      <c r="AU220" s="20">
        <v>204000</v>
      </c>
      <c r="AV220" s="20">
        <v>523200</v>
      </c>
      <c r="AW220" s="20">
        <v>849600</v>
      </c>
      <c r="AX220" s="20">
        <v>602400</v>
      </c>
      <c r="BH220" s="28">
        <v>8367850</v>
      </c>
      <c r="BI220" s="28">
        <v>17345750</v>
      </c>
    </row>
    <row r="221" spans="1:61" x14ac:dyDescent="0.3">
      <c r="A221" s="1" t="s">
        <v>114</v>
      </c>
      <c r="B221" s="1" t="s">
        <v>108</v>
      </c>
      <c r="C221" s="1" t="s">
        <v>558</v>
      </c>
      <c r="D221" s="1" t="s">
        <v>559</v>
      </c>
      <c r="E221" s="1" t="s">
        <v>565</v>
      </c>
      <c r="F221" s="1" t="s">
        <v>561</v>
      </c>
      <c r="G221" s="1" t="s">
        <v>566</v>
      </c>
      <c r="H221" s="1" t="s">
        <v>565</v>
      </c>
      <c r="I221" s="1" t="s">
        <v>548</v>
      </c>
      <c r="J221" s="1" t="s">
        <v>117</v>
      </c>
      <c r="K221" s="1" t="s">
        <v>118</v>
      </c>
      <c r="L221" s="1" t="s">
        <v>103</v>
      </c>
      <c r="Q221" s="20">
        <v>190800</v>
      </c>
      <c r="AB221" s="20">
        <v>190800</v>
      </c>
      <c r="BI221" s="28">
        <v>190800</v>
      </c>
    </row>
    <row r="222" spans="1:61" x14ac:dyDescent="0.3">
      <c r="A222" s="1" t="s">
        <v>114</v>
      </c>
      <c r="B222" s="1" t="s">
        <v>108</v>
      </c>
      <c r="C222" s="1" t="s">
        <v>567</v>
      </c>
      <c r="D222" s="1" t="s">
        <v>568</v>
      </c>
      <c r="E222" s="1" t="s">
        <v>569</v>
      </c>
      <c r="F222" s="1" t="s">
        <v>570</v>
      </c>
      <c r="G222" s="1" t="s">
        <v>571</v>
      </c>
      <c r="H222" s="1" t="s">
        <v>569</v>
      </c>
      <c r="I222" s="1" t="s">
        <v>548</v>
      </c>
      <c r="J222" s="1" t="s">
        <v>117</v>
      </c>
      <c r="K222" s="1" t="s">
        <v>118</v>
      </c>
      <c r="L222" s="1" t="s">
        <v>103</v>
      </c>
      <c r="M222" s="20">
        <v>7212450</v>
      </c>
      <c r="N222" s="20">
        <v>536400</v>
      </c>
      <c r="O222" s="20">
        <v>612000</v>
      </c>
      <c r="Q222" s="20">
        <v>1222200</v>
      </c>
      <c r="R222" s="20">
        <v>3246000</v>
      </c>
      <c r="AB222" s="20">
        <v>12829050</v>
      </c>
      <c r="AC222" s="20">
        <v>10072500</v>
      </c>
      <c r="AD222" s="20">
        <v>536400</v>
      </c>
      <c r="AE222" s="20">
        <v>816000</v>
      </c>
      <c r="AG222" s="20">
        <v>1690200</v>
      </c>
      <c r="AH222" s="20">
        <v>2302800</v>
      </c>
      <c r="AR222" s="20">
        <v>15417900</v>
      </c>
      <c r="BI222" s="28">
        <v>28246950</v>
      </c>
    </row>
    <row r="223" spans="1:61" x14ac:dyDescent="0.3">
      <c r="A223" s="1" t="s">
        <v>114</v>
      </c>
      <c r="B223" s="1" t="s">
        <v>108</v>
      </c>
      <c r="C223" s="1" t="s">
        <v>567</v>
      </c>
      <c r="D223" s="1" t="s">
        <v>568</v>
      </c>
      <c r="E223" s="1" t="s">
        <v>572</v>
      </c>
      <c r="F223" s="1" t="s">
        <v>573</v>
      </c>
      <c r="G223" s="1" t="s">
        <v>574</v>
      </c>
      <c r="H223" s="1" t="s">
        <v>572</v>
      </c>
      <c r="I223" s="1" t="s">
        <v>548</v>
      </c>
      <c r="J223" s="1" t="s">
        <v>117</v>
      </c>
      <c r="K223" s="1" t="s">
        <v>118</v>
      </c>
      <c r="L223" s="1" t="s">
        <v>103</v>
      </c>
      <c r="M223" s="20">
        <v>1474950</v>
      </c>
      <c r="O223" s="20">
        <v>204000</v>
      </c>
      <c r="Q223" s="20">
        <v>381600</v>
      </c>
      <c r="R223" s="20">
        <v>494400</v>
      </c>
      <c r="AB223" s="20">
        <v>2554950</v>
      </c>
      <c r="AC223" s="20">
        <v>2442300</v>
      </c>
      <c r="AE223" s="20">
        <v>204000</v>
      </c>
      <c r="AG223" s="20">
        <v>286200</v>
      </c>
      <c r="AH223" s="20">
        <v>988800</v>
      </c>
      <c r="AR223" s="20">
        <v>3921300</v>
      </c>
      <c r="BI223" s="28">
        <v>6476250</v>
      </c>
    </row>
    <row r="224" spans="1:61" x14ac:dyDescent="0.3">
      <c r="A224" s="1" t="s">
        <v>114</v>
      </c>
      <c r="B224" s="1" t="s">
        <v>108</v>
      </c>
      <c r="C224" s="1" t="s">
        <v>567</v>
      </c>
      <c r="D224" s="1" t="s">
        <v>568</v>
      </c>
      <c r="E224" s="1" t="s">
        <v>575</v>
      </c>
      <c r="F224" s="1" t="s">
        <v>573</v>
      </c>
      <c r="G224" s="1" t="s">
        <v>576</v>
      </c>
      <c r="H224" s="1" t="s">
        <v>575</v>
      </c>
      <c r="I224" s="1" t="s">
        <v>548</v>
      </c>
      <c r="J224" s="1" t="s">
        <v>117</v>
      </c>
      <c r="K224" s="1" t="s">
        <v>118</v>
      </c>
      <c r="L224" s="1" t="s">
        <v>103</v>
      </c>
      <c r="M224" s="20">
        <v>3002250</v>
      </c>
      <c r="O224" s="20">
        <v>612000</v>
      </c>
      <c r="Q224" s="20">
        <v>572400</v>
      </c>
      <c r="R224" s="20">
        <v>1768800</v>
      </c>
      <c r="AB224" s="20">
        <v>5955450</v>
      </c>
      <c r="AC224" s="20">
        <v>2043750</v>
      </c>
      <c r="AE224" s="20">
        <v>408000</v>
      </c>
      <c r="AF224" s="20">
        <v>192400</v>
      </c>
      <c r="AG224" s="20">
        <v>572400</v>
      </c>
      <c r="AH224" s="20">
        <v>742800</v>
      </c>
      <c r="AR224" s="20">
        <v>3959350</v>
      </c>
      <c r="BI224" s="28">
        <v>9914800</v>
      </c>
    </row>
    <row r="225" spans="1:61" x14ac:dyDescent="0.3">
      <c r="A225" s="1" t="s">
        <v>114</v>
      </c>
      <c r="B225" s="1" t="s">
        <v>108</v>
      </c>
      <c r="C225" s="1" t="s">
        <v>567</v>
      </c>
      <c r="D225" s="1" t="s">
        <v>568</v>
      </c>
      <c r="E225" s="1" t="s">
        <v>577</v>
      </c>
      <c r="F225" s="1" t="s">
        <v>573</v>
      </c>
      <c r="G225" s="1" t="s">
        <v>578</v>
      </c>
      <c r="H225" s="1" t="s">
        <v>577</v>
      </c>
      <c r="I225" s="1" t="s">
        <v>548</v>
      </c>
      <c r="J225" s="1" t="s">
        <v>117</v>
      </c>
      <c r="K225" s="1" t="s">
        <v>118</v>
      </c>
      <c r="L225" s="1" t="s">
        <v>103</v>
      </c>
      <c r="M225" s="20">
        <v>12954300</v>
      </c>
      <c r="N225" s="20">
        <v>536400</v>
      </c>
      <c r="O225" s="20">
        <v>408000</v>
      </c>
      <c r="Q225" s="20">
        <v>2705400</v>
      </c>
      <c r="R225" s="20">
        <v>3633600</v>
      </c>
      <c r="AB225" s="20">
        <v>20237700</v>
      </c>
      <c r="AC225" s="20">
        <v>12162900</v>
      </c>
      <c r="AD225" s="20">
        <v>536400</v>
      </c>
      <c r="AE225" s="20">
        <v>1428000</v>
      </c>
      <c r="AF225" s="20">
        <v>769600</v>
      </c>
      <c r="AG225" s="20">
        <v>1135800</v>
      </c>
      <c r="AH225" s="20">
        <v>3550800</v>
      </c>
      <c r="AR225" s="20">
        <v>19583500</v>
      </c>
      <c r="BI225" s="28">
        <v>39821200</v>
      </c>
    </row>
    <row r="226" spans="1:61" x14ac:dyDescent="0.3">
      <c r="A226" s="1" t="s">
        <v>114</v>
      </c>
      <c r="B226" s="1" t="s">
        <v>108</v>
      </c>
      <c r="C226" s="1" t="s">
        <v>567</v>
      </c>
      <c r="D226" s="1" t="s">
        <v>568</v>
      </c>
      <c r="E226" s="1" t="s">
        <v>579</v>
      </c>
      <c r="F226" s="1" t="s">
        <v>573</v>
      </c>
      <c r="G226" s="1" t="s">
        <v>580</v>
      </c>
      <c r="H226" s="1" t="s">
        <v>579</v>
      </c>
      <c r="I226" s="1" t="s">
        <v>548</v>
      </c>
      <c r="J226" s="1" t="s">
        <v>117</v>
      </c>
      <c r="K226" s="1" t="s">
        <v>118</v>
      </c>
      <c r="L226" s="1" t="s">
        <v>103</v>
      </c>
      <c r="M226" s="20">
        <v>6901050</v>
      </c>
      <c r="N226" s="20">
        <v>804600</v>
      </c>
      <c r="O226" s="20">
        <v>1020000</v>
      </c>
      <c r="Q226" s="20">
        <v>901800</v>
      </c>
      <c r="R226" s="20">
        <v>1837200</v>
      </c>
      <c r="AB226" s="20">
        <v>11464650</v>
      </c>
      <c r="AC226" s="20">
        <v>7177500</v>
      </c>
      <c r="AD226" s="20">
        <v>1072800</v>
      </c>
      <c r="AE226" s="20">
        <v>612000</v>
      </c>
      <c r="AF226" s="20">
        <v>384800</v>
      </c>
      <c r="AG226" s="20">
        <v>1188000</v>
      </c>
      <c r="AH226" s="20">
        <v>1636800</v>
      </c>
      <c r="AR226" s="20">
        <v>12071900</v>
      </c>
      <c r="BI226" s="28">
        <v>23536550</v>
      </c>
    </row>
    <row r="227" spans="1:61" x14ac:dyDescent="0.3">
      <c r="A227" s="1" t="s">
        <v>114</v>
      </c>
      <c r="B227" s="1" t="s">
        <v>108</v>
      </c>
      <c r="C227" s="1" t="s">
        <v>567</v>
      </c>
      <c r="D227" s="1" t="s">
        <v>568</v>
      </c>
      <c r="E227" s="1" t="s">
        <v>581</v>
      </c>
      <c r="F227" s="1" t="s">
        <v>573</v>
      </c>
      <c r="G227" s="1" t="s">
        <v>582</v>
      </c>
      <c r="H227" s="1" t="s">
        <v>581</v>
      </c>
      <c r="I227" s="1" t="s">
        <v>548</v>
      </c>
      <c r="J227" s="1" t="s">
        <v>117</v>
      </c>
      <c r="K227" s="1" t="s">
        <v>118</v>
      </c>
      <c r="L227" s="1" t="s">
        <v>103</v>
      </c>
      <c r="M227" s="20">
        <v>2948100</v>
      </c>
      <c r="N227" s="20">
        <v>268200</v>
      </c>
      <c r="O227" s="20">
        <v>408000</v>
      </c>
      <c r="Q227" s="20">
        <v>424800</v>
      </c>
      <c r="R227" s="20">
        <v>1665600</v>
      </c>
      <c r="AB227" s="20">
        <v>5714700</v>
      </c>
      <c r="AC227" s="20">
        <v>4618800</v>
      </c>
      <c r="AE227" s="20">
        <v>612000</v>
      </c>
      <c r="AG227" s="20">
        <v>1360800</v>
      </c>
      <c r="AH227" s="20">
        <v>1808400</v>
      </c>
      <c r="AR227" s="20">
        <v>8400000</v>
      </c>
      <c r="BI227" s="28">
        <v>14114700</v>
      </c>
    </row>
    <row r="228" spans="1:61" x14ac:dyDescent="0.3">
      <c r="A228" s="1" t="s">
        <v>114</v>
      </c>
      <c r="B228" s="1" t="s">
        <v>108</v>
      </c>
      <c r="C228" s="1" t="s">
        <v>567</v>
      </c>
      <c r="D228" s="1" t="s">
        <v>568</v>
      </c>
      <c r="E228" s="1" t="s">
        <v>583</v>
      </c>
      <c r="F228" s="1" t="s">
        <v>573</v>
      </c>
      <c r="G228" s="1" t="s">
        <v>584</v>
      </c>
      <c r="H228" s="1" t="s">
        <v>583</v>
      </c>
      <c r="I228" s="1" t="s">
        <v>548</v>
      </c>
      <c r="J228" s="1" t="s">
        <v>117</v>
      </c>
      <c r="K228" s="1" t="s">
        <v>118</v>
      </c>
      <c r="L228" s="1" t="s">
        <v>103</v>
      </c>
      <c r="M228" s="20">
        <v>2494200</v>
      </c>
      <c r="O228" s="20">
        <v>408000</v>
      </c>
      <c r="Q228" s="20">
        <v>615600</v>
      </c>
      <c r="R228" s="20">
        <v>1094400</v>
      </c>
      <c r="AB228" s="20">
        <v>4612200</v>
      </c>
      <c r="AC228" s="20">
        <v>1732950</v>
      </c>
      <c r="AE228" s="20">
        <v>408000</v>
      </c>
      <c r="AG228" s="20">
        <v>849600</v>
      </c>
      <c r="AH228" s="20">
        <v>1417200</v>
      </c>
      <c r="AR228" s="20">
        <v>4407750</v>
      </c>
      <c r="BI228" s="28">
        <v>9019950</v>
      </c>
    </row>
    <row r="229" spans="1:61" x14ac:dyDescent="0.3">
      <c r="A229" s="1" t="s">
        <v>114</v>
      </c>
      <c r="B229" s="1" t="s">
        <v>108</v>
      </c>
      <c r="C229" s="1" t="s">
        <v>567</v>
      </c>
      <c r="D229" s="1" t="s">
        <v>568</v>
      </c>
      <c r="E229" s="1" t="s">
        <v>585</v>
      </c>
      <c r="F229" s="1" t="s">
        <v>573</v>
      </c>
      <c r="G229" s="1" t="s">
        <v>586</v>
      </c>
      <c r="H229" s="1" t="s">
        <v>585</v>
      </c>
      <c r="I229" s="1" t="s">
        <v>548</v>
      </c>
      <c r="J229" s="1" t="s">
        <v>117</v>
      </c>
      <c r="K229" s="1" t="s">
        <v>118</v>
      </c>
      <c r="L229" s="1" t="s">
        <v>103</v>
      </c>
      <c r="M229" s="20">
        <v>6141450</v>
      </c>
      <c r="N229" s="20">
        <v>268200</v>
      </c>
      <c r="O229" s="20">
        <v>204000</v>
      </c>
      <c r="Q229" s="20">
        <v>563400</v>
      </c>
      <c r="R229" s="20">
        <v>1674000</v>
      </c>
      <c r="AB229" s="20">
        <v>8851050</v>
      </c>
      <c r="AC229" s="20">
        <v>6309150</v>
      </c>
      <c r="AE229" s="20">
        <v>408000</v>
      </c>
      <c r="AG229" s="20">
        <v>1040400</v>
      </c>
      <c r="AH229" s="20">
        <v>2474400</v>
      </c>
      <c r="AR229" s="20">
        <v>10231950</v>
      </c>
      <c r="BI229" s="28">
        <v>19083000</v>
      </c>
    </row>
    <row r="230" spans="1:61" x14ac:dyDescent="0.3">
      <c r="A230" s="1" t="s">
        <v>114</v>
      </c>
      <c r="B230" s="1" t="s">
        <v>108</v>
      </c>
      <c r="C230" s="1" t="s">
        <v>567</v>
      </c>
      <c r="D230" s="1" t="s">
        <v>568</v>
      </c>
      <c r="E230" s="1" t="s">
        <v>587</v>
      </c>
      <c r="F230" s="1" t="s">
        <v>573</v>
      </c>
      <c r="G230" s="1" t="s">
        <v>588</v>
      </c>
      <c r="H230" s="1" t="s">
        <v>587</v>
      </c>
      <c r="I230" s="1" t="s">
        <v>548</v>
      </c>
      <c r="J230" s="1" t="s">
        <v>117</v>
      </c>
      <c r="K230" s="1" t="s">
        <v>118</v>
      </c>
      <c r="L230" s="1" t="s">
        <v>103</v>
      </c>
      <c r="M230" s="20">
        <v>2475600</v>
      </c>
      <c r="O230" s="20">
        <v>204000</v>
      </c>
      <c r="Q230" s="20">
        <v>190800</v>
      </c>
      <c r="R230" s="20">
        <v>1074000</v>
      </c>
      <c r="AB230" s="20">
        <v>3944400</v>
      </c>
      <c r="AC230" s="20">
        <v>1492500</v>
      </c>
      <c r="AD230" s="20">
        <v>448800</v>
      </c>
      <c r="AG230" s="20">
        <v>329400</v>
      </c>
      <c r="AH230" s="20">
        <v>1200000</v>
      </c>
      <c r="AR230" s="20">
        <v>3470700</v>
      </c>
      <c r="BI230" s="28">
        <v>7415100</v>
      </c>
    </row>
    <row r="231" spans="1:61" x14ac:dyDescent="0.3">
      <c r="A231" s="1" t="s">
        <v>114</v>
      </c>
      <c r="B231" s="1" t="s">
        <v>108</v>
      </c>
      <c r="C231" s="1" t="s">
        <v>567</v>
      </c>
      <c r="D231" s="1" t="s">
        <v>568</v>
      </c>
      <c r="E231" s="1" t="s">
        <v>589</v>
      </c>
      <c r="F231" s="1" t="s">
        <v>573</v>
      </c>
      <c r="G231" s="1" t="s">
        <v>590</v>
      </c>
      <c r="H231" s="1" t="s">
        <v>589</v>
      </c>
      <c r="I231" s="1" t="s">
        <v>548</v>
      </c>
      <c r="J231" s="1" t="s">
        <v>117</v>
      </c>
      <c r="K231" s="1" t="s">
        <v>118</v>
      </c>
      <c r="L231" s="1" t="s">
        <v>103</v>
      </c>
      <c r="M231" s="20">
        <v>5353650</v>
      </c>
      <c r="N231" s="20">
        <v>268200</v>
      </c>
      <c r="O231" s="20">
        <v>408000</v>
      </c>
      <c r="P231" s="20">
        <v>384800</v>
      </c>
      <c r="Q231" s="20">
        <v>1144800</v>
      </c>
      <c r="R231" s="20">
        <v>2188800</v>
      </c>
      <c r="AB231" s="20">
        <v>9748250</v>
      </c>
      <c r="AC231" s="20">
        <v>4399650</v>
      </c>
      <c r="AE231" s="20">
        <v>408000</v>
      </c>
      <c r="AG231" s="20">
        <v>572400</v>
      </c>
      <c r="AH231" s="20">
        <v>1911600</v>
      </c>
      <c r="AR231" s="20">
        <v>7291650</v>
      </c>
      <c r="BI231" s="28">
        <v>17039900</v>
      </c>
    </row>
    <row r="232" spans="1:61" x14ac:dyDescent="0.3">
      <c r="A232" s="1" t="s">
        <v>114</v>
      </c>
      <c r="B232" s="1" t="s">
        <v>108</v>
      </c>
      <c r="C232" s="1" t="s">
        <v>567</v>
      </c>
      <c r="D232" s="1" t="s">
        <v>568</v>
      </c>
      <c r="E232" s="1" t="s">
        <v>591</v>
      </c>
      <c r="F232" s="1" t="s">
        <v>573</v>
      </c>
      <c r="G232" s="1" t="s">
        <v>592</v>
      </c>
      <c r="H232" s="1" t="s">
        <v>591</v>
      </c>
      <c r="I232" s="1" t="s">
        <v>548</v>
      </c>
      <c r="J232" s="1" t="s">
        <v>117</v>
      </c>
      <c r="K232" s="1" t="s">
        <v>118</v>
      </c>
      <c r="L232" s="1" t="s">
        <v>103</v>
      </c>
      <c r="M232" s="20">
        <v>2282250</v>
      </c>
      <c r="O232" s="20">
        <v>408000</v>
      </c>
      <c r="Q232" s="20">
        <v>954000</v>
      </c>
      <c r="R232" s="20">
        <v>1065600</v>
      </c>
      <c r="AB232" s="20">
        <v>4709850</v>
      </c>
      <c r="AC232" s="20">
        <v>1911600</v>
      </c>
      <c r="AE232" s="20">
        <v>204000</v>
      </c>
      <c r="AG232" s="20">
        <v>572400</v>
      </c>
      <c r="AH232" s="20">
        <v>914400</v>
      </c>
      <c r="AR232" s="20">
        <v>3602400</v>
      </c>
      <c r="BI232" s="28">
        <v>8312250</v>
      </c>
    </row>
    <row r="233" spans="1:61" x14ac:dyDescent="0.3">
      <c r="A233" s="1" t="s">
        <v>114</v>
      </c>
      <c r="B233" s="1" t="s">
        <v>108</v>
      </c>
      <c r="C233" s="1" t="s">
        <v>567</v>
      </c>
      <c r="D233" s="1" t="s">
        <v>568</v>
      </c>
      <c r="E233" s="1" t="s">
        <v>593</v>
      </c>
      <c r="F233" s="1" t="s">
        <v>594</v>
      </c>
      <c r="G233" s="1" t="s">
        <v>595</v>
      </c>
      <c r="H233" s="1" t="s">
        <v>593</v>
      </c>
      <c r="I233" s="1" t="s">
        <v>548</v>
      </c>
      <c r="J233" s="1" t="s">
        <v>117</v>
      </c>
      <c r="K233" s="1" t="s">
        <v>118</v>
      </c>
      <c r="L233" s="1" t="s">
        <v>103</v>
      </c>
      <c r="M233" s="20">
        <v>4191150</v>
      </c>
      <c r="O233" s="20">
        <v>408000</v>
      </c>
      <c r="Q233" s="20">
        <v>477000</v>
      </c>
      <c r="R233" s="20">
        <v>1636800</v>
      </c>
      <c r="AB233" s="20">
        <v>6712950</v>
      </c>
      <c r="AC233" s="20">
        <v>2889150</v>
      </c>
      <c r="AG233" s="20">
        <v>658800</v>
      </c>
      <c r="AH233" s="20">
        <v>1094400</v>
      </c>
      <c r="AR233" s="20">
        <v>4642350</v>
      </c>
      <c r="BI233" s="28">
        <v>11355300</v>
      </c>
    </row>
    <row r="234" spans="1:61" x14ac:dyDescent="0.3">
      <c r="A234" s="1" t="s">
        <v>114</v>
      </c>
      <c r="B234" s="1" t="s">
        <v>108</v>
      </c>
      <c r="C234" s="1" t="s">
        <v>567</v>
      </c>
      <c r="D234" s="1" t="s">
        <v>568</v>
      </c>
      <c r="E234" s="1" t="s">
        <v>596</v>
      </c>
      <c r="F234" s="1" t="s">
        <v>594</v>
      </c>
      <c r="G234" s="1" t="s">
        <v>597</v>
      </c>
      <c r="H234" s="1" t="s">
        <v>596</v>
      </c>
      <c r="I234" s="1" t="s">
        <v>548</v>
      </c>
      <c r="J234" s="1" t="s">
        <v>117</v>
      </c>
      <c r="K234" s="1" t="s">
        <v>118</v>
      </c>
      <c r="L234" s="1" t="s">
        <v>103</v>
      </c>
      <c r="M234" s="20">
        <v>3588600</v>
      </c>
      <c r="O234" s="20">
        <v>204000</v>
      </c>
      <c r="Q234" s="20">
        <v>477000</v>
      </c>
      <c r="R234" s="20">
        <v>1388400</v>
      </c>
      <c r="AB234" s="20">
        <v>5658000</v>
      </c>
      <c r="AC234" s="20">
        <v>5454900</v>
      </c>
      <c r="AE234" s="20">
        <v>612000</v>
      </c>
      <c r="AG234" s="20">
        <v>1265400</v>
      </c>
      <c r="AH234" s="20">
        <v>1065600</v>
      </c>
      <c r="AR234" s="20">
        <v>8397900</v>
      </c>
      <c r="BI234" s="28">
        <v>14055900</v>
      </c>
    </row>
    <row r="235" spans="1:61" x14ac:dyDescent="0.3">
      <c r="A235" s="1" t="s">
        <v>114</v>
      </c>
      <c r="B235" s="1" t="s">
        <v>108</v>
      </c>
      <c r="C235" s="1" t="s">
        <v>567</v>
      </c>
      <c r="D235" s="1" t="s">
        <v>568</v>
      </c>
      <c r="E235" s="1" t="s">
        <v>598</v>
      </c>
      <c r="F235" s="1" t="s">
        <v>573</v>
      </c>
      <c r="G235" s="1" t="s">
        <v>599</v>
      </c>
      <c r="H235" s="1" t="s">
        <v>598</v>
      </c>
      <c r="I235" s="1" t="s">
        <v>548</v>
      </c>
      <c r="J235" s="1" t="s">
        <v>117</v>
      </c>
      <c r="K235" s="1" t="s">
        <v>118</v>
      </c>
      <c r="L235" s="1" t="s">
        <v>103</v>
      </c>
      <c r="M235" s="20">
        <v>4528350</v>
      </c>
      <c r="O235" s="20">
        <v>204000</v>
      </c>
      <c r="Q235" s="20">
        <v>667800</v>
      </c>
      <c r="R235" s="20">
        <v>1380000</v>
      </c>
      <c r="AB235" s="20">
        <v>6780150</v>
      </c>
      <c r="AC235" s="20">
        <v>1183200</v>
      </c>
      <c r="AE235" s="20">
        <v>204000</v>
      </c>
      <c r="AG235" s="20">
        <v>572400</v>
      </c>
      <c r="AH235" s="20">
        <v>1245600</v>
      </c>
      <c r="AR235" s="20">
        <v>3205200</v>
      </c>
      <c r="BI235" s="28">
        <v>9985350</v>
      </c>
    </row>
    <row r="236" spans="1:61" x14ac:dyDescent="0.3">
      <c r="A236" s="1" t="s">
        <v>114</v>
      </c>
      <c r="B236" s="1" t="s">
        <v>108</v>
      </c>
      <c r="C236" s="1" t="s">
        <v>567</v>
      </c>
      <c r="D236" s="1" t="s">
        <v>568</v>
      </c>
      <c r="E236" s="1" t="s">
        <v>600</v>
      </c>
      <c r="F236" s="1" t="s">
        <v>573</v>
      </c>
      <c r="G236" s="1" t="s">
        <v>601</v>
      </c>
      <c r="H236" s="1" t="s">
        <v>600</v>
      </c>
      <c r="I236" s="1" t="s">
        <v>548</v>
      </c>
      <c r="J236" s="1" t="s">
        <v>117</v>
      </c>
      <c r="K236" s="1" t="s">
        <v>118</v>
      </c>
      <c r="L236" s="1" t="s">
        <v>103</v>
      </c>
      <c r="M236" s="20">
        <v>4968750</v>
      </c>
      <c r="N236" s="20">
        <v>536400</v>
      </c>
      <c r="O236" s="20">
        <v>408000</v>
      </c>
      <c r="Q236" s="20">
        <v>572400</v>
      </c>
      <c r="R236" s="20">
        <v>1920000</v>
      </c>
      <c r="AB236" s="20">
        <v>8405550</v>
      </c>
      <c r="AC236" s="20">
        <v>2755950</v>
      </c>
      <c r="AE236" s="20">
        <v>204000</v>
      </c>
      <c r="AG236" s="20">
        <v>381600</v>
      </c>
      <c r="AH236" s="20">
        <v>1740000</v>
      </c>
      <c r="AR236" s="20">
        <v>5081550</v>
      </c>
      <c r="BI236" s="28">
        <v>13487100</v>
      </c>
    </row>
    <row r="237" spans="1:61" x14ac:dyDescent="0.3">
      <c r="A237" s="1" t="s">
        <v>114</v>
      </c>
      <c r="B237" s="1" t="s">
        <v>108</v>
      </c>
      <c r="C237" s="1" t="s">
        <v>567</v>
      </c>
      <c r="D237" s="1" t="s">
        <v>568</v>
      </c>
      <c r="E237" s="1" t="s">
        <v>602</v>
      </c>
      <c r="F237" s="1" t="s">
        <v>561</v>
      </c>
      <c r="G237" s="1" t="s">
        <v>603</v>
      </c>
      <c r="H237" s="1" t="s">
        <v>602</v>
      </c>
      <c r="I237" s="1" t="s">
        <v>548</v>
      </c>
      <c r="J237" s="1" t="s">
        <v>117</v>
      </c>
      <c r="K237" s="1" t="s">
        <v>118</v>
      </c>
      <c r="L237" s="1" t="s">
        <v>103</v>
      </c>
      <c r="M237" s="20">
        <v>3131400</v>
      </c>
      <c r="O237" s="20">
        <v>204000</v>
      </c>
      <c r="P237" s="20">
        <v>192400</v>
      </c>
      <c r="Q237" s="20">
        <v>658800</v>
      </c>
      <c r="R237" s="20">
        <v>1171200</v>
      </c>
      <c r="AB237" s="20">
        <v>5357800</v>
      </c>
      <c r="AC237" s="20">
        <v>4492950</v>
      </c>
      <c r="AE237" s="20">
        <v>816000</v>
      </c>
      <c r="AG237" s="20">
        <v>615600</v>
      </c>
      <c r="AH237" s="20">
        <v>1208400</v>
      </c>
      <c r="AR237" s="20">
        <v>7132950</v>
      </c>
      <c r="BI237" s="28">
        <v>12490750</v>
      </c>
    </row>
    <row r="238" spans="1:61" x14ac:dyDescent="0.3">
      <c r="A238" s="1" t="s">
        <v>114</v>
      </c>
      <c r="B238" s="1" t="s">
        <v>108</v>
      </c>
      <c r="C238" s="1" t="s">
        <v>567</v>
      </c>
      <c r="D238" s="1" t="s">
        <v>568</v>
      </c>
      <c r="E238" s="1" t="s">
        <v>604</v>
      </c>
      <c r="F238" s="1" t="s">
        <v>561</v>
      </c>
      <c r="G238" s="1" t="s">
        <v>605</v>
      </c>
      <c r="H238" s="1" t="s">
        <v>604</v>
      </c>
      <c r="I238" s="1" t="s">
        <v>548</v>
      </c>
      <c r="J238" s="1" t="s">
        <v>117</v>
      </c>
      <c r="K238" s="1" t="s">
        <v>118</v>
      </c>
      <c r="L238" s="1" t="s">
        <v>103</v>
      </c>
      <c r="M238" s="20">
        <v>3796350</v>
      </c>
      <c r="N238" s="20">
        <v>268200</v>
      </c>
      <c r="O238" s="20">
        <v>612000</v>
      </c>
      <c r="P238" s="20">
        <v>192400</v>
      </c>
      <c r="Q238" s="20">
        <v>763200</v>
      </c>
      <c r="R238" s="20">
        <v>1417200</v>
      </c>
      <c r="AB238" s="20">
        <v>7049350</v>
      </c>
      <c r="AC238" s="20">
        <v>1343400</v>
      </c>
      <c r="AD238" s="20">
        <v>268200</v>
      </c>
      <c r="AE238" s="20">
        <v>204000</v>
      </c>
      <c r="AG238" s="20">
        <v>667800</v>
      </c>
      <c r="AH238" s="20">
        <v>1485600</v>
      </c>
      <c r="AR238" s="20">
        <v>3969000</v>
      </c>
      <c r="BI238" s="28">
        <v>11018350</v>
      </c>
    </row>
    <row r="239" spans="1:61" x14ac:dyDescent="0.3">
      <c r="A239" s="1" t="s">
        <v>114</v>
      </c>
      <c r="B239" s="1" t="s">
        <v>108</v>
      </c>
      <c r="C239" s="1" t="s">
        <v>567</v>
      </c>
      <c r="D239" s="1" t="s">
        <v>568</v>
      </c>
      <c r="E239" s="1" t="s">
        <v>606</v>
      </c>
      <c r="F239" s="1" t="s">
        <v>561</v>
      </c>
      <c r="G239" s="1" t="s">
        <v>607</v>
      </c>
      <c r="H239" s="1" t="s">
        <v>606</v>
      </c>
      <c r="I239" s="1" t="s">
        <v>548</v>
      </c>
      <c r="J239" s="1" t="s">
        <v>117</v>
      </c>
      <c r="K239" s="1" t="s">
        <v>118</v>
      </c>
      <c r="L239" s="1" t="s">
        <v>103</v>
      </c>
      <c r="M239" s="20">
        <v>4166700</v>
      </c>
      <c r="O239" s="20">
        <v>204000</v>
      </c>
      <c r="Q239" s="20">
        <v>190800</v>
      </c>
      <c r="R239" s="20">
        <v>1057200</v>
      </c>
      <c r="AB239" s="20">
        <v>5618700</v>
      </c>
      <c r="AC239" s="20">
        <v>7200750</v>
      </c>
      <c r="AD239" s="20">
        <v>268200</v>
      </c>
      <c r="AE239" s="20">
        <v>408000</v>
      </c>
      <c r="AF239" s="20">
        <v>192400</v>
      </c>
      <c r="AG239" s="20">
        <v>745200</v>
      </c>
      <c r="AH239" s="20">
        <v>2368800</v>
      </c>
      <c r="AR239" s="20">
        <v>11183350</v>
      </c>
      <c r="BI239" s="28">
        <v>16802050</v>
      </c>
    </row>
    <row r="240" spans="1:61" x14ac:dyDescent="0.3">
      <c r="A240" s="1" t="s">
        <v>114</v>
      </c>
      <c r="B240" s="1" t="s">
        <v>108</v>
      </c>
      <c r="C240" s="1" t="s">
        <v>567</v>
      </c>
      <c r="D240" s="1" t="s">
        <v>568</v>
      </c>
      <c r="E240" s="1" t="s">
        <v>608</v>
      </c>
      <c r="F240" s="1" t="s">
        <v>573</v>
      </c>
      <c r="G240" s="1" t="s">
        <v>609</v>
      </c>
      <c r="H240" s="1" t="s">
        <v>608</v>
      </c>
      <c r="I240" s="1" t="s">
        <v>548</v>
      </c>
      <c r="J240" s="1" t="s">
        <v>117</v>
      </c>
      <c r="K240" s="1" t="s">
        <v>118</v>
      </c>
      <c r="L240" s="1" t="s">
        <v>103</v>
      </c>
      <c r="AC240" s="20">
        <v>8674500</v>
      </c>
      <c r="AD240" s="20">
        <v>717000</v>
      </c>
      <c r="AE240" s="20">
        <v>612000</v>
      </c>
      <c r="AF240" s="20">
        <v>384800</v>
      </c>
      <c r="AG240" s="20">
        <v>381600</v>
      </c>
      <c r="AH240" s="20">
        <v>1731600</v>
      </c>
      <c r="AR240" s="20">
        <v>12501500</v>
      </c>
      <c r="BI240" s="28">
        <v>12501500</v>
      </c>
    </row>
    <row r="241" spans="1:61" x14ac:dyDescent="0.3">
      <c r="A241" s="1" t="s">
        <v>114</v>
      </c>
      <c r="B241" s="1" t="s">
        <v>108</v>
      </c>
      <c r="C241" s="1" t="s">
        <v>610</v>
      </c>
      <c r="D241" s="1" t="s">
        <v>611</v>
      </c>
      <c r="E241" s="1" t="s">
        <v>612</v>
      </c>
      <c r="F241" s="1" t="s">
        <v>573</v>
      </c>
      <c r="G241" s="1" t="s">
        <v>613</v>
      </c>
      <c r="H241" s="1" t="s">
        <v>612</v>
      </c>
      <c r="I241" s="1" t="s">
        <v>548</v>
      </c>
      <c r="J241" s="1" t="s">
        <v>117</v>
      </c>
      <c r="K241" s="1" t="s">
        <v>118</v>
      </c>
      <c r="L241" s="1" t="s">
        <v>103</v>
      </c>
      <c r="M241" s="20">
        <v>4864050</v>
      </c>
      <c r="N241" s="20">
        <v>268200</v>
      </c>
      <c r="O241" s="20">
        <v>204000</v>
      </c>
      <c r="Q241" s="20">
        <v>892800</v>
      </c>
      <c r="R241" s="20">
        <v>1971600</v>
      </c>
      <c r="AB241" s="20">
        <v>8200650</v>
      </c>
      <c r="AC241" s="20">
        <v>4365300</v>
      </c>
      <c r="AD241" s="20">
        <v>268200</v>
      </c>
      <c r="AE241" s="20">
        <v>816000</v>
      </c>
      <c r="AG241" s="20">
        <v>754200</v>
      </c>
      <c r="AH241" s="20">
        <v>1665600</v>
      </c>
      <c r="AR241" s="20">
        <v>7869300</v>
      </c>
      <c r="AS241" s="20">
        <v>6990750</v>
      </c>
      <c r="AT241" s="20">
        <v>536400</v>
      </c>
      <c r="AV241" s="20">
        <v>523200</v>
      </c>
      <c r="AW241" s="20">
        <v>1040400</v>
      </c>
      <c r="AX241" s="20">
        <v>1670400</v>
      </c>
      <c r="BH241" s="28">
        <v>10761150</v>
      </c>
      <c r="BI241" s="28">
        <v>26831100</v>
      </c>
    </row>
    <row r="242" spans="1:61" x14ac:dyDescent="0.3">
      <c r="A242" s="1" t="s">
        <v>114</v>
      </c>
      <c r="B242" s="1" t="s">
        <v>108</v>
      </c>
      <c r="C242" s="1" t="s">
        <v>610</v>
      </c>
      <c r="D242" s="1" t="s">
        <v>611</v>
      </c>
      <c r="E242" s="1" t="s">
        <v>614</v>
      </c>
      <c r="F242" s="1" t="s">
        <v>573</v>
      </c>
      <c r="G242" s="1" t="s">
        <v>615</v>
      </c>
      <c r="H242" s="1" t="s">
        <v>614</v>
      </c>
      <c r="I242" s="1" t="s">
        <v>548</v>
      </c>
      <c r="J242" s="1" t="s">
        <v>117</v>
      </c>
      <c r="K242" s="1" t="s">
        <v>118</v>
      </c>
      <c r="L242" s="1" t="s">
        <v>103</v>
      </c>
      <c r="M242" s="20">
        <v>5079900</v>
      </c>
      <c r="N242" s="20">
        <v>536400</v>
      </c>
      <c r="O242" s="20">
        <v>612000</v>
      </c>
      <c r="Q242" s="20">
        <v>1422000</v>
      </c>
      <c r="R242" s="20">
        <v>2511600</v>
      </c>
      <c r="AB242" s="20">
        <v>10161900</v>
      </c>
      <c r="AC242" s="20">
        <v>4852950</v>
      </c>
      <c r="AD242" s="20">
        <v>268200</v>
      </c>
      <c r="AE242" s="20">
        <v>204000</v>
      </c>
      <c r="AG242" s="20">
        <v>763200</v>
      </c>
      <c r="AH242" s="20">
        <v>1636800</v>
      </c>
      <c r="AR242" s="20">
        <v>7725150</v>
      </c>
      <c r="AS242" s="20">
        <v>5192550</v>
      </c>
      <c r="AT242" s="20">
        <v>717000</v>
      </c>
      <c r="AW242" s="20">
        <v>1413000</v>
      </c>
      <c r="AX242" s="20">
        <v>2601600</v>
      </c>
      <c r="BH242" s="28">
        <v>9924150</v>
      </c>
      <c r="BI242" s="28">
        <v>27811200</v>
      </c>
    </row>
    <row r="243" spans="1:61" x14ac:dyDescent="0.3">
      <c r="A243" s="1" t="s">
        <v>114</v>
      </c>
      <c r="B243" s="1" t="s">
        <v>108</v>
      </c>
      <c r="C243" s="1" t="s">
        <v>610</v>
      </c>
      <c r="D243" s="1" t="s">
        <v>611</v>
      </c>
      <c r="E243" s="1" t="s">
        <v>616</v>
      </c>
      <c r="F243" s="1" t="s">
        <v>573</v>
      </c>
      <c r="G243" s="1" t="s">
        <v>617</v>
      </c>
      <c r="H243" s="1" t="s">
        <v>616</v>
      </c>
      <c r="I243" s="1" t="s">
        <v>548</v>
      </c>
      <c r="J243" s="1" t="s">
        <v>117</v>
      </c>
      <c r="K243" s="1" t="s">
        <v>118</v>
      </c>
      <c r="L243" s="1" t="s">
        <v>103</v>
      </c>
      <c r="M243" s="20">
        <v>2977350</v>
      </c>
      <c r="N243" s="20">
        <v>536400</v>
      </c>
      <c r="O243" s="20">
        <v>204000</v>
      </c>
      <c r="Q243" s="20">
        <v>858600</v>
      </c>
      <c r="R243" s="20">
        <v>2368800</v>
      </c>
      <c r="AB243" s="20">
        <v>6945150</v>
      </c>
      <c r="AC243" s="20">
        <v>2429700</v>
      </c>
      <c r="AD243" s="20">
        <v>448800</v>
      </c>
      <c r="AE243" s="20">
        <v>204000</v>
      </c>
      <c r="AG243" s="20">
        <v>806400</v>
      </c>
      <c r="AH243" s="20">
        <v>1065600</v>
      </c>
      <c r="AR243" s="20">
        <v>4954500</v>
      </c>
      <c r="AS243" s="20">
        <v>3639600</v>
      </c>
      <c r="AT243" s="20">
        <v>536400</v>
      </c>
      <c r="AU243" s="20">
        <v>204000</v>
      </c>
      <c r="AV243" s="20">
        <v>523200</v>
      </c>
      <c r="AW243" s="20">
        <v>615600</v>
      </c>
      <c r="AX243" s="20">
        <v>1522800</v>
      </c>
      <c r="BH243" s="28">
        <v>7041600</v>
      </c>
      <c r="BI243" s="28">
        <v>18941250</v>
      </c>
    </row>
    <row r="244" spans="1:61" x14ac:dyDescent="0.3">
      <c r="A244" s="1" t="s">
        <v>114</v>
      </c>
      <c r="B244" s="1" t="s">
        <v>108</v>
      </c>
      <c r="C244" s="1" t="s">
        <v>610</v>
      </c>
      <c r="D244" s="1" t="s">
        <v>611</v>
      </c>
      <c r="E244" s="1" t="s">
        <v>618</v>
      </c>
      <c r="F244" s="1" t="s">
        <v>573</v>
      </c>
      <c r="G244" s="1" t="s">
        <v>619</v>
      </c>
      <c r="H244" s="1" t="s">
        <v>618</v>
      </c>
      <c r="I244" s="1" t="s">
        <v>548</v>
      </c>
      <c r="J244" s="1" t="s">
        <v>117</v>
      </c>
      <c r="K244" s="1" t="s">
        <v>118</v>
      </c>
      <c r="L244" s="1" t="s">
        <v>103</v>
      </c>
      <c r="M244" s="20">
        <v>2694000</v>
      </c>
      <c r="N244" s="20">
        <v>268200</v>
      </c>
      <c r="O244" s="20">
        <v>204000</v>
      </c>
      <c r="Q244" s="20">
        <v>1135800</v>
      </c>
      <c r="R244" s="20">
        <v>1123200</v>
      </c>
      <c r="AB244" s="20">
        <v>5425200</v>
      </c>
      <c r="AC244" s="20">
        <v>547800</v>
      </c>
      <c r="AD244" s="20">
        <v>268200</v>
      </c>
      <c r="AE244" s="20">
        <v>408000</v>
      </c>
      <c r="AG244" s="20">
        <v>1040400</v>
      </c>
      <c r="AH244" s="20">
        <v>1123200</v>
      </c>
      <c r="AR244" s="20">
        <v>3387600</v>
      </c>
      <c r="AS244" s="20">
        <v>3492000</v>
      </c>
      <c r="AT244" s="20">
        <v>804600</v>
      </c>
      <c r="AU244" s="20">
        <v>204000</v>
      </c>
      <c r="AV244" s="20">
        <v>1831200</v>
      </c>
      <c r="AW244" s="20">
        <v>572400</v>
      </c>
      <c r="AX244" s="20">
        <v>1766400</v>
      </c>
      <c r="BH244" s="28">
        <v>8670600</v>
      </c>
      <c r="BI244" s="28">
        <v>17483400</v>
      </c>
    </row>
    <row r="245" spans="1:61" x14ac:dyDescent="0.3">
      <c r="A245" s="1" t="s">
        <v>114</v>
      </c>
      <c r="B245" s="1" t="s">
        <v>108</v>
      </c>
      <c r="C245" s="1" t="s">
        <v>610</v>
      </c>
      <c r="D245" s="1" t="s">
        <v>611</v>
      </c>
      <c r="E245" s="1" t="s">
        <v>620</v>
      </c>
      <c r="F245" s="1" t="s">
        <v>573</v>
      </c>
      <c r="G245" s="1" t="s">
        <v>621</v>
      </c>
      <c r="H245" s="1" t="s">
        <v>620</v>
      </c>
      <c r="I245" s="1" t="s">
        <v>548</v>
      </c>
      <c r="J245" s="1" t="s">
        <v>117</v>
      </c>
      <c r="K245" s="1" t="s">
        <v>118</v>
      </c>
      <c r="L245" s="1" t="s">
        <v>103</v>
      </c>
      <c r="M245" s="20">
        <v>3810000</v>
      </c>
      <c r="O245" s="20">
        <v>204000</v>
      </c>
      <c r="Q245" s="20">
        <v>1240200</v>
      </c>
      <c r="R245" s="20">
        <v>1837200</v>
      </c>
      <c r="AB245" s="20">
        <v>7091400</v>
      </c>
      <c r="AC245" s="20">
        <v>3693000</v>
      </c>
      <c r="AE245" s="20">
        <v>408000</v>
      </c>
      <c r="AG245" s="20">
        <v>1612800</v>
      </c>
      <c r="AH245" s="20">
        <v>2482800</v>
      </c>
      <c r="AR245" s="20">
        <v>8196600</v>
      </c>
      <c r="AS245" s="20">
        <v>4505400</v>
      </c>
      <c r="AV245" s="20">
        <v>261600</v>
      </c>
      <c r="AW245" s="20">
        <v>1569600</v>
      </c>
      <c r="AX245" s="20">
        <v>2738400</v>
      </c>
      <c r="BH245" s="28">
        <v>9075000</v>
      </c>
      <c r="BI245" s="28">
        <v>24363000</v>
      </c>
    </row>
    <row r="246" spans="1:61" x14ac:dyDescent="0.3">
      <c r="A246" s="1" t="s">
        <v>114</v>
      </c>
      <c r="B246" s="1" t="s">
        <v>108</v>
      </c>
      <c r="C246" s="1" t="s">
        <v>610</v>
      </c>
      <c r="D246" s="1" t="s">
        <v>611</v>
      </c>
      <c r="E246" s="1" t="s">
        <v>622</v>
      </c>
      <c r="F246" s="1" t="s">
        <v>573</v>
      </c>
      <c r="G246" s="1" t="s">
        <v>623</v>
      </c>
      <c r="H246" s="1" t="s">
        <v>622</v>
      </c>
      <c r="I246" s="1" t="s">
        <v>548</v>
      </c>
      <c r="J246" s="1" t="s">
        <v>117</v>
      </c>
      <c r="K246" s="1" t="s">
        <v>118</v>
      </c>
      <c r="L246" s="1" t="s">
        <v>103</v>
      </c>
      <c r="M246" s="20">
        <v>3472050</v>
      </c>
      <c r="O246" s="20">
        <v>408000</v>
      </c>
      <c r="Q246" s="20">
        <v>1326600</v>
      </c>
      <c r="R246" s="20">
        <v>1560000</v>
      </c>
      <c r="AB246" s="20">
        <v>6766650</v>
      </c>
      <c r="AC246" s="20">
        <v>2621400</v>
      </c>
      <c r="AE246" s="20">
        <v>408000</v>
      </c>
      <c r="AG246" s="20">
        <v>1092600</v>
      </c>
      <c r="AH246" s="20">
        <v>1951200</v>
      </c>
      <c r="AR246" s="20">
        <v>6073200</v>
      </c>
      <c r="AS246" s="20">
        <v>5692500</v>
      </c>
      <c r="AU246" s="20">
        <v>204000</v>
      </c>
      <c r="AV246" s="20">
        <v>523200</v>
      </c>
      <c r="AW246" s="20">
        <v>1135800</v>
      </c>
      <c r="AX246" s="20">
        <v>1989600</v>
      </c>
      <c r="BH246" s="28">
        <v>9545100</v>
      </c>
      <c r="BI246" s="28">
        <v>22384950</v>
      </c>
    </row>
    <row r="247" spans="1:61" x14ac:dyDescent="0.3">
      <c r="A247" s="1" t="s">
        <v>114</v>
      </c>
      <c r="B247" s="1" t="s">
        <v>108</v>
      </c>
      <c r="C247" s="1" t="s">
        <v>610</v>
      </c>
      <c r="D247" s="1" t="s">
        <v>611</v>
      </c>
      <c r="E247" s="1" t="s">
        <v>624</v>
      </c>
      <c r="F247" s="1" t="s">
        <v>561</v>
      </c>
      <c r="G247" s="1" t="s">
        <v>625</v>
      </c>
      <c r="H247" s="1" t="s">
        <v>624</v>
      </c>
      <c r="I247" s="1" t="s">
        <v>548</v>
      </c>
      <c r="J247" s="1" t="s">
        <v>117</v>
      </c>
      <c r="K247" s="1" t="s">
        <v>118</v>
      </c>
      <c r="L247" s="1" t="s">
        <v>103</v>
      </c>
      <c r="M247" s="20">
        <v>4745400</v>
      </c>
      <c r="O247" s="20">
        <v>204000</v>
      </c>
      <c r="Q247" s="20">
        <v>1508400</v>
      </c>
      <c r="R247" s="20">
        <v>1123200</v>
      </c>
      <c r="AB247" s="20">
        <v>7581000</v>
      </c>
      <c r="AC247" s="20">
        <v>3393300</v>
      </c>
      <c r="AD247" s="20">
        <v>536400</v>
      </c>
      <c r="AE247" s="20">
        <v>408000</v>
      </c>
      <c r="AG247" s="20">
        <v>615600</v>
      </c>
      <c r="AH247" s="20">
        <v>827400</v>
      </c>
      <c r="AR247" s="20">
        <v>5780700</v>
      </c>
      <c r="AS247" s="20">
        <v>4865400</v>
      </c>
      <c r="AT247" s="20">
        <v>536400</v>
      </c>
      <c r="AU247" s="20">
        <v>204000</v>
      </c>
      <c r="AV247" s="20">
        <v>523200</v>
      </c>
      <c r="AW247" s="20">
        <v>849600</v>
      </c>
      <c r="AX247" s="20">
        <v>1488000</v>
      </c>
      <c r="BH247" s="28">
        <v>8466600</v>
      </c>
      <c r="BI247" s="28">
        <v>21828300</v>
      </c>
    </row>
    <row r="248" spans="1:61" x14ac:dyDescent="0.3">
      <c r="A248" s="1" t="s">
        <v>114</v>
      </c>
      <c r="B248" s="1" t="s">
        <v>108</v>
      </c>
      <c r="C248" s="1" t="s">
        <v>626</v>
      </c>
      <c r="D248" s="1" t="s">
        <v>627</v>
      </c>
      <c r="E248" s="1" t="s">
        <v>628</v>
      </c>
      <c r="F248" s="1" t="s">
        <v>561</v>
      </c>
      <c r="G248" s="1" t="s">
        <v>629</v>
      </c>
      <c r="H248" s="1" t="s">
        <v>628</v>
      </c>
      <c r="I248" s="1" t="s">
        <v>548</v>
      </c>
      <c r="J248" s="1" t="s">
        <v>117</v>
      </c>
      <c r="K248" s="1" t="s">
        <v>118</v>
      </c>
      <c r="L248" s="1" t="s">
        <v>103</v>
      </c>
      <c r="M248" s="20">
        <v>5951100</v>
      </c>
      <c r="Q248" s="20">
        <v>477000</v>
      </c>
      <c r="R248" s="20">
        <v>1142400</v>
      </c>
      <c r="AB248" s="20">
        <v>7570500</v>
      </c>
      <c r="AS248" s="20">
        <v>0</v>
      </c>
      <c r="AX248" s="20">
        <v>0</v>
      </c>
      <c r="BH248" s="28">
        <v>0</v>
      </c>
      <c r="BI248" s="28">
        <v>7570500</v>
      </c>
    </row>
    <row r="249" spans="1:61" x14ac:dyDescent="0.3">
      <c r="A249" s="1" t="s">
        <v>114</v>
      </c>
      <c r="B249" s="1" t="s">
        <v>108</v>
      </c>
      <c r="C249" s="1" t="s">
        <v>630</v>
      </c>
      <c r="D249" s="1" t="s">
        <v>631</v>
      </c>
      <c r="E249" s="1" t="s">
        <v>632</v>
      </c>
      <c r="F249" s="1" t="s">
        <v>633</v>
      </c>
      <c r="G249" s="1" t="s">
        <v>634</v>
      </c>
      <c r="H249" s="1" t="s">
        <v>632</v>
      </c>
      <c r="I249" s="1" t="s">
        <v>548</v>
      </c>
      <c r="J249" s="1" t="s">
        <v>117</v>
      </c>
      <c r="K249" s="1" t="s">
        <v>118</v>
      </c>
      <c r="L249" s="1" t="s">
        <v>103</v>
      </c>
      <c r="M249" s="20">
        <v>7580850</v>
      </c>
      <c r="O249" s="20">
        <v>816000</v>
      </c>
      <c r="Q249" s="20">
        <v>1474200</v>
      </c>
      <c r="R249" s="20">
        <v>3908400</v>
      </c>
      <c r="AB249" s="20">
        <v>13779450</v>
      </c>
      <c r="AC249" s="20">
        <v>7909800</v>
      </c>
      <c r="AE249" s="20">
        <v>816000</v>
      </c>
      <c r="AG249" s="20">
        <v>1326600</v>
      </c>
      <c r="AH249" s="20">
        <v>3577200</v>
      </c>
      <c r="AR249" s="20">
        <v>13629600</v>
      </c>
      <c r="AS249" s="20">
        <v>7021200</v>
      </c>
      <c r="AU249" s="20">
        <v>408000</v>
      </c>
      <c r="AW249" s="20">
        <v>1240200</v>
      </c>
      <c r="AX249" s="20">
        <v>4015200</v>
      </c>
      <c r="BH249" s="28">
        <v>12684600</v>
      </c>
      <c r="BI249" s="28">
        <v>40093650</v>
      </c>
    </row>
    <row r="250" spans="1:61" x14ac:dyDescent="0.3">
      <c r="A250" s="1" t="s">
        <v>114</v>
      </c>
      <c r="B250" s="1" t="s">
        <v>108</v>
      </c>
      <c r="C250" s="1" t="s">
        <v>635</v>
      </c>
      <c r="D250" s="1" t="s">
        <v>636</v>
      </c>
      <c r="E250" s="1" t="s">
        <v>637</v>
      </c>
      <c r="F250" s="1" t="s">
        <v>561</v>
      </c>
      <c r="G250" s="1" t="s">
        <v>638</v>
      </c>
      <c r="H250" s="1" t="s">
        <v>637</v>
      </c>
      <c r="I250" s="1" t="s">
        <v>548</v>
      </c>
      <c r="J250" s="1" t="s">
        <v>117</v>
      </c>
      <c r="K250" s="1" t="s">
        <v>118</v>
      </c>
      <c r="L250" s="1" t="s">
        <v>103</v>
      </c>
      <c r="M250" s="20">
        <v>2338950</v>
      </c>
      <c r="N250" s="20">
        <v>804600</v>
      </c>
      <c r="O250" s="20">
        <v>306000</v>
      </c>
      <c r="Q250" s="20">
        <v>424800</v>
      </c>
      <c r="R250" s="20">
        <v>780000</v>
      </c>
      <c r="AB250" s="20">
        <v>4654350</v>
      </c>
      <c r="AC250" s="20">
        <v>2320950</v>
      </c>
      <c r="AE250" s="20">
        <v>306000</v>
      </c>
      <c r="AG250" s="20">
        <v>381600</v>
      </c>
      <c r="AH250" s="20">
        <v>551400</v>
      </c>
      <c r="AR250" s="20">
        <v>3559950</v>
      </c>
      <c r="AS250" s="20">
        <v>3858600</v>
      </c>
      <c r="AU250" s="20">
        <v>102000</v>
      </c>
      <c r="AV250" s="20">
        <v>1046400</v>
      </c>
      <c r="AW250" s="20">
        <v>381600</v>
      </c>
      <c r="AX250" s="20">
        <v>1294800</v>
      </c>
      <c r="BH250" s="28">
        <v>6683400</v>
      </c>
      <c r="BI250" s="28">
        <v>14897700</v>
      </c>
    </row>
    <row r="251" spans="1:61" x14ac:dyDescent="0.3">
      <c r="A251" s="1" t="s">
        <v>114</v>
      </c>
      <c r="B251" s="1" t="s">
        <v>108</v>
      </c>
      <c r="C251" s="1" t="s">
        <v>639</v>
      </c>
      <c r="D251" s="1" t="s">
        <v>640</v>
      </c>
      <c r="E251" s="1" t="s">
        <v>641</v>
      </c>
      <c r="F251" s="1" t="s">
        <v>573</v>
      </c>
      <c r="G251" s="1" t="s">
        <v>580</v>
      </c>
      <c r="H251" s="1" t="s">
        <v>641</v>
      </c>
      <c r="I251" s="1" t="s">
        <v>548</v>
      </c>
      <c r="J251" s="1" t="s">
        <v>117</v>
      </c>
      <c r="K251" s="1" t="s">
        <v>118</v>
      </c>
      <c r="L251" s="1" t="s">
        <v>103</v>
      </c>
      <c r="AS251" s="20">
        <v>6574050</v>
      </c>
      <c r="AT251" s="20">
        <v>536400</v>
      </c>
      <c r="AU251" s="20">
        <v>612000</v>
      </c>
      <c r="AV251" s="20">
        <v>523200</v>
      </c>
      <c r="AW251" s="20">
        <v>988200</v>
      </c>
      <c r="AX251" s="20">
        <v>2170800</v>
      </c>
      <c r="BH251" s="28">
        <v>11404650</v>
      </c>
      <c r="BI251" s="28">
        <v>11404650</v>
      </c>
    </row>
    <row r="252" spans="1:61" x14ac:dyDescent="0.3">
      <c r="A252" s="1" t="s">
        <v>114</v>
      </c>
      <c r="B252" s="1" t="s">
        <v>108</v>
      </c>
      <c r="C252" s="1" t="s">
        <v>639</v>
      </c>
      <c r="D252" s="1" t="s">
        <v>640</v>
      </c>
      <c r="E252" s="1" t="s">
        <v>642</v>
      </c>
      <c r="F252" s="1" t="s">
        <v>573</v>
      </c>
      <c r="G252" s="1" t="s">
        <v>584</v>
      </c>
      <c r="H252" s="1" t="s">
        <v>642</v>
      </c>
      <c r="I252" s="1" t="s">
        <v>548</v>
      </c>
      <c r="J252" s="1" t="s">
        <v>117</v>
      </c>
      <c r="K252" s="1" t="s">
        <v>118</v>
      </c>
      <c r="L252" s="1" t="s">
        <v>103</v>
      </c>
      <c r="AS252" s="20">
        <v>2709900</v>
      </c>
      <c r="AV252" s="20">
        <v>261600</v>
      </c>
      <c r="AW252" s="20">
        <v>190800</v>
      </c>
      <c r="AX252" s="20">
        <v>925200</v>
      </c>
      <c r="BH252" s="28">
        <v>4087500</v>
      </c>
      <c r="BI252" s="28">
        <v>4087500</v>
      </c>
    </row>
    <row r="253" spans="1:61" x14ac:dyDescent="0.3">
      <c r="A253" s="1" t="s">
        <v>114</v>
      </c>
      <c r="B253" s="1" t="s">
        <v>108</v>
      </c>
      <c r="C253" s="1" t="s">
        <v>639</v>
      </c>
      <c r="D253" s="1" t="s">
        <v>640</v>
      </c>
      <c r="E253" s="1" t="s">
        <v>643</v>
      </c>
      <c r="F253" s="1" t="s">
        <v>573</v>
      </c>
      <c r="G253" s="1" t="s">
        <v>586</v>
      </c>
      <c r="H253" s="1" t="s">
        <v>643</v>
      </c>
      <c r="I253" s="1" t="s">
        <v>548</v>
      </c>
      <c r="J253" s="1" t="s">
        <v>117</v>
      </c>
      <c r="K253" s="1" t="s">
        <v>118</v>
      </c>
      <c r="L253" s="1" t="s">
        <v>103</v>
      </c>
      <c r="AS253" s="20">
        <v>7116000</v>
      </c>
      <c r="AT253" s="20">
        <v>804600</v>
      </c>
      <c r="AU253" s="20">
        <v>204000</v>
      </c>
      <c r="AV253" s="20">
        <v>523200</v>
      </c>
      <c r="AW253" s="20">
        <v>763200</v>
      </c>
      <c r="AX253" s="20">
        <v>2242800</v>
      </c>
      <c r="BH253" s="28">
        <v>11653800</v>
      </c>
      <c r="BI253" s="28">
        <v>11653800</v>
      </c>
    </row>
    <row r="254" spans="1:61" x14ac:dyDescent="0.3">
      <c r="A254" s="1" t="s">
        <v>114</v>
      </c>
      <c r="B254" s="1" t="s">
        <v>108</v>
      </c>
      <c r="C254" s="1" t="s">
        <v>639</v>
      </c>
      <c r="D254" s="1" t="s">
        <v>640</v>
      </c>
      <c r="E254" s="1" t="s">
        <v>644</v>
      </c>
      <c r="F254" s="1" t="s">
        <v>573</v>
      </c>
      <c r="G254" s="1" t="s">
        <v>609</v>
      </c>
      <c r="H254" s="1" t="s">
        <v>644</v>
      </c>
      <c r="I254" s="1" t="s">
        <v>548</v>
      </c>
      <c r="J254" s="1" t="s">
        <v>117</v>
      </c>
      <c r="K254" s="1" t="s">
        <v>118</v>
      </c>
      <c r="L254" s="1" t="s">
        <v>103</v>
      </c>
      <c r="AS254" s="20">
        <v>3387750</v>
      </c>
      <c r="AT254" s="20">
        <v>536400</v>
      </c>
      <c r="AU254" s="20">
        <v>204000</v>
      </c>
      <c r="AV254" s="20">
        <v>261600</v>
      </c>
      <c r="AW254" s="20">
        <v>381600</v>
      </c>
      <c r="AX254" s="20">
        <v>457200</v>
      </c>
      <c r="BH254" s="28">
        <v>5228550</v>
      </c>
      <c r="BI254" s="28">
        <v>5228550</v>
      </c>
    </row>
    <row r="255" spans="1:61" x14ac:dyDescent="0.3">
      <c r="A255" s="1" t="s">
        <v>114</v>
      </c>
      <c r="B255" s="1" t="s">
        <v>108</v>
      </c>
      <c r="C255" s="1" t="s">
        <v>639</v>
      </c>
      <c r="D255" s="1" t="s">
        <v>640</v>
      </c>
      <c r="E255" s="1" t="s">
        <v>645</v>
      </c>
      <c r="F255" s="1" t="s">
        <v>594</v>
      </c>
      <c r="G255" s="1" t="s">
        <v>595</v>
      </c>
      <c r="H255" s="1" t="s">
        <v>645</v>
      </c>
      <c r="I255" s="1" t="s">
        <v>548</v>
      </c>
      <c r="J255" s="1" t="s">
        <v>117</v>
      </c>
      <c r="K255" s="1" t="s">
        <v>118</v>
      </c>
      <c r="L255" s="1" t="s">
        <v>103</v>
      </c>
      <c r="AS255" s="20">
        <v>4371600</v>
      </c>
      <c r="AV255" s="20">
        <v>523200</v>
      </c>
      <c r="AW255" s="20">
        <v>572400</v>
      </c>
      <c r="AX255" s="20">
        <v>1560000</v>
      </c>
      <c r="BH255" s="28">
        <v>7027200</v>
      </c>
      <c r="BI255" s="28">
        <v>7027200</v>
      </c>
    </row>
    <row r="256" spans="1:61" x14ac:dyDescent="0.3">
      <c r="A256" s="1" t="s">
        <v>114</v>
      </c>
      <c r="B256" s="1" t="s">
        <v>108</v>
      </c>
      <c r="C256" s="1" t="s">
        <v>639</v>
      </c>
      <c r="D256" s="1" t="s">
        <v>640</v>
      </c>
      <c r="E256" s="1" t="s">
        <v>646</v>
      </c>
      <c r="F256" s="1" t="s">
        <v>573</v>
      </c>
      <c r="G256" s="1" t="s">
        <v>582</v>
      </c>
      <c r="H256" s="1" t="s">
        <v>646</v>
      </c>
      <c r="I256" s="1" t="s">
        <v>548</v>
      </c>
      <c r="J256" s="1" t="s">
        <v>117</v>
      </c>
      <c r="K256" s="1" t="s">
        <v>118</v>
      </c>
      <c r="L256" s="1" t="s">
        <v>103</v>
      </c>
      <c r="AS256" s="20">
        <v>5965050</v>
      </c>
      <c r="AT256" s="20">
        <v>268200</v>
      </c>
      <c r="AU256" s="20">
        <v>408000</v>
      </c>
      <c r="AV256" s="20">
        <v>838800</v>
      </c>
      <c r="AW256" s="20">
        <v>1699200</v>
      </c>
      <c r="AX256" s="20">
        <v>1237200</v>
      </c>
      <c r="BH256" s="28">
        <v>10416450</v>
      </c>
      <c r="BI256" s="28">
        <v>10416450</v>
      </c>
    </row>
    <row r="257" spans="1:61" x14ac:dyDescent="0.3">
      <c r="A257" s="1" t="s">
        <v>114</v>
      </c>
      <c r="B257" s="1" t="s">
        <v>108</v>
      </c>
      <c r="C257" s="1" t="s">
        <v>639</v>
      </c>
      <c r="D257" s="1" t="s">
        <v>640</v>
      </c>
      <c r="E257" s="1" t="s">
        <v>647</v>
      </c>
      <c r="F257" s="1" t="s">
        <v>573</v>
      </c>
      <c r="G257" s="1" t="s">
        <v>601</v>
      </c>
      <c r="H257" s="1" t="s">
        <v>647</v>
      </c>
      <c r="I257" s="1" t="s">
        <v>548</v>
      </c>
      <c r="J257" s="1" t="s">
        <v>117</v>
      </c>
      <c r="K257" s="1" t="s">
        <v>118</v>
      </c>
      <c r="L257" s="1" t="s">
        <v>103</v>
      </c>
      <c r="AS257" s="20">
        <v>4182900</v>
      </c>
      <c r="AT257" s="20">
        <v>536400</v>
      </c>
      <c r="AV257" s="20">
        <v>523200</v>
      </c>
      <c r="AW257" s="20">
        <v>477000</v>
      </c>
      <c r="AX257" s="20">
        <v>1274400</v>
      </c>
      <c r="BH257" s="28">
        <v>6993900</v>
      </c>
      <c r="BI257" s="28">
        <v>6993900</v>
      </c>
    </row>
    <row r="258" spans="1:61" x14ac:dyDescent="0.3">
      <c r="A258" s="1" t="s">
        <v>114</v>
      </c>
      <c r="B258" s="1" t="s">
        <v>108</v>
      </c>
      <c r="C258" s="1" t="s">
        <v>639</v>
      </c>
      <c r="D258" s="1" t="s">
        <v>640</v>
      </c>
      <c r="E258" s="1" t="s">
        <v>648</v>
      </c>
      <c r="F258" s="1" t="s">
        <v>570</v>
      </c>
      <c r="G258" s="1" t="s">
        <v>571</v>
      </c>
      <c r="H258" s="1" t="s">
        <v>648</v>
      </c>
      <c r="I258" s="1" t="s">
        <v>548</v>
      </c>
      <c r="J258" s="1" t="s">
        <v>117</v>
      </c>
      <c r="K258" s="1" t="s">
        <v>118</v>
      </c>
      <c r="L258" s="1" t="s">
        <v>103</v>
      </c>
      <c r="AS258" s="20">
        <v>9125250</v>
      </c>
      <c r="AT258" s="20">
        <v>536400</v>
      </c>
      <c r="AU258" s="20">
        <v>612000</v>
      </c>
      <c r="AV258" s="20">
        <v>1046400</v>
      </c>
      <c r="AW258" s="20">
        <v>1222200</v>
      </c>
      <c r="AX258" s="20">
        <v>2474400</v>
      </c>
      <c r="BH258" s="28">
        <v>15016650</v>
      </c>
      <c r="BI258" s="28">
        <v>15016650</v>
      </c>
    </row>
    <row r="259" spans="1:61" x14ac:dyDescent="0.3">
      <c r="A259" s="1" t="s">
        <v>114</v>
      </c>
      <c r="B259" s="1" t="s">
        <v>108</v>
      </c>
      <c r="C259" s="1" t="s">
        <v>639</v>
      </c>
      <c r="D259" s="1" t="s">
        <v>640</v>
      </c>
      <c r="E259" s="1" t="s">
        <v>649</v>
      </c>
      <c r="F259" s="1" t="s">
        <v>561</v>
      </c>
      <c r="G259" s="1" t="s">
        <v>603</v>
      </c>
      <c r="H259" s="1" t="s">
        <v>649</v>
      </c>
      <c r="I259" s="1" t="s">
        <v>548</v>
      </c>
      <c r="J259" s="1" t="s">
        <v>117</v>
      </c>
      <c r="K259" s="1" t="s">
        <v>118</v>
      </c>
      <c r="L259" s="1" t="s">
        <v>103</v>
      </c>
      <c r="AS259" s="20">
        <v>4183200</v>
      </c>
      <c r="AT259" s="20">
        <v>804600</v>
      </c>
      <c r="AU259" s="20">
        <v>204000</v>
      </c>
      <c r="AV259" s="20">
        <v>523200</v>
      </c>
      <c r="AW259" s="20">
        <v>520200</v>
      </c>
      <c r="AX259" s="20">
        <v>894000</v>
      </c>
      <c r="BH259" s="28">
        <v>7129200</v>
      </c>
      <c r="BI259" s="28">
        <v>7129200</v>
      </c>
    </row>
    <row r="260" spans="1:61" x14ac:dyDescent="0.3">
      <c r="A260" s="1" t="s">
        <v>114</v>
      </c>
      <c r="B260" s="1" t="s">
        <v>108</v>
      </c>
      <c r="C260" s="1" t="s">
        <v>639</v>
      </c>
      <c r="D260" s="1" t="s">
        <v>640</v>
      </c>
      <c r="E260" s="1" t="s">
        <v>650</v>
      </c>
      <c r="F260" s="1" t="s">
        <v>561</v>
      </c>
      <c r="G260" s="1" t="s">
        <v>607</v>
      </c>
      <c r="H260" s="1" t="s">
        <v>650</v>
      </c>
      <c r="I260" s="1" t="s">
        <v>548</v>
      </c>
      <c r="J260" s="1" t="s">
        <v>117</v>
      </c>
      <c r="K260" s="1" t="s">
        <v>118</v>
      </c>
      <c r="L260" s="1" t="s">
        <v>103</v>
      </c>
      <c r="AS260" s="20">
        <v>9708900</v>
      </c>
      <c r="AT260" s="20">
        <v>268200</v>
      </c>
      <c r="AU260" s="20">
        <v>408000</v>
      </c>
      <c r="AV260" s="20">
        <v>908000</v>
      </c>
      <c r="AW260" s="20">
        <v>606600</v>
      </c>
      <c r="AX260" s="20">
        <v>1551600</v>
      </c>
      <c r="BH260" s="28">
        <v>13451300</v>
      </c>
      <c r="BI260" s="28">
        <v>13451300</v>
      </c>
    </row>
    <row r="261" spans="1:61" x14ac:dyDescent="0.3">
      <c r="A261" s="1" t="s">
        <v>114</v>
      </c>
      <c r="B261" s="1" t="s">
        <v>108</v>
      </c>
      <c r="C261" s="1" t="s">
        <v>639</v>
      </c>
      <c r="D261" s="1" t="s">
        <v>640</v>
      </c>
      <c r="E261" s="1" t="s">
        <v>651</v>
      </c>
      <c r="F261" s="1" t="s">
        <v>573</v>
      </c>
      <c r="G261" s="1" t="s">
        <v>578</v>
      </c>
      <c r="H261" s="1" t="s">
        <v>651</v>
      </c>
      <c r="I261" s="1" t="s">
        <v>548</v>
      </c>
      <c r="J261" s="1" t="s">
        <v>117</v>
      </c>
      <c r="K261" s="1" t="s">
        <v>118</v>
      </c>
      <c r="L261" s="1" t="s">
        <v>103</v>
      </c>
      <c r="AS261" s="20">
        <v>13192500</v>
      </c>
      <c r="AT261" s="20">
        <v>1072800</v>
      </c>
      <c r="AU261" s="20">
        <v>408000</v>
      </c>
      <c r="AV261" s="20">
        <v>1677600</v>
      </c>
      <c r="AW261" s="20">
        <v>945000</v>
      </c>
      <c r="AX261" s="20">
        <v>2836800</v>
      </c>
      <c r="BH261" s="28">
        <v>20132700</v>
      </c>
      <c r="BI261" s="28">
        <v>20132700</v>
      </c>
    </row>
    <row r="262" spans="1:61" x14ac:dyDescent="0.3">
      <c r="A262" s="1" t="s">
        <v>114</v>
      </c>
      <c r="B262" s="1" t="s">
        <v>108</v>
      </c>
      <c r="C262" s="1" t="s">
        <v>639</v>
      </c>
      <c r="D262" s="1" t="s">
        <v>640</v>
      </c>
      <c r="E262" s="1" t="s">
        <v>652</v>
      </c>
      <c r="F262" s="1" t="s">
        <v>573</v>
      </c>
      <c r="G262" s="1" t="s">
        <v>574</v>
      </c>
      <c r="H262" s="1" t="s">
        <v>652</v>
      </c>
      <c r="I262" s="1" t="s">
        <v>548</v>
      </c>
      <c r="J262" s="1" t="s">
        <v>117</v>
      </c>
      <c r="K262" s="1" t="s">
        <v>118</v>
      </c>
      <c r="L262" s="1" t="s">
        <v>103</v>
      </c>
      <c r="AS262" s="20">
        <v>2947800</v>
      </c>
      <c r="AV262" s="20">
        <v>523200</v>
      </c>
      <c r="AW262" s="20">
        <v>286200</v>
      </c>
      <c r="AX262" s="20">
        <v>637200</v>
      </c>
      <c r="BH262" s="28">
        <v>4394400</v>
      </c>
      <c r="BI262" s="28">
        <v>4394400</v>
      </c>
    </row>
    <row r="263" spans="1:61" x14ac:dyDescent="0.3">
      <c r="A263" s="1" t="s">
        <v>114</v>
      </c>
      <c r="B263" s="1" t="s">
        <v>108</v>
      </c>
      <c r="C263" s="1" t="s">
        <v>639</v>
      </c>
      <c r="D263" s="1" t="s">
        <v>640</v>
      </c>
      <c r="E263" s="1" t="s">
        <v>653</v>
      </c>
      <c r="F263" s="1" t="s">
        <v>573</v>
      </c>
      <c r="G263" s="1" t="s">
        <v>576</v>
      </c>
      <c r="H263" s="1" t="s">
        <v>653</v>
      </c>
      <c r="I263" s="1" t="s">
        <v>548</v>
      </c>
      <c r="J263" s="1" t="s">
        <v>117</v>
      </c>
      <c r="K263" s="1" t="s">
        <v>118</v>
      </c>
      <c r="L263" s="1" t="s">
        <v>103</v>
      </c>
      <c r="AS263" s="20">
        <v>3190800</v>
      </c>
      <c r="AU263" s="20">
        <v>204000</v>
      </c>
      <c r="AV263" s="20">
        <v>715600</v>
      </c>
      <c r="AW263" s="20">
        <v>572400</v>
      </c>
      <c r="AX263" s="20">
        <v>1371600</v>
      </c>
      <c r="BH263" s="28">
        <v>6054400</v>
      </c>
      <c r="BI263" s="28">
        <v>6054400</v>
      </c>
    </row>
    <row r="264" spans="1:61" x14ac:dyDescent="0.3">
      <c r="A264" s="1" t="s">
        <v>114</v>
      </c>
      <c r="B264" s="1" t="s">
        <v>108</v>
      </c>
      <c r="C264" s="1" t="s">
        <v>639</v>
      </c>
      <c r="D264" s="1" t="s">
        <v>640</v>
      </c>
      <c r="E264" s="1" t="s">
        <v>654</v>
      </c>
      <c r="F264" s="1" t="s">
        <v>573</v>
      </c>
      <c r="G264" s="1" t="s">
        <v>588</v>
      </c>
      <c r="H264" s="1" t="s">
        <v>654</v>
      </c>
      <c r="I264" s="1" t="s">
        <v>548</v>
      </c>
      <c r="J264" s="1" t="s">
        <v>117</v>
      </c>
      <c r="K264" s="1" t="s">
        <v>118</v>
      </c>
      <c r="L264" s="1" t="s">
        <v>103</v>
      </c>
      <c r="AS264" s="20">
        <v>4137300</v>
      </c>
      <c r="AW264" s="20">
        <v>234000</v>
      </c>
      <c r="AX264" s="20">
        <v>922800</v>
      </c>
      <c r="BH264" s="28">
        <v>5294100</v>
      </c>
      <c r="BI264" s="28">
        <v>5294100</v>
      </c>
    </row>
    <row r="265" spans="1:61" x14ac:dyDescent="0.3">
      <c r="A265" s="1" t="s">
        <v>114</v>
      </c>
      <c r="B265" s="1" t="s">
        <v>108</v>
      </c>
      <c r="C265" s="1" t="s">
        <v>639</v>
      </c>
      <c r="D265" s="1" t="s">
        <v>640</v>
      </c>
      <c r="E265" s="1" t="s">
        <v>655</v>
      </c>
      <c r="F265" s="1" t="s">
        <v>573</v>
      </c>
      <c r="G265" s="1" t="s">
        <v>590</v>
      </c>
      <c r="H265" s="1" t="s">
        <v>655</v>
      </c>
      <c r="I265" s="1" t="s">
        <v>548</v>
      </c>
      <c r="J265" s="1" t="s">
        <v>117</v>
      </c>
      <c r="K265" s="1" t="s">
        <v>118</v>
      </c>
      <c r="L265" s="1" t="s">
        <v>103</v>
      </c>
      <c r="AS265" s="20">
        <v>3109350</v>
      </c>
      <c r="AU265" s="20">
        <v>204000</v>
      </c>
      <c r="AW265" s="20">
        <v>572400</v>
      </c>
      <c r="AX265" s="20">
        <v>1808400</v>
      </c>
      <c r="BH265" s="28">
        <v>5694150</v>
      </c>
      <c r="BI265" s="28">
        <v>5694150</v>
      </c>
    </row>
    <row r="266" spans="1:61" x14ac:dyDescent="0.3">
      <c r="A266" s="1" t="s">
        <v>114</v>
      </c>
      <c r="B266" s="1" t="s">
        <v>108</v>
      </c>
      <c r="C266" s="1" t="s">
        <v>639</v>
      </c>
      <c r="D266" s="1" t="s">
        <v>640</v>
      </c>
      <c r="E266" s="1" t="s">
        <v>656</v>
      </c>
      <c r="F266" s="1" t="s">
        <v>573</v>
      </c>
      <c r="G266" s="1" t="s">
        <v>592</v>
      </c>
      <c r="H266" s="1" t="s">
        <v>656</v>
      </c>
      <c r="I266" s="1" t="s">
        <v>548</v>
      </c>
      <c r="J266" s="1" t="s">
        <v>117</v>
      </c>
      <c r="K266" s="1" t="s">
        <v>118</v>
      </c>
      <c r="L266" s="1" t="s">
        <v>103</v>
      </c>
      <c r="AS266" s="20">
        <v>2605200</v>
      </c>
      <c r="AV266" s="20">
        <v>261600</v>
      </c>
      <c r="AW266" s="20">
        <v>381600</v>
      </c>
      <c r="AX266" s="20">
        <v>885600</v>
      </c>
      <c r="BH266" s="28">
        <v>4134000</v>
      </c>
      <c r="BI266" s="28">
        <v>4134000</v>
      </c>
    </row>
    <row r="267" spans="1:61" x14ac:dyDescent="0.3">
      <c r="A267" s="1" t="s">
        <v>114</v>
      </c>
      <c r="B267" s="1" t="s">
        <v>108</v>
      </c>
      <c r="C267" s="1" t="s">
        <v>639</v>
      </c>
      <c r="D267" s="1" t="s">
        <v>640</v>
      </c>
      <c r="E267" s="1" t="s">
        <v>657</v>
      </c>
      <c r="F267" s="1" t="s">
        <v>561</v>
      </c>
      <c r="G267" s="1" t="s">
        <v>605</v>
      </c>
      <c r="H267" s="1" t="s">
        <v>657</v>
      </c>
      <c r="I267" s="1" t="s">
        <v>548</v>
      </c>
      <c r="J267" s="1" t="s">
        <v>117</v>
      </c>
      <c r="K267" s="1" t="s">
        <v>118</v>
      </c>
      <c r="L267" s="1" t="s">
        <v>103</v>
      </c>
      <c r="AS267" s="20">
        <v>4545600</v>
      </c>
      <c r="AT267" s="20">
        <v>536400</v>
      </c>
      <c r="AV267" s="20">
        <v>261600</v>
      </c>
      <c r="AW267" s="20">
        <v>572400</v>
      </c>
      <c r="AX267" s="20">
        <v>600000</v>
      </c>
      <c r="BH267" s="28">
        <v>6516000</v>
      </c>
      <c r="BI267" s="28">
        <v>6516000</v>
      </c>
    </row>
    <row r="268" spans="1:61" x14ac:dyDescent="0.3">
      <c r="A268" s="1" t="s">
        <v>114</v>
      </c>
      <c r="B268" s="1" t="s">
        <v>108</v>
      </c>
      <c r="C268" s="1" t="s">
        <v>639</v>
      </c>
      <c r="D268" s="1" t="s">
        <v>640</v>
      </c>
      <c r="E268" s="1" t="s">
        <v>658</v>
      </c>
      <c r="F268" s="1" t="s">
        <v>573</v>
      </c>
      <c r="G268" s="1" t="s">
        <v>599</v>
      </c>
      <c r="H268" s="1" t="s">
        <v>658</v>
      </c>
      <c r="I268" s="1" t="s">
        <v>548</v>
      </c>
      <c r="J268" s="1" t="s">
        <v>117</v>
      </c>
      <c r="K268" s="1" t="s">
        <v>118</v>
      </c>
      <c r="L268" s="1" t="s">
        <v>103</v>
      </c>
      <c r="AS268" s="20">
        <v>3009750</v>
      </c>
      <c r="AU268" s="20">
        <v>204000</v>
      </c>
      <c r="AW268" s="20">
        <v>667800</v>
      </c>
      <c r="AX268" s="20">
        <v>894000</v>
      </c>
      <c r="BH268" s="28">
        <v>4775550</v>
      </c>
      <c r="BI268" s="28">
        <v>4775550</v>
      </c>
    </row>
    <row r="269" spans="1:61" x14ac:dyDescent="0.3">
      <c r="A269" s="1" t="s">
        <v>114</v>
      </c>
      <c r="B269" s="1" t="s">
        <v>108</v>
      </c>
      <c r="C269" s="1" t="s">
        <v>639</v>
      </c>
      <c r="D269" s="1" t="s">
        <v>640</v>
      </c>
      <c r="E269" s="1" t="s">
        <v>659</v>
      </c>
      <c r="F269" s="1" t="s">
        <v>594</v>
      </c>
      <c r="G269" s="1" t="s">
        <v>597</v>
      </c>
      <c r="H269" s="1" t="s">
        <v>659</v>
      </c>
      <c r="I269" s="1" t="s">
        <v>548</v>
      </c>
      <c r="J269" s="1" t="s">
        <v>117</v>
      </c>
      <c r="K269" s="1" t="s">
        <v>118</v>
      </c>
      <c r="L269" s="1" t="s">
        <v>103</v>
      </c>
      <c r="AS269" s="20">
        <v>4383000</v>
      </c>
      <c r="AW269" s="20">
        <v>1040400</v>
      </c>
      <c r="AX269" s="20">
        <v>1208400</v>
      </c>
      <c r="BH269" s="28">
        <v>6631800</v>
      </c>
      <c r="BI269" s="28">
        <v>6631800</v>
      </c>
    </row>
    <row r="270" spans="1:61" hidden="1" x14ac:dyDescent="0.3">
      <c r="A270" s="1" t="s">
        <v>114</v>
      </c>
      <c r="B270" s="1" t="s">
        <v>110</v>
      </c>
      <c r="C270" s="1" t="s">
        <v>660</v>
      </c>
      <c r="D270" s="1" t="s">
        <v>661</v>
      </c>
      <c r="E270" s="1" t="s">
        <v>660</v>
      </c>
      <c r="F270" s="1" t="s">
        <v>661</v>
      </c>
      <c r="G270" s="1" t="s">
        <v>662</v>
      </c>
      <c r="H270" s="1" t="s">
        <v>663</v>
      </c>
      <c r="I270" s="1" t="s">
        <v>110</v>
      </c>
      <c r="J270" s="1" t="s">
        <v>229</v>
      </c>
      <c r="K270" s="1" t="s">
        <v>118</v>
      </c>
      <c r="L270" s="1" t="s">
        <v>103</v>
      </c>
      <c r="M270" s="20">
        <v>674808600</v>
      </c>
      <c r="N270" s="20">
        <v>94695576</v>
      </c>
      <c r="O270" s="20">
        <v>141703092</v>
      </c>
      <c r="AB270" s="20">
        <v>911207268</v>
      </c>
      <c r="AC270" s="20">
        <v>851313012</v>
      </c>
      <c r="AD270" s="20">
        <v>77859384</v>
      </c>
      <c r="AE270" s="20">
        <v>115767000</v>
      </c>
      <c r="AR270" s="20">
        <v>1044939396</v>
      </c>
      <c r="AS270" s="20">
        <v>923219712</v>
      </c>
      <c r="AT270" s="20">
        <v>135572760</v>
      </c>
      <c r="AU270" s="20">
        <v>227569908</v>
      </c>
      <c r="BH270" s="28">
        <v>1286362380</v>
      </c>
      <c r="BI270" s="28">
        <v>3242509044</v>
      </c>
    </row>
    <row r="271" spans="1:61" x14ac:dyDescent="0.3">
      <c r="A271" s="1" t="s">
        <v>114</v>
      </c>
      <c r="B271" s="1" t="s">
        <v>110</v>
      </c>
      <c r="C271" s="1" t="s">
        <v>664</v>
      </c>
      <c r="D271" s="1" t="s">
        <v>665</v>
      </c>
      <c r="E271" s="1" t="s">
        <v>664</v>
      </c>
      <c r="F271" s="1" t="s">
        <v>665</v>
      </c>
      <c r="G271" s="1" t="s">
        <v>666</v>
      </c>
      <c r="H271" s="1" t="s">
        <v>667</v>
      </c>
      <c r="I271" s="1" t="s">
        <v>110</v>
      </c>
      <c r="J271" s="1" t="s">
        <v>117</v>
      </c>
      <c r="K271" s="1" t="s">
        <v>118</v>
      </c>
      <c r="L271" s="1" t="s">
        <v>103</v>
      </c>
      <c r="M271" s="20">
        <v>1350516</v>
      </c>
      <c r="Q271" s="20">
        <v>2244480</v>
      </c>
      <c r="R271" s="20">
        <v>1915200</v>
      </c>
      <c r="AB271" s="20">
        <v>5510196</v>
      </c>
      <c r="AC271" s="20">
        <v>1180124</v>
      </c>
      <c r="AG271" s="20">
        <v>4970520</v>
      </c>
      <c r="AH271" s="20">
        <v>2601936</v>
      </c>
      <c r="AR271" s="20">
        <v>8752580</v>
      </c>
      <c r="AW271" s="20">
        <v>2150520</v>
      </c>
      <c r="AX271" s="20">
        <v>1705728</v>
      </c>
      <c r="BH271" s="28">
        <v>3856248</v>
      </c>
      <c r="BI271" s="28">
        <v>18119024</v>
      </c>
    </row>
    <row r="272" spans="1:61" x14ac:dyDescent="0.3">
      <c r="A272" s="1" t="s">
        <v>114</v>
      </c>
      <c r="B272" s="1" t="s">
        <v>110</v>
      </c>
      <c r="C272" s="1" t="s">
        <v>664</v>
      </c>
      <c r="D272" s="1" t="s">
        <v>665</v>
      </c>
      <c r="E272" s="1" t="s">
        <v>664</v>
      </c>
      <c r="F272" s="1" t="s">
        <v>665</v>
      </c>
      <c r="G272" s="1" t="s">
        <v>668</v>
      </c>
      <c r="H272" s="1" t="s">
        <v>669</v>
      </c>
      <c r="I272" s="1" t="s">
        <v>110</v>
      </c>
      <c r="J272" s="1" t="s">
        <v>117</v>
      </c>
      <c r="K272" s="1" t="s">
        <v>118</v>
      </c>
      <c r="L272" s="1" t="s">
        <v>103</v>
      </c>
      <c r="M272" s="20">
        <v>2486416</v>
      </c>
      <c r="P272" s="20">
        <v>104520</v>
      </c>
      <c r="Q272" s="20">
        <v>4474320</v>
      </c>
      <c r="R272" s="20">
        <v>2503200</v>
      </c>
      <c r="AB272" s="20">
        <v>9568456</v>
      </c>
      <c r="AC272" s="20">
        <v>2081386</v>
      </c>
      <c r="AF272" s="20">
        <v>104520</v>
      </c>
      <c r="AG272" s="20">
        <v>4618440</v>
      </c>
      <c r="AH272" s="20">
        <v>2441952</v>
      </c>
      <c r="AR272" s="20">
        <v>9246298</v>
      </c>
      <c r="AS272" s="20">
        <v>1697080</v>
      </c>
      <c r="AV272" s="20">
        <v>288592</v>
      </c>
      <c r="AW272" s="20">
        <v>3764880</v>
      </c>
      <c r="AX272" s="20">
        <v>2829960</v>
      </c>
      <c r="BH272" s="28">
        <v>8580512</v>
      </c>
      <c r="BI272" s="28">
        <v>27395266</v>
      </c>
    </row>
    <row r="273" spans="1:61" x14ac:dyDescent="0.3">
      <c r="A273" s="1" t="s">
        <v>114</v>
      </c>
      <c r="B273" s="1" t="s">
        <v>110</v>
      </c>
      <c r="C273" s="1" t="s">
        <v>664</v>
      </c>
      <c r="D273" s="1" t="s">
        <v>665</v>
      </c>
      <c r="E273" s="1" t="s">
        <v>664</v>
      </c>
      <c r="F273" s="1" t="s">
        <v>665</v>
      </c>
      <c r="G273" s="1" t="s">
        <v>670</v>
      </c>
      <c r="H273" s="1" t="s">
        <v>671</v>
      </c>
      <c r="I273" s="1" t="s">
        <v>110</v>
      </c>
      <c r="J273" s="1" t="s">
        <v>117</v>
      </c>
      <c r="K273" s="1" t="s">
        <v>118</v>
      </c>
      <c r="L273" s="1" t="s">
        <v>103</v>
      </c>
      <c r="M273" s="20">
        <v>838512</v>
      </c>
      <c r="P273" s="20">
        <v>799720</v>
      </c>
      <c r="Q273" s="20">
        <v>2250720</v>
      </c>
      <c r="R273" s="20">
        <v>1257600</v>
      </c>
      <c r="AB273" s="20">
        <v>5146552</v>
      </c>
      <c r="AC273" s="20">
        <v>1895160</v>
      </c>
      <c r="AF273" s="20">
        <v>296672</v>
      </c>
      <c r="AG273" s="20">
        <v>2401680</v>
      </c>
      <c r="AH273" s="20">
        <v>1633152</v>
      </c>
      <c r="AR273" s="20">
        <v>6226664</v>
      </c>
      <c r="AS273" s="20">
        <v>355200</v>
      </c>
      <c r="AV273" s="20">
        <v>252032</v>
      </c>
      <c r="AW273" s="20">
        <v>1172160</v>
      </c>
      <c r="AX273" s="20">
        <v>1043088</v>
      </c>
      <c r="BH273" s="28">
        <v>2822480</v>
      </c>
      <c r="BI273" s="28">
        <v>14195696</v>
      </c>
    </row>
    <row r="274" spans="1:61" x14ac:dyDescent="0.3">
      <c r="A274" s="1" t="s">
        <v>114</v>
      </c>
      <c r="B274" s="1" t="s">
        <v>110</v>
      </c>
      <c r="C274" s="1" t="s">
        <v>664</v>
      </c>
      <c r="D274" s="1" t="s">
        <v>665</v>
      </c>
      <c r="E274" s="1" t="s">
        <v>664</v>
      </c>
      <c r="F274" s="1" t="s">
        <v>665</v>
      </c>
      <c r="G274" s="1" t="s">
        <v>672</v>
      </c>
      <c r="H274" s="1" t="s">
        <v>673</v>
      </c>
      <c r="I274" s="1" t="s">
        <v>110</v>
      </c>
      <c r="J274" s="1" t="s">
        <v>117</v>
      </c>
      <c r="K274" s="1" t="s">
        <v>118</v>
      </c>
      <c r="L274" s="1" t="s">
        <v>103</v>
      </c>
      <c r="M274" s="20">
        <v>1704092</v>
      </c>
      <c r="P274" s="20">
        <v>104520</v>
      </c>
      <c r="Q274" s="20">
        <v>992160</v>
      </c>
      <c r="R274" s="20">
        <v>1123200</v>
      </c>
      <c r="AB274" s="20">
        <v>3923972</v>
      </c>
      <c r="AC274" s="20">
        <v>237984</v>
      </c>
      <c r="AG274" s="20">
        <v>2181600</v>
      </c>
      <c r="AH274" s="20">
        <v>2043384</v>
      </c>
      <c r="AR274" s="20">
        <v>4462968</v>
      </c>
      <c r="AS274" s="20">
        <v>1237908</v>
      </c>
      <c r="AW274" s="20">
        <v>1411920</v>
      </c>
      <c r="AX274" s="20">
        <v>1907328</v>
      </c>
      <c r="BH274" s="28">
        <v>4557156</v>
      </c>
      <c r="BI274" s="28">
        <v>12944096</v>
      </c>
    </row>
    <row r="275" spans="1:61" x14ac:dyDescent="0.3">
      <c r="A275" s="1" t="s">
        <v>114</v>
      </c>
      <c r="B275" s="1" t="s">
        <v>110</v>
      </c>
      <c r="C275" s="1" t="s">
        <v>664</v>
      </c>
      <c r="D275" s="1" t="s">
        <v>665</v>
      </c>
      <c r="E275" s="1" t="s">
        <v>664</v>
      </c>
      <c r="F275" s="1" t="s">
        <v>665</v>
      </c>
      <c r="G275" s="1" t="s">
        <v>674</v>
      </c>
      <c r="H275" s="1" t="s">
        <v>675</v>
      </c>
      <c r="I275" s="1" t="s">
        <v>110</v>
      </c>
      <c r="J275" s="1" t="s">
        <v>117</v>
      </c>
      <c r="K275" s="1" t="s">
        <v>118</v>
      </c>
      <c r="L275" s="1" t="s">
        <v>103</v>
      </c>
      <c r="M275" s="20">
        <v>264600</v>
      </c>
      <c r="Q275" s="20">
        <v>152640</v>
      </c>
      <c r="R275" s="20">
        <v>171600</v>
      </c>
      <c r="AB275" s="20">
        <v>588840</v>
      </c>
      <c r="AC275" s="20">
        <v>237984</v>
      </c>
      <c r="AR275" s="20">
        <v>237984</v>
      </c>
      <c r="BI275" s="28">
        <v>826824</v>
      </c>
    </row>
    <row r="276" spans="1:61" x14ac:dyDescent="0.3">
      <c r="A276" s="1" t="s">
        <v>114</v>
      </c>
      <c r="B276" s="1" t="s">
        <v>110</v>
      </c>
      <c r="C276" s="1" t="s">
        <v>664</v>
      </c>
      <c r="D276" s="1" t="s">
        <v>665</v>
      </c>
      <c r="E276" s="1" t="s">
        <v>664</v>
      </c>
      <c r="F276" s="1" t="s">
        <v>665</v>
      </c>
      <c r="G276" s="1" t="s">
        <v>676</v>
      </c>
      <c r="H276" s="1" t="s">
        <v>677</v>
      </c>
      <c r="I276" s="1" t="s">
        <v>110</v>
      </c>
      <c r="J276" s="1" t="s">
        <v>117</v>
      </c>
      <c r="K276" s="1" t="s">
        <v>118</v>
      </c>
      <c r="L276" s="1" t="s">
        <v>103</v>
      </c>
      <c r="M276" s="20">
        <v>970812</v>
      </c>
      <c r="P276" s="20">
        <v>104520</v>
      </c>
      <c r="Q276" s="20">
        <v>3620880</v>
      </c>
      <c r="R276" s="20">
        <v>3009600</v>
      </c>
      <c r="AB276" s="20">
        <v>7705812</v>
      </c>
      <c r="AC276" s="20">
        <v>555296</v>
      </c>
      <c r="AF276" s="20">
        <v>435784</v>
      </c>
      <c r="AG276" s="20">
        <v>5558040</v>
      </c>
      <c r="AH276" s="20">
        <v>4466304</v>
      </c>
      <c r="AR276" s="20">
        <v>11015424</v>
      </c>
      <c r="AS276" s="20">
        <v>554112</v>
      </c>
      <c r="AV276" s="20">
        <v>110144</v>
      </c>
      <c r="AW276" s="20">
        <v>3554880</v>
      </c>
      <c r="AX276" s="20">
        <v>1771776</v>
      </c>
      <c r="BH276" s="28">
        <v>5990912</v>
      </c>
      <c r="BI276" s="28">
        <v>24712148</v>
      </c>
    </row>
    <row r="277" spans="1:61" x14ac:dyDescent="0.3">
      <c r="A277" s="1" t="s">
        <v>114</v>
      </c>
      <c r="B277" s="1" t="s">
        <v>110</v>
      </c>
      <c r="C277" s="1" t="s">
        <v>664</v>
      </c>
      <c r="D277" s="1" t="s">
        <v>665</v>
      </c>
      <c r="E277" s="1" t="s">
        <v>664</v>
      </c>
      <c r="F277" s="1" t="s">
        <v>665</v>
      </c>
      <c r="G277" s="1" t="s">
        <v>678</v>
      </c>
      <c r="H277" s="1" t="s">
        <v>679</v>
      </c>
      <c r="I277" s="1" t="s">
        <v>110</v>
      </c>
      <c r="J277" s="1" t="s">
        <v>117</v>
      </c>
      <c r="K277" s="1" t="s">
        <v>118</v>
      </c>
      <c r="L277" s="1" t="s">
        <v>103</v>
      </c>
      <c r="M277" s="20">
        <v>3642696</v>
      </c>
      <c r="P277" s="20">
        <v>104520</v>
      </c>
      <c r="Q277" s="20">
        <v>9357840</v>
      </c>
      <c r="R277" s="20">
        <v>2904000</v>
      </c>
      <c r="AB277" s="20">
        <v>16009056</v>
      </c>
      <c r="AC277" s="20">
        <v>1105944</v>
      </c>
      <c r="AF277" s="20">
        <v>778784</v>
      </c>
      <c r="AG277" s="20">
        <v>7290960</v>
      </c>
      <c r="AH277" s="20">
        <v>4907904</v>
      </c>
      <c r="AR277" s="20">
        <v>14083592</v>
      </c>
      <c r="AS277" s="20">
        <v>2795436</v>
      </c>
      <c r="AV277" s="20">
        <v>262496</v>
      </c>
      <c r="AW277" s="20">
        <v>4196400</v>
      </c>
      <c r="AX277" s="20">
        <v>2721672</v>
      </c>
      <c r="BH277" s="28">
        <v>9976004</v>
      </c>
      <c r="BI277" s="28">
        <v>40068652</v>
      </c>
    </row>
    <row r="278" spans="1:61" x14ac:dyDescent="0.3">
      <c r="A278" s="1" t="s">
        <v>114</v>
      </c>
      <c r="B278" s="1" t="s">
        <v>110</v>
      </c>
      <c r="C278" s="1" t="s">
        <v>664</v>
      </c>
      <c r="D278" s="1" t="s">
        <v>665</v>
      </c>
      <c r="E278" s="1" t="s">
        <v>664</v>
      </c>
      <c r="F278" s="1" t="s">
        <v>665</v>
      </c>
      <c r="G278" s="1" t="s">
        <v>680</v>
      </c>
      <c r="H278" s="1" t="s">
        <v>681</v>
      </c>
      <c r="I278" s="1" t="s">
        <v>110</v>
      </c>
      <c r="J278" s="1" t="s">
        <v>117</v>
      </c>
      <c r="K278" s="1" t="s">
        <v>118</v>
      </c>
      <c r="L278" s="1" t="s">
        <v>103</v>
      </c>
      <c r="M278" s="20">
        <v>1908912</v>
      </c>
      <c r="P278" s="20">
        <v>533040</v>
      </c>
      <c r="Q278" s="20">
        <v>5018400</v>
      </c>
      <c r="R278" s="20">
        <v>3506400</v>
      </c>
      <c r="AB278" s="20">
        <v>10966752</v>
      </c>
      <c r="AC278" s="20">
        <v>2357234</v>
      </c>
      <c r="AF278" s="20">
        <v>1324400</v>
      </c>
      <c r="AG278" s="20">
        <v>8240640</v>
      </c>
      <c r="AH278" s="20">
        <v>3004704</v>
      </c>
      <c r="AR278" s="20">
        <v>14926978</v>
      </c>
      <c r="AV278" s="20">
        <v>444592</v>
      </c>
      <c r="AW278" s="20">
        <v>1924800</v>
      </c>
      <c r="AX278" s="20">
        <v>3008016</v>
      </c>
      <c r="BH278" s="28">
        <v>5377408</v>
      </c>
      <c r="BI278" s="28">
        <v>31271138</v>
      </c>
    </row>
    <row r="279" spans="1:61" x14ac:dyDescent="0.3">
      <c r="A279" s="1" t="s">
        <v>114</v>
      </c>
      <c r="B279" s="1" t="s">
        <v>110</v>
      </c>
      <c r="C279" s="1" t="s">
        <v>664</v>
      </c>
      <c r="D279" s="1" t="s">
        <v>665</v>
      </c>
      <c r="E279" s="1" t="s">
        <v>664</v>
      </c>
      <c r="F279" s="1" t="s">
        <v>665</v>
      </c>
      <c r="G279" s="1" t="s">
        <v>682</v>
      </c>
      <c r="H279" s="1" t="s">
        <v>683</v>
      </c>
      <c r="I279" s="1" t="s">
        <v>110</v>
      </c>
      <c r="J279" s="1" t="s">
        <v>117</v>
      </c>
      <c r="K279" s="1" t="s">
        <v>118</v>
      </c>
      <c r="L279" s="1" t="s">
        <v>103</v>
      </c>
      <c r="M279" s="20">
        <v>691392</v>
      </c>
      <c r="P279" s="20">
        <v>104520</v>
      </c>
      <c r="Q279" s="20">
        <v>2396400</v>
      </c>
      <c r="R279" s="20">
        <v>1400400</v>
      </c>
      <c r="AB279" s="20">
        <v>4592712</v>
      </c>
      <c r="AC279" s="20">
        <v>237984</v>
      </c>
      <c r="AF279" s="20">
        <v>87632</v>
      </c>
      <c r="AG279" s="20">
        <v>2880720</v>
      </c>
      <c r="AH279" s="20">
        <v>1916136</v>
      </c>
      <c r="AR279" s="20">
        <v>5122472</v>
      </c>
      <c r="AV279" s="20">
        <v>110144</v>
      </c>
      <c r="AW279" s="20">
        <v>1805160</v>
      </c>
      <c r="AX279" s="20">
        <v>2226360</v>
      </c>
      <c r="BH279" s="28">
        <v>4141664</v>
      </c>
      <c r="BI279" s="28">
        <v>13856848</v>
      </c>
    </row>
    <row r="280" spans="1:61" x14ac:dyDescent="0.3">
      <c r="A280" s="1" t="s">
        <v>114</v>
      </c>
      <c r="B280" s="1" t="s">
        <v>110</v>
      </c>
      <c r="C280" s="1" t="s">
        <v>664</v>
      </c>
      <c r="D280" s="1" t="s">
        <v>665</v>
      </c>
      <c r="E280" s="1" t="s">
        <v>664</v>
      </c>
      <c r="F280" s="1" t="s">
        <v>665</v>
      </c>
      <c r="G280" s="1" t="s">
        <v>684</v>
      </c>
      <c r="H280" s="1" t="s">
        <v>685</v>
      </c>
      <c r="I280" s="1" t="s">
        <v>110</v>
      </c>
      <c r="J280" s="1" t="s">
        <v>117</v>
      </c>
      <c r="K280" s="1" t="s">
        <v>118</v>
      </c>
      <c r="L280" s="1" t="s">
        <v>103</v>
      </c>
      <c r="M280" s="20">
        <v>3153696</v>
      </c>
      <c r="P280" s="20">
        <v>497200</v>
      </c>
      <c r="Q280" s="20">
        <v>2795640</v>
      </c>
      <c r="R280" s="20">
        <v>1503600</v>
      </c>
      <c r="AB280" s="20">
        <v>7950136</v>
      </c>
      <c r="AC280" s="20">
        <v>1072908</v>
      </c>
      <c r="AG280" s="20">
        <v>3829200</v>
      </c>
      <c r="AH280" s="20">
        <v>666000</v>
      </c>
      <c r="AR280" s="20">
        <v>5568108</v>
      </c>
      <c r="AS280" s="20">
        <v>2243280</v>
      </c>
      <c r="AV280" s="20">
        <v>156000</v>
      </c>
      <c r="AW280" s="20">
        <v>3383640</v>
      </c>
      <c r="AX280" s="20">
        <v>1620120</v>
      </c>
      <c r="BH280" s="28">
        <v>7403040</v>
      </c>
      <c r="BI280" s="28">
        <v>20921284</v>
      </c>
    </row>
    <row r="281" spans="1:61" x14ac:dyDescent="0.3">
      <c r="A281" s="1" t="s">
        <v>114</v>
      </c>
      <c r="B281" s="1" t="s">
        <v>110</v>
      </c>
      <c r="C281" s="1" t="s">
        <v>664</v>
      </c>
      <c r="D281" s="1" t="s">
        <v>665</v>
      </c>
      <c r="E281" s="1" t="s">
        <v>664</v>
      </c>
      <c r="F281" s="1" t="s">
        <v>665</v>
      </c>
      <c r="G281" s="1" t="s">
        <v>686</v>
      </c>
      <c r="H281" s="1" t="s">
        <v>687</v>
      </c>
      <c r="I281" s="1" t="s">
        <v>110</v>
      </c>
      <c r="J281" s="1" t="s">
        <v>117</v>
      </c>
      <c r="K281" s="1" t="s">
        <v>118</v>
      </c>
      <c r="L281" s="1" t="s">
        <v>103</v>
      </c>
      <c r="M281" s="20">
        <v>838512</v>
      </c>
      <c r="P281" s="20">
        <v>209040</v>
      </c>
      <c r="Q281" s="20">
        <v>4290240</v>
      </c>
      <c r="R281" s="20">
        <v>2980800</v>
      </c>
      <c r="AB281" s="20">
        <v>8318592</v>
      </c>
      <c r="AC281" s="20">
        <v>1681776</v>
      </c>
      <c r="AF281" s="20">
        <v>104520</v>
      </c>
      <c r="AG281" s="20">
        <v>6052320</v>
      </c>
      <c r="AH281" s="20">
        <v>3670968</v>
      </c>
      <c r="AR281" s="20">
        <v>11509584</v>
      </c>
      <c r="AS281" s="20">
        <v>967308</v>
      </c>
      <c r="AV281" s="20">
        <v>156000</v>
      </c>
      <c r="AW281" s="20">
        <v>4170240</v>
      </c>
      <c r="AX281" s="20">
        <v>2677848</v>
      </c>
      <c r="BH281" s="28">
        <v>7971396</v>
      </c>
      <c r="BI281" s="28">
        <v>27799572</v>
      </c>
    </row>
    <row r="282" spans="1:61" x14ac:dyDescent="0.3">
      <c r="A282" s="1" t="s">
        <v>114</v>
      </c>
      <c r="B282" s="1" t="s">
        <v>110</v>
      </c>
      <c r="C282" s="1" t="s">
        <v>664</v>
      </c>
      <c r="D282" s="1" t="s">
        <v>665</v>
      </c>
      <c r="E282" s="1" t="s">
        <v>664</v>
      </c>
      <c r="F282" s="1" t="s">
        <v>665</v>
      </c>
      <c r="G282" s="1" t="s">
        <v>688</v>
      </c>
      <c r="H282" s="1" t="s">
        <v>689</v>
      </c>
      <c r="I282" s="1" t="s">
        <v>110</v>
      </c>
      <c r="J282" s="1" t="s">
        <v>117</v>
      </c>
      <c r="K282" s="1" t="s">
        <v>118</v>
      </c>
      <c r="L282" s="1" t="s">
        <v>103</v>
      </c>
      <c r="M282" s="20">
        <v>823692</v>
      </c>
      <c r="P282" s="20">
        <v>104520</v>
      </c>
      <c r="Q282" s="20">
        <v>4716720</v>
      </c>
      <c r="R282" s="20">
        <v>2938800</v>
      </c>
      <c r="AB282" s="20">
        <v>8583732</v>
      </c>
      <c r="AC282" s="20">
        <v>1398512</v>
      </c>
      <c r="AF282" s="20">
        <v>459600</v>
      </c>
      <c r="AG282" s="20">
        <v>5757120</v>
      </c>
      <c r="AH282" s="20">
        <v>2621736</v>
      </c>
      <c r="AR282" s="20">
        <v>10236968</v>
      </c>
      <c r="AS282" s="20">
        <v>181296</v>
      </c>
      <c r="AV282" s="20">
        <v>362176</v>
      </c>
      <c r="AW282" s="20">
        <v>5022360</v>
      </c>
      <c r="AX282" s="20">
        <v>3151896</v>
      </c>
      <c r="BH282" s="28">
        <v>8717728</v>
      </c>
      <c r="BI282" s="28">
        <v>27538428</v>
      </c>
    </row>
    <row r="283" spans="1:61" x14ac:dyDescent="0.3">
      <c r="A283" s="1" t="s">
        <v>114</v>
      </c>
      <c r="B283" s="1" t="s">
        <v>110</v>
      </c>
      <c r="C283" s="1" t="s">
        <v>664</v>
      </c>
      <c r="D283" s="1" t="s">
        <v>665</v>
      </c>
      <c r="E283" s="1" t="s">
        <v>664</v>
      </c>
      <c r="F283" s="1" t="s">
        <v>665</v>
      </c>
      <c r="G283" s="1" t="s">
        <v>690</v>
      </c>
      <c r="H283" s="1" t="s">
        <v>691</v>
      </c>
      <c r="I283" s="1" t="s">
        <v>110</v>
      </c>
      <c r="J283" s="1" t="s">
        <v>117</v>
      </c>
      <c r="K283" s="1" t="s">
        <v>118</v>
      </c>
      <c r="L283" s="1" t="s">
        <v>103</v>
      </c>
      <c r="M283" s="20">
        <v>2135496</v>
      </c>
      <c r="Q283" s="20">
        <v>1262160</v>
      </c>
      <c r="R283" s="20">
        <v>457200</v>
      </c>
      <c r="AB283" s="20">
        <v>3854856</v>
      </c>
      <c r="AC283" s="20">
        <v>237984</v>
      </c>
      <c r="AG283" s="20">
        <v>1154880</v>
      </c>
      <c r="AH283" s="20">
        <v>892968</v>
      </c>
      <c r="AR283" s="20">
        <v>2285832</v>
      </c>
      <c r="AS283" s="20">
        <v>592000</v>
      </c>
      <c r="AW283" s="20">
        <v>1099440</v>
      </c>
      <c r="AX283" s="20">
        <v>443088</v>
      </c>
      <c r="BH283" s="28">
        <v>2134528</v>
      </c>
      <c r="BI283" s="28">
        <v>8275216</v>
      </c>
    </row>
    <row r="284" spans="1:61" x14ac:dyDescent="0.3">
      <c r="A284" s="1" t="s">
        <v>114</v>
      </c>
      <c r="B284" s="1" t="s">
        <v>110</v>
      </c>
      <c r="C284" s="1" t="s">
        <v>664</v>
      </c>
      <c r="D284" s="1" t="s">
        <v>665</v>
      </c>
      <c r="E284" s="1" t="s">
        <v>664</v>
      </c>
      <c r="F284" s="1" t="s">
        <v>665</v>
      </c>
      <c r="G284" s="1" t="s">
        <v>692</v>
      </c>
      <c r="H284" s="1" t="s">
        <v>693</v>
      </c>
      <c r="I284" s="1" t="s">
        <v>110</v>
      </c>
      <c r="J284" s="1" t="s">
        <v>117</v>
      </c>
      <c r="K284" s="1" t="s">
        <v>118</v>
      </c>
      <c r="L284" s="1" t="s">
        <v>103</v>
      </c>
      <c r="M284" s="20">
        <v>2055692</v>
      </c>
      <c r="P284" s="20">
        <v>956624</v>
      </c>
      <c r="Q284" s="20">
        <v>4276560</v>
      </c>
      <c r="R284" s="20">
        <v>3530400</v>
      </c>
      <c r="AB284" s="20">
        <v>10819276</v>
      </c>
      <c r="AC284" s="20">
        <v>873984</v>
      </c>
      <c r="AF284" s="20">
        <v>654752</v>
      </c>
      <c r="AG284" s="20">
        <v>6697320</v>
      </c>
      <c r="AH284" s="20">
        <v>3802752</v>
      </c>
      <c r="AR284" s="20">
        <v>12028808</v>
      </c>
      <c r="AS284" s="20">
        <v>1648272</v>
      </c>
      <c r="AV284" s="20">
        <v>87632</v>
      </c>
      <c r="AW284" s="20">
        <v>6206280</v>
      </c>
      <c r="AX284" s="20">
        <v>3451584</v>
      </c>
      <c r="BH284" s="28">
        <v>11393768</v>
      </c>
      <c r="BI284" s="28">
        <v>34241852</v>
      </c>
    </row>
    <row r="285" spans="1:61" x14ac:dyDescent="0.3">
      <c r="A285" s="1" t="s">
        <v>114</v>
      </c>
      <c r="B285" s="1" t="s">
        <v>110</v>
      </c>
      <c r="C285" s="1" t="s">
        <v>664</v>
      </c>
      <c r="D285" s="1" t="s">
        <v>665</v>
      </c>
      <c r="E285" s="1" t="s">
        <v>664</v>
      </c>
      <c r="F285" s="1" t="s">
        <v>665</v>
      </c>
      <c r="G285" s="1" t="s">
        <v>694</v>
      </c>
      <c r="H285" s="1" t="s">
        <v>695</v>
      </c>
      <c r="I285" s="1" t="s">
        <v>110</v>
      </c>
      <c r="J285" s="1" t="s">
        <v>117</v>
      </c>
      <c r="K285" s="1" t="s">
        <v>118</v>
      </c>
      <c r="L285" s="1" t="s">
        <v>103</v>
      </c>
      <c r="M285" s="20">
        <v>1205762</v>
      </c>
      <c r="P285" s="20">
        <v>104520</v>
      </c>
      <c r="Q285" s="20">
        <v>2766240</v>
      </c>
      <c r="R285" s="20">
        <v>1501200</v>
      </c>
      <c r="AB285" s="20">
        <v>5577722</v>
      </c>
      <c r="AC285" s="20">
        <v>1263108</v>
      </c>
      <c r="AF285" s="20">
        <v>156000</v>
      </c>
      <c r="AG285" s="20">
        <v>2639400</v>
      </c>
      <c r="AH285" s="20">
        <v>1821384</v>
      </c>
      <c r="AR285" s="20">
        <v>5879892</v>
      </c>
      <c r="AW285" s="20">
        <v>1404360</v>
      </c>
      <c r="AX285" s="20">
        <v>1008456</v>
      </c>
      <c r="BH285" s="28">
        <v>2412816</v>
      </c>
      <c r="BI285" s="28">
        <v>13870430</v>
      </c>
    </row>
    <row r="286" spans="1:61" x14ac:dyDescent="0.3">
      <c r="A286" s="1" t="s">
        <v>114</v>
      </c>
      <c r="B286" s="1" t="s">
        <v>110</v>
      </c>
      <c r="C286" s="1" t="s">
        <v>664</v>
      </c>
      <c r="D286" s="1" t="s">
        <v>665</v>
      </c>
      <c r="E286" s="1" t="s">
        <v>664</v>
      </c>
      <c r="F286" s="1" t="s">
        <v>665</v>
      </c>
      <c r="G286" s="1" t="s">
        <v>696</v>
      </c>
      <c r="H286" s="1" t="s">
        <v>697</v>
      </c>
      <c r="I286" s="1" t="s">
        <v>110</v>
      </c>
      <c r="J286" s="1" t="s">
        <v>117</v>
      </c>
      <c r="K286" s="1" t="s">
        <v>118</v>
      </c>
      <c r="L286" s="1" t="s">
        <v>103</v>
      </c>
      <c r="M286" s="20">
        <v>294492</v>
      </c>
      <c r="P286" s="20">
        <v>104520</v>
      </c>
      <c r="Q286" s="20">
        <v>1099680</v>
      </c>
      <c r="R286" s="20">
        <v>285600</v>
      </c>
      <c r="AB286" s="20">
        <v>1784292</v>
      </c>
      <c r="AC286" s="20">
        <v>237984</v>
      </c>
      <c r="AG286" s="20">
        <v>1603560</v>
      </c>
      <c r="AR286" s="20">
        <v>1841544</v>
      </c>
      <c r="BI286" s="28">
        <v>3625836</v>
      </c>
    </row>
    <row r="287" spans="1:61" x14ac:dyDescent="0.3">
      <c r="A287" s="1" t="s">
        <v>114</v>
      </c>
      <c r="B287" s="1" t="s">
        <v>110</v>
      </c>
      <c r="C287" s="1" t="s">
        <v>664</v>
      </c>
      <c r="D287" s="1" t="s">
        <v>665</v>
      </c>
      <c r="E287" s="1" t="s">
        <v>664</v>
      </c>
      <c r="F287" s="1" t="s">
        <v>665</v>
      </c>
      <c r="G287" s="1" t="s">
        <v>698</v>
      </c>
      <c r="H287" s="1" t="s">
        <v>699</v>
      </c>
      <c r="I287" s="1" t="s">
        <v>110</v>
      </c>
      <c r="J287" s="1" t="s">
        <v>117</v>
      </c>
      <c r="K287" s="1" t="s">
        <v>118</v>
      </c>
      <c r="L287" s="1" t="s">
        <v>103</v>
      </c>
      <c r="M287" s="20">
        <v>441612</v>
      </c>
      <c r="P287" s="20">
        <v>799720</v>
      </c>
      <c r="Q287" s="20">
        <v>5943360</v>
      </c>
      <c r="R287" s="20">
        <v>2980800</v>
      </c>
      <c r="AB287" s="20">
        <v>10165492</v>
      </c>
      <c r="AC287" s="20">
        <v>475968</v>
      </c>
      <c r="AF287" s="20">
        <v>322952</v>
      </c>
      <c r="AG287" s="20">
        <v>8716560</v>
      </c>
      <c r="AH287" s="20">
        <v>3474168</v>
      </c>
      <c r="AR287" s="20">
        <v>12989648</v>
      </c>
      <c r="AV287" s="20">
        <v>418496</v>
      </c>
      <c r="AW287" s="20">
        <v>5383440</v>
      </c>
      <c r="AX287" s="20">
        <v>2521944</v>
      </c>
      <c r="BH287" s="28">
        <v>8323880</v>
      </c>
      <c r="BI287" s="28">
        <v>31479020</v>
      </c>
    </row>
    <row r="288" spans="1:61" x14ac:dyDescent="0.3">
      <c r="A288" s="1" t="s">
        <v>114</v>
      </c>
      <c r="B288" s="1" t="s">
        <v>110</v>
      </c>
      <c r="C288" s="1" t="s">
        <v>664</v>
      </c>
      <c r="D288" s="1" t="s">
        <v>665</v>
      </c>
      <c r="E288" s="1" t="s">
        <v>664</v>
      </c>
      <c r="F288" s="1" t="s">
        <v>665</v>
      </c>
      <c r="G288" s="1" t="s">
        <v>700</v>
      </c>
      <c r="H288" s="1" t="s">
        <v>701</v>
      </c>
      <c r="I288" s="1" t="s">
        <v>110</v>
      </c>
      <c r="J288" s="1" t="s">
        <v>117</v>
      </c>
      <c r="K288" s="1" t="s">
        <v>118</v>
      </c>
      <c r="L288" s="1" t="s">
        <v>103</v>
      </c>
      <c r="M288" s="20">
        <v>559092</v>
      </c>
      <c r="P288" s="20">
        <v>926152</v>
      </c>
      <c r="Q288" s="20">
        <v>5308200</v>
      </c>
      <c r="R288" s="20">
        <v>4341600</v>
      </c>
      <c r="AB288" s="20">
        <v>11135044</v>
      </c>
      <c r="AC288" s="20">
        <v>237984</v>
      </c>
      <c r="AF288" s="20">
        <v>1691304</v>
      </c>
      <c r="AG288" s="20">
        <v>8960640</v>
      </c>
      <c r="AH288" s="20">
        <v>4941720</v>
      </c>
      <c r="AR288" s="20">
        <v>15831648</v>
      </c>
      <c r="AV288" s="20">
        <v>372640</v>
      </c>
      <c r="AW288" s="20">
        <v>5741880</v>
      </c>
      <c r="AX288" s="20">
        <v>3352248</v>
      </c>
      <c r="BH288" s="28">
        <v>9466768</v>
      </c>
      <c r="BI288" s="28">
        <v>36433460</v>
      </c>
    </row>
    <row r="289" spans="1:61" x14ac:dyDescent="0.3">
      <c r="A289" s="1" t="s">
        <v>114</v>
      </c>
      <c r="B289" s="1" t="s">
        <v>110</v>
      </c>
      <c r="C289" s="1" t="s">
        <v>702</v>
      </c>
      <c r="D289" s="1" t="s">
        <v>703</v>
      </c>
      <c r="E289" s="1" t="s">
        <v>702</v>
      </c>
      <c r="F289" s="1" t="s">
        <v>703</v>
      </c>
      <c r="G289" s="1" t="s">
        <v>704</v>
      </c>
      <c r="H289" s="1" t="s">
        <v>705</v>
      </c>
      <c r="I289" s="1" t="s">
        <v>110</v>
      </c>
      <c r="J289" s="1" t="s">
        <v>117</v>
      </c>
      <c r="K289" s="1" t="s">
        <v>118</v>
      </c>
      <c r="L289" s="1" t="s">
        <v>103</v>
      </c>
      <c r="M289" s="20">
        <v>1094292</v>
      </c>
      <c r="P289" s="20">
        <v>820312</v>
      </c>
      <c r="Q289" s="20">
        <v>1796520</v>
      </c>
      <c r="R289" s="20">
        <v>2077200</v>
      </c>
      <c r="AB289" s="20">
        <v>5788324</v>
      </c>
      <c r="AC289" s="20">
        <v>834924</v>
      </c>
      <c r="AF289" s="20">
        <v>431448</v>
      </c>
      <c r="AG289" s="20">
        <v>2588040</v>
      </c>
      <c r="AH289" s="20">
        <v>1760304</v>
      </c>
      <c r="AR289" s="20">
        <v>5614716</v>
      </c>
      <c r="AS289" s="20">
        <v>873984</v>
      </c>
      <c r="AV289" s="20">
        <v>871488</v>
      </c>
      <c r="AW289" s="20">
        <v>1396200</v>
      </c>
      <c r="AX289" s="20">
        <v>1658856</v>
      </c>
      <c r="BH289" s="28">
        <v>4800528</v>
      </c>
      <c r="BI289" s="28">
        <v>16203568</v>
      </c>
    </row>
    <row r="290" spans="1:61" x14ac:dyDescent="0.3">
      <c r="A290" s="1" t="s">
        <v>114</v>
      </c>
      <c r="B290" s="1" t="s">
        <v>110</v>
      </c>
      <c r="C290" s="1" t="s">
        <v>702</v>
      </c>
      <c r="D290" s="1" t="s">
        <v>703</v>
      </c>
      <c r="E290" s="1" t="s">
        <v>702</v>
      </c>
      <c r="F290" s="1" t="s">
        <v>703</v>
      </c>
      <c r="G290" s="1" t="s">
        <v>706</v>
      </c>
      <c r="H290" s="1" t="s">
        <v>707</v>
      </c>
      <c r="I290" s="1" t="s">
        <v>110</v>
      </c>
      <c r="J290" s="1" t="s">
        <v>117</v>
      </c>
      <c r="K290" s="1" t="s">
        <v>118</v>
      </c>
      <c r="L290" s="1" t="s">
        <v>103</v>
      </c>
      <c r="M290" s="20">
        <v>172800</v>
      </c>
      <c r="P290" s="20">
        <v>324000</v>
      </c>
      <c r="Q290" s="20">
        <v>1756080</v>
      </c>
      <c r="R290" s="20">
        <v>951600</v>
      </c>
      <c r="AB290" s="20">
        <v>3204480</v>
      </c>
      <c r="AC290" s="20">
        <v>1937808</v>
      </c>
      <c r="AF290" s="20">
        <v>128904</v>
      </c>
      <c r="AG290" s="20">
        <v>2295480</v>
      </c>
      <c r="AH290" s="20">
        <v>1831368</v>
      </c>
      <c r="AR290" s="20">
        <v>6193560</v>
      </c>
      <c r="AS290" s="20">
        <v>625800</v>
      </c>
      <c r="AW290" s="20">
        <v>1691040</v>
      </c>
      <c r="AX290" s="20">
        <v>1775040</v>
      </c>
      <c r="BH290" s="28">
        <v>4091880</v>
      </c>
      <c r="BI290" s="28">
        <v>13489920</v>
      </c>
    </row>
    <row r="291" spans="1:61" x14ac:dyDescent="0.3">
      <c r="A291" s="1" t="s">
        <v>114</v>
      </c>
      <c r="B291" s="1" t="s">
        <v>110</v>
      </c>
      <c r="C291" s="1" t="s">
        <v>702</v>
      </c>
      <c r="D291" s="1" t="s">
        <v>703</v>
      </c>
      <c r="E291" s="1" t="s">
        <v>702</v>
      </c>
      <c r="F291" s="1" t="s">
        <v>703</v>
      </c>
      <c r="G291" s="1" t="s">
        <v>708</v>
      </c>
      <c r="H291" s="1" t="s">
        <v>709</v>
      </c>
      <c r="I291" s="1" t="s">
        <v>110</v>
      </c>
      <c r="J291" s="1" t="s">
        <v>117</v>
      </c>
      <c r="K291" s="1" t="s">
        <v>118</v>
      </c>
      <c r="L291" s="1" t="s">
        <v>103</v>
      </c>
      <c r="M291" s="20">
        <v>1932804</v>
      </c>
      <c r="Q291" s="20">
        <v>1725600</v>
      </c>
      <c r="R291" s="20">
        <v>1123200</v>
      </c>
      <c r="AB291" s="20">
        <v>4781604</v>
      </c>
      <c r="AC291" s="20">
        <v>1963440</v>
      </c>
      <c r="AG291" s="20">
        <v>2068920</v>
      </c>
      <c r="AH291" s="20">
        <v>755952</v>
      </c>
      <c r="AR291" s="20">
        <v>4788312</v>
      </c>
      <c r="AS291" s="20">
        <v>2045004</v>
      </c>
      <c r="AV291" s="20">
        <v>144296</v>
      </c>
      <c r="AW291" s="20">
        <v>2016600</v>
      </c>
      <c r="AX291" s="20">
        <v>794688</v>
      </c>
      <c r="BH291" s="28">
        <v>5000588</v>
      </c>
      <c r="BI291" s="28">
        <v>14570504</v>
      </c>
    </row>
    <row r="292" spans="1:61" x14ac:dyDescent="0.3">
      <c r="A292" s="1" t="s">
        <v>114</v>
      </c>
      <c r="B292" s="1" t="s">
        <v>110</v>
      </c>
      <c r="C292" s="1" t="s">
        <v>702</v>
      </c>
      <c r="D292" s="1" t="s">
        <v>703</v>
      </c>
      <c r="E292" s="1" t="s">
        <v>702</v>
      </c>
      <c r="F292" s="1" t="s">
        <v>703</v>
      </c>
      <c r="G292" s="1" t="s">
        <v>710</v>
      </c>
      <c r="H292" s="1" t="s">
        <v>711</v>
      </c>
      <c r="I292" s="1" t="s">
        <v>110</v>
      </c>
      <c r="J292" s="1" t="s">
        <v>117</v>
      </c>
      <c r="K292" s="1" t="s">
        <v>118</v>
      </c>
      <c r="L292" s="1" t="s">
        <v>103</v>
      </c>
      <c r="M292" s="20">
        <v>1129140</v>
      </c>
      <c r="AB292" s="20">
        <v>1129140</v>
      </c>
      <c r="AC292" s="20">
        <v>237984</v>
      </c>
      <c r="AG292" s="20">
        <v>542040</v>
      </c>
      <c r="AR292" s="20">
        <v>780024</v>
      </c>
      <c r="AV292" s="20">
        <v>98096</v>
      </c>
      <c r="AW292" s="20">
        <v>614760</v>
      </c>
      <c r="BH292" s="28">
        <v>712856</v>
      </c>
      <c r="BI292" s="28">
        <v>2622020</v>
      </c>
    </row>
    <row r="293" spans="1:61" x14ac:dyDescent="0.3">
      <c r="A293" s="1" t="s">
        <v>114</v>
      </c>
      <c r="B293" s="1" t="s">
        <v>110</v>
      </c>
      <c r="C293" s="1" t="s">
        <v>702</v>
      </c>
      <c r="D293" s="1" t="s">
        <v>703</v>
      </c>
      <c r="E293" s="1" t="s">
        <v>702</v>
      </c>
      <c r="F293" s="1" t="s">
        <v>703</v>
      </c>
      <c r="G293" s="1" t="s">
        <v>712</v>
      </c>
      <c r="H293" s="1" t="s">
        <v>713</v>
      </c>
      <c r="I293" s="1" t="s">
        <v>110</v>
      </c>
      <c r="J293" s="1" t="s">
        <v>117</v>
      </c>
      <c r="K293" s="1" t="s">
        <v>118</v>
      </c>
      <c r="L293" s="1" t="s">
        <v>103</v>
      </c>
      <c r="M293" s="20">
        <v>708000</v>
      </c>
      <c r="Q293" s="20">
        <v>1007760</v>
      </c>
      <c r="AB293" s="20">
        <v>1715760</v>
      </c>
      <c r="AC293" s="20">
        <v>683484</v>
      </c>
      <c r="AG293" s="20">
        <v>1399440</v>
      </c>
      <c r="AR293" s="20">
        <v>2082924</v>
      </c>
      <c r="AS293" s="20">
        <v>569280</v>
      </c>
      <c r="AW293" s="20">
        <v>358920</v>
      </c>
      <c r="AX293" s="20">
        <v>314400</v>
      </c>
      <c r="BH293" s="28">
        <v>1242600</v>
      </c>
      <c r="BI293" s="28">
        <v>5041284</v>
      </c>
    </row>
    <row r="294" spans="1:61" x14ac:dyDescent="0.3">
      <c r="A294" s="1" t="s">
        <v>114</v>
      </c>
      <c r="B294" s="1" t="s">
        <v>110</v>
      </c>
      <c r="C294" s="1" t="s">
        <v>714</v>
      </c>
      <c r="D294" s="1" t="s">
        <v>715</v>
      </c>
      <c r="E294" s="1" t="s">
        <v>714</v>
      </c>
      <c r="F294" s="1" t="s">
        <v>715</v>
      </c>
      <c r="G294" s="1" t="s">
        <v>716</v>
      </c>
      <c r="H294" s="1" t="s">
        <v>717</v>
      </c>
      <c r="I294" s="1" t="s">
        <v>110</v>
      </c>
      <c r="J294" s="1" t="s">
        <v>117</v>
      </c>
      <c r="K294" s="1" t="s">
        <v>118</v>
      </c>
      <c r="L294" s="1" t="s">
        <v>103</v>
      </c>
      <c r="M294" s="20">
        <v>1241412</v>
      </c>
      <c r="P294" s="20">
        <v>192400</v>
      </c>
      <c r="Q294" s="20">
        <v>3245280</v>
      </c>
      <c r="R294" s="20">
        <v>1963200</v>
      </c>
      <c r="AB294" s="20">
        <v>6642292</v>
      </c>
      <c r="AC294" s="20">
        <v>1129416</v>
      </c>
      <c r="AF294" s="20">
        <v>209040</v>
      </c>
      <c r="AG294" s="20">
        <v>3335160</v>
      </c>
      <c r="AH294" s="20">
        <v>1841952</v>
      </c>
      <c r="AR294" s="20">
        <v>6515568</v>
      </c>
      <c r="AS294" s="20">
        <v>237984</v>
      </c>
      <c r="AV294" s="20">
        <v>156000</v>
      </c>
      <c r="AW294" s="20">
        <v>2542680</v>
      </c>
      <c r="AX294" s="20">
        <v>2121840</v>
      </c>
      <c r="BH294" s="28">
        <v>5058504</v>
      </c>
      <c r="BI294" s="28">
        <v>18216364</v>
      </c>
    </row>
    <row r="295" spans="1:61" x14ac:dyDescent="0.3">
      <c r="A295" s="1" t="s">
        <v>114</v>
      </c>
      <c r="B295" s="1" t="s">
        <v>110</v>
      </c>
      <c r="C295" s="1" t="s">
        <v>714</v>
      </c>
      <c r="D295" s="1" t="s">
        <v>715</v>
      </c>
      <c r="E295" s="1" t="s">
        <v>714</v>
      </c>
      <c r="F295" s="1" t="s">
        <v>715</v>
      </c>
      <c r="G295" s="1" t="s">
        <v>718</v>
      </c>
      <c r="H295" s="1" t="s">
        <v>719</v>
      </c>
      <c r="I295" s="1" t="s">
        <v>110</v>
      </c>
      <c r="J295" s="1" t="s">
        <v>117</v>
      </c>
      <c r="K295" s="1" t="s">
        <v>118</v>
      </c>
      <c r="L295" s="1" t="s">
        <v>103</v>
      </c>
      <c r="M295" s="20">
        <v>1388784</v>
      </c>
      <c r="P295" s="20">
        <v>457496</v>
      </c>
      <c r="Q295" s="20">
        <v>1759680</v>
      </c>
      <c r="R295" s="20">
        <v>1824000</v>
      </c>
      <c r="AB295" s="20">
        <v>5429960</v>
      </c>
      <c r="AC295" s="20">
        <v>600576</v>
      </c>
      <c r="AF295" s="20">
        <v>477304</v>
      </c>
      <c r="AG295" s="20">
        <v>2757240</v>
      </c>
      <c r="AH295" s="20">
        <v>2415720</v>
      </c>
      <c r="AR295" s="20">
        <v>6250840</v>
      </c>
      <c r="AV295" s="20">
        <v>144296</v>
      </c>
      <c r="AW295" s="20">
        <v>2282760</v>
      </c>
      <c r="AX295" s="20">
        <v>2212752</v>
      </c>
      <c r="BH295" s="28">
        <v>4639808</v>
      </c>
      <c r="BI295" s="28">
        <v>16320608</v>
      </c>
    </row>
    <row r="296" spans="1:61" x14ac:dyDescent="0.3">
      <c r="A296" s="1" t="s">
        <v>114</v>
      </c>
      <c r="B296" s="1" t="s">
        <v>110</v>
      </c>
      <c r="C296" s="1" t="s">
        <v>714</v>
      </c>
      <c r="D296" s="1" t="s">
        <v>715</v>
      </c>
      <c r="E296" s="1" t="s">
        <v>714</v>
      </c>
      <c r="F296" s="1" t="s">
        <v>715</v>
      </c>
      <c r="G296" s="1" t="s">
        <v>720</v>
      </c>
      <c r="H296" s="1" t="s">
        <v>721</v>
      </c>
      <c r="I296" s="1" t="s">
        <v>110</v>
      </c>
      <c r="J296" s="1" t="s">
        <v>117</v>
      </c>
      <c r="K296" s="1" t="s">
        <v>118</v>
      </c>
      <c r="L296" s="1" t="s">
        <v>103</v>
      </c>
      <c r="M296" s="20">
        <v>426792</v>
      </c>
      <c r="Q296" s="20">
        <v>1527120</v>
      </c>
      <c r="AB296" s="20">
        <v>1953912</v>
      </c>
      <c r="AC296" s="20">
        <v>536664</v>
      </c>
      <c r="AG296" s="20">
        <v>286200</v>
      </c>
      <c r="AR296" s="20">
        <v>822864</v>
      </c>
      <c r="AW296" s="20">
        <v>462120</v>
      </c>
      <c r="BH296" s="28">
        <v>462120</v>
      </c>
      <c r="BI296" s="28">
        <v>3238896</v>
      </c>
    </row>
    <row r="297" spans="1:61" x14ac:dyDescent="0.3">
      <c r="A297" s="1" t="s">
        <v>114</v>
      </c>
      <c r="B297" s="1" t="s">
        <v>110</v>
      </c>
      <c r="C297" s="1" t="s">
        <v>714</v>
      </c>
      <c r="D297" s="1" t="s">
        <v>715</v>
      </c>
      <c r="E297" s="1" t="s">
        <v>714</v>
      </c>
      <c r="F297" s="1" t="s">
        <v>715</v>
      </c>
      <c r="G297" s="1" t="s">
        <v>722</v>
      </c>
      <c r="H297" s="1" t="s">
        <v>723</v>
      </c>
      <c r="I297" s="1" t="s">
        <v>110</v>
      </c>
      <c r="J297" s="1" t="s">
        <v>117</v>
      </c>
      <c r="K297" s="1" t="s">
        <v>118</v>
      </c>
      <c r="L297" s="1" t="s">
        <v>103</v>
      </c>
      <c r="M297" s="20">
        <v>132300</v>
      </c>
      <c r="P297" s="20">
        <v>99408</v>
      </c>
      <c r="Q297" s="20">
        <v>1767000</v>
      </c>
      <c r="R297" s="20">
        <v>758400</v>
      </c>
      <c r="AB297" s="20">
        <v>2757108</v>
      </c>
      <c r="AC297" s="20">
        <v>1581476</v>
      </c>
      <c r="AF297" s="20">
        <v>104520</v>
      </c>
      <c r="AG297" s="20">
        <v>1874160</v>
      </c>
      <c r="AH297" s="20">
        <v>1231368</v>
      </c>
      <c r="AR297" s="20">
        <v>4791524</v>
      </c>
      <c r="AW297" s="20">
        <v>1573920</v>
      </c>
      <c r="AX297" s="20">
        <v>585888</v>
      </c>
      <c r="BH297" s="28">
        <v>2159808</v>
      </c>
      <c r="BI297" s="28">
        <v>9708440</v>
      </c>
    </row>
    <row r="298" spans="1:61" hidden="1" x14ac:dyDescent="0.3">
      <c r="A298" s="1" t="s">
        <v>114</v>
      </c>
      <c r="B298" s="1" t="s">
        <v>111</v>
      </c>
      <c r="C298" s="1" t="s">
        <v>724</v>
      </c>
      <c r="D298" s="1" t="s">
        <v>725</v>
      </c>
      <c r="E298" s="1" t="s">
        <v>724</v>
      </c>
      <c r="F298" s="1" t="s">
        <v>594</v>
      </c>
      <c r="G298" s="1" t="s">
        <v>726</v>
      </c>
      <c r="H298" s="1" t="s">
        <v>727</v>
      </c>
      <c r="I298" s="1" t="s">
        <v>111</v>
      </c>
      <c r="J298" s="1" t="s">
        <v>229</v>
      </c>
      <c r="K298" s="1" t="s">
        <v>118</v>
      </c>
      <c r="L298" s="1" t="s">
        <v>103</v>
      </c>
      <c r="AC298" s="20">
        <v>0</v>
      </c>
      <c r="AG298" s="20">
        <v>0</v>
      </c>
      <c r="AH298" s="20">
        <v>0</v>
      </c>
      <c r="AR298" s="20">
        <v>0</v>
      </c>
      <c r="BI298" s="28">
        <v>0</v>
      </c>
    </row>
    <row r="299" spans="1:61" hidden="1" x14ac:dyDescent="0.3">
      <c r="A299" s="1" t="s">
        <v>114</v>
      </c>
      <c r="B299" s="1" t="s">
        <v>111</v>
      </c>
      <c r="C299" s="1" t="s">
        <v>728</v>
      </c>
      <c r="D299" s="1" t="s">
        <v>729</v>
      </c>
      <c r="E299" s="1" t="s">
        <v>728</v>
      </c>
      <c r="F299" s="1" t="s">
        <v>729</v>
      </c>
      <c r="G299" s="1" t="s">
        <v>730</v>
      </c>
      <c r="H299" s="1" t="s">
        <v>731</v>
      </c>
      <c r="I299" s="1" t="s">
        <v>111</v>
      </c>
      <c r="J299" s="1" t="s">
        <v>229</v>
      </c>
      <c r="K299" s="1" t="s">
        <v>118</v>
      </c>
      <c r="L299" s="1" t="s">
        <v>103</v>
      </c>
      <c r="AC299" s="20">
        <v>4146152</v>
      </c>
      <c r="AG299" s="20">
        <v>412560</v>
      </c>
      <c r="AH299" s="20">
        <v>931200</v>
      </c>
      <c r="AR299" s="20">
        <v>5489912</v>
      </c>
      <c r="AS299" s="20">
        <v>9041820</v>
      </c>
      <c r="AV299" s="20">
        <v>777200</v>
      </c>
      <c r="AW299" s="20">
        <v>818280</v>
      </c>
      <c r="AX299" s="20">
        <v>1827600</v>
      </c>
      <c r="BH299" s="28">
        <v>12464900</v>
      </c>
      <c r="BI299" s="28">
        <v>17954812</v>
      </c>
    </row>
    <row r="300" spans="1:61" x14ac:dyDescent="0.3">
      <c r="A300" s="1" t="s">
        <v>114</v>
      </c>
      <c r="B300" s="1" t="s">
        <v>732</v>
      </c>
      <c r="C300" s="1" t="s">
        <v>733</v>
      </c>
      <c r="D300" s="1" t="s">
        <v>734</v>
      </c>
      <c r="E300" s="1" t="s">
        <v>733</v>
      </c>
      <c r="F300" s="1" t="s">
        <v>734</v>
      </c>
      <c r="G300" s="1" t="s">
        <v>735</v>
      </c>
      <c r="H300" s="1" t="s">
        <v>736</v>
      </c>
      <c r="I300" s="1" t="s">
        <v>732</v>
      </c>
      <c r="J300" s="1" t="s">
        <v>117</v>
      </c>
      <c r="K300" s="1" t="s">
        <v>118</v>
      </c>
      <c r="L300" s="1" t="s">
        <v>103</v>
      </c>
      <c r="M300" s="20">
        <v>38897400</v>
      </c>
      <c r="Q300" s="20">
        <v>13509300</v>
      </c>
      <c r="R300" s="20">
        <v>20419200</v>
      </c>
      <c r="AB300" s="20">
        <v>72825900</v>
      </c>
      <c r="AC300" s="20">
        <v>1008000</v>
      </c>
      <c r="AG300" s="20">
        <v>15860700</v>
      </c>
      <c r="AH300" s="20">
        <v>20834400</v>
      </c>
      <c r="AR300" s="20">
        <v>37703100</v>
      </c>
      <c r="AS300" s="20">
        <v>34322100</v>
      </c>
      <c r="AU300" s="20">
        <v>2040000</v>
      </c>
      <c r="AW300" s="20">
        <v>14987800</v>
      </c>
      <c r="AX300" s="20">
        <v>24204000</v>
      </c>
      <c r="BH300" s="28">
        <v>75553900</v>
      </c>
      <c r="BI300" s="28">
        <v>186082900</v>
      </c>
    </row>
    <row r="301" spans="1:61" x14ac:dyDescent="0.3">
      <c r="A301" s="1" t="s">
        <v>114</v>
      </c>
      <c r="B301" s="1" t="s">
        <v>732</v>
      </c>
      <c r="C301" s="1" t="s">
        <v>733</v>
      </c>
      <c r="D301" s="1" t="s">
        <v>734</v>
      </c>
      <c r="E301" s="1" t="s">
        <v>733</v>
      </c>
      <c r="F301" s="1" t="s">
        <v>734</v>
      </c>
      <c r="G301" s="1" t="s">
        <v>737</v>
      </c>
      <c r="H301" s="1" t="s">
        <v>738</v>
      </c>
      <c r="I301" s="1" t="s">
        <v>732</v>
      </c>
      <c r="J301" s="1" t="s">
        <v>117</v>
      </c>
      <c r="K301" s="1" t="s">
        <v>118</v>
      </c>
      <c r="L301" s="1" t="s">
        <v>103</v>
      </c>
      <c r="M301" s="20">
        <v>51112800</v>
      </c>
      <c r="N301" s="20">
        <v>2893200</v>
      </c>
      <c r="O301" s="20">
        <v>4080000</v>
      </c>
      <c r="P301" s="20">
        <v>1872000</v>
      </c>
      <c r="Q301" s="20">
        <v>17816400</v>
      </c>
      <c r="R301" s="20">
        <v>34722000</v>
      </c>
      <c r="AB301" s="20">
        <v>112496400</v>
      </c>
      <c r="AC301" s="20">
        <v>53408600</v>
      </c>
      <c r="AD301" s="20">
        <v>3024000</v>
      </c>
      <c r="AE301" s="20">
        <v>1224000</v>
      </c>
      <c r="AF301" s="20">
        <v>312000</v>
      </c>
      <c r="AG301" s="20">
        <v>10998300</v>
      </c>
      <c r="AH301" s="20">
        <v>16392000</v>
      </c>
      <c r="AR301" s="20">
        <v>85358900</v>
      </c>
      <c r="AS301" s="20">
        <v>68084100</v>
      </c>
      <c r="AT301" s="20">
        <v>3297600</v>
      </c>
      <c r="AU301" s="20">
        <v>2448000</v>
      </c>
      <c r="AV301" s="20">
        <v>468000</v>
      </c>
      <c r="AW301" s="20">
        <v>14112900</v>
      </c>
      <c r="AX301" s="20">
        <v>20584800</v>
      </c>
      <c r="BH301" s="28">
        <v>108995400</v>
      </c>
      <c r="BI301" s="28">
        <v>306850700</v>
      </c>
    </row>
    <row r="302" spans="1:61" hidden="1" x14ac:dyDescent="0.3">
      <c r="A302" s="1" t="s">
        <v>739</v>
      </c>
      <c r="B302" s="1" t="s">
        <v>89</v>
      </c>
      <c r="C302" s="1" t="s">
        <v>741</v>
      </c>
      <c r="D302" s="1" t="s">
        <v>740</v>
      </c>
      <c r="E302" s="1" t="s">
        <v>741</v>
      </c>
      <c r="F302" s="1" t="s">
        <v>740</v>
      </c>
      <c r="G302" s="1" t="s">
        <v>742</v>
      </c>
      <c r="H302" s="1" t="s">
        <v>743</v>
      </c>
      <c r="I302" s="1" t="s">
        <v>89</v>
      </c>
      <c r="J302" s="1" t="s">
        <v>229</v>
      </c>
      <c r="K302" s="1" t="s">
        <v>118</v>
      </c>
      <c r="L302" s="1" t="s">
        <v>88</v>
      </c>
      <c r="V302" s="20">
        <v>13054800</v>
      </c>
      <c r="W302" s="20">
        <v>530400</v>
      </c>
      <c r="X302" s="20">
        <v>0</v>
      </c>
      <c r="AB302" s="20">
        <v>13585200</v>
      </c>
      <c r="AL302" s="20">
        <v>108099604</v>
      </c>
      <c r="AM302" s="20">
        <v>17955600</v>
      </c>
      <c r="AN302" s="20">
        <v>23396640</v>
      </c>
      <c r="AO302" s="20">
        <v>10650432</v>
      </c>
      <c r="AP302" s="20">
        <v>22205150</v>
      </c>
      <c r="AQ302" s="20">
        <v>43259160</v>
      </c>
      <c r="AR302" s="20">
        <v>225566586</v>
      </c>
      <c r="BB302" s="20">
        <v>204977212</v>
      </c>
      <c r="BC302" s="20">
        <v>20308752</v>
      </c>
      <c r="BD302" s="28">
        <v>6420576</v>
      </c>
      <c r="BE302" s="28">
        <v>16969376</v>
      </c>
      <c r="BF302" s="28">
        <v>26675350</v>
      </c>
      <c r="BG302" s="28">
        <v>100499616</v>
      </c>
      <c r="BH302" s="28">
        <v>375850882</v>
      </c>
      <c r="BI302" s="28">
        <v>615002668</v>
      </c>
    </row>
    <row r="303" spans="1:61" hidden="1" x14ac:dyDescent="0.3">
      <c r="A303" s="1" t="s">
        <v>739</v>
      </c>
      <c r="B303" s="1" t="s">
        <v>94</v>
      </c>
      <c r="C303" s="1" t="s">
        <v>95</v>
      </c>
      <c r="D303" s="1" t="s">
        <v>96</v>
      </c>
      <c r="E303" s="1" t="s">
        <v>95</v>
      </c>
      <c r="F303" s="1" t="s">
        <v>96</v>
      </c>
      <c r="G303" s="1" t="s">
        <v>744</v>
      </c>
      <c r="H303" s="1" t="s">
        <v>745</v>
      </c>
      <c r="I303" s="1" t="s">
        <v>94</v>
      </c>
      <c r="J303" s="1" t="s">
        <v>746</v>
      </c>
      <c r="K303" s="1" t="s">
        <v>118</v>
      </c>
      <c r="L303" s="1" t="s">
        <v>97</v>
      </c>
      <c r="V303" s="20">
        <v>282311550</v>
      </c>
      <c r="Z303" s="20">
        <v>547584750</v>
      </c>
      <c r="AA303" s="20">
        <v>761312906</v>
      </c>
      <c r="AB303" s="20">
        <v>1591209206</v>
      </c>
      <c r="AL303" s="20">
        <v>270383800</v>
      </c>
      <c r="AP303" s="20">
        <v>653526300</v>
      </c>
      <c r="AQ303" s="20">
        <v>780036608</v>
      </c>
      <c r="AR303" s="20">
        <v>1703946708</v>
      </c>
      <c r="BB303" s="20">
        <v>370262100</v>
      </c>
      <c r="BF303" s="28">
        <v>842577750</v>
      </c>
      <c r="BG303" s="28">
        <v>1138913816</v>
      </c>
      <c r="BH303" s="28">
        <v>2351753666</v>
      </c>
      <c r="BI303" s="28">
        <v>5646909580</v>
      </c>
    </row>
    <row r="304" spans="1:61" hidden="1" x14ac:dyDescent="0.3">
      <c r="A304" s="1" t="s">
        <v>739</v>
      </c>
      <c r="B304" s="1" t="s">
        <v>94</v>
      </c>
      <c r="C304" s="1" t="s">
        <v>95</v>
      </c>
      <c r="D304" s="1" t="s">
        <v>96</v>
      </c>
      <c r="E304" s="1" t="s">
        <v>95</v>
      </c>
      <c r="F304" s="1" t="s">
        <v>96</v>
      </c>
      <c r="G304" s="1" t="s">
        <v>747</v>
      </c>
      <c r="H304" s="1" t="s">
        <v>748</v>
      </c>
      <c r="I304" s="1" t="s">
        <v>94</v>
      </c>
      <c r="J304" s="1" t="s">
        <v>746</v>
      </c>
      <c r="K304" s="1" t="s">
        <v>118</v>
      </c>
      <c r="L304" s="1" t="s">
        <v>97</v>
      </c>
      <c r="V304" s="20">
        <v>285922400</v>
      </c>
      <c r="Z304" s="20">
        <v>485641950</v>
      </c>
      <c r="AA304" s="20">
        <v>1005160102</v>
      </c>
      <c r="AB304" s="20">
        <v>1776724452</v>
      </c>
      <c r="AL304" s="20">
        <v>243515250</v>
      </c>
      <c r="AP304" s="20">
        <v>522502050</v>
      </c>
      <c r="AQ304" s="20">
        <v>991228324</v>
      </c>
      <c r="AR304" s="20">
        <v>1757245624</v>
      </c>
      <c r="BB304" s="20">
        <v>266458950</v>
      </c>
      <c r="BF304" s="28">
        <v>532803600</v>
      </c>
      <c r="BG304" s="28">
        <v>1128030652</v>
      </c>
      <c r="BH304" s="28">
        <v>1927293202</v>
      </c>
      <c r="BI304" s="28">
        <v>5461263278</v>
      </c>
    </row>
    <row r="305" spans="1:61" hidden="1" x14ac:dyDescent="0.3">
      <c r="A305" s="1" t="s">
        <v>739</v>
      </c>
      <c r="B305" s="1" t="s">
        <v>94</v>
      </c>
      <c r="C305" s="1" t="s">
        <v>95</v>
      </c>
      <c r="D305" s="1" t="s">
        <v>96</v>
      </c>
      <c r="E305" s="1" t="s">
        <v>95</v>
      </c>
      <c r="F305" s="1" t="s">
        <v>96</v>
      </c>
      <c r="G305" s="1" t="s">
        <v>749</v>
      </c>
      <c r="H305" s="1" t="s">
        <v>750</v>
      </c>
      <c r="I305" s="1" t="s">
        <v>94</v>
      </c>
      <c r="J305" s="1" t="s">
        <v>746</v>
      </c>
      <c r="K305" s="1" t="s">
        <v>118</v>
      </c>
      <c r="L305" s="1" t="s">
        <v>97</v>
      </c>
      <c r="V305" s="20">
        <v>305340850</v>
      </c>
      <c r="Z305" s="20">
        <v>598576650</v>
      </c>
      <c r="AA305" s="20">
        <v>1062770452</v>
      </c>
      <c r="AB305" s="20">
        <v>1966687952</v>
      </c>
      <c r="AL305" s="20">
        <v>251943950</v>
      </c>
      <c r="AP305" s="20">
        <v>654959850</v>
      </c>
      <c r="AQ305" s="20">
        <v>956916560</v>
      </c>
      <c r="AR305" s="20">
        <v>1863820360</v>
      </c>
      <c r="BB305" s="20">
        <v>314438100</v>
      </c>
      <c r="BF305" s="28">
        <v>698156850</v>
      </c>
      <c r="BG305" s="28">
        <v>1173583350</v>
      </c>
      <c r="BH305" s="28">
        <v>2186178300</v>
      </c>
      <c r="BI305" s="28">
        <v>6016686612</v>
      </c>
    </row>
    <row r="306" spans="1:61" hidden="1" x14ac:dyDescent="0.3">
      <c r="A306" s="1" t="s">
        <v>739</v>
      </c>
      <c r="B306" s="1" t="s">
        <v>94</v>
      </c>
      <c r="C306" s="1" t="s">
        <v>95</v>
      </c>
      <c r="D306" s="1" t="s">
        <v>96</v>
      </c>
      <c r="E306" s="1" t="s">
        <v>95</v>
      </c>
      <c r="F306" s="1" t="s">
        <v>96</v>
      </c>
      <c r="G306" s="1" t="s">
        <v>751</v>
      </c>
      <c r="H306" s="1" t="s">
        <v>752</v>
      </c>
      <c r="I306" s="1" t="s">
        <v>94</v>
      </c>
      <c r="J306" s="1" t="s">
        <v>746</v>
      </c>
      <c r="K306" s="1" t="s">
        <v>118</v>
      </c>
      <c r="L306" s="1" t="s">
        <v>97</v>
      </c>
      <c r="V306" s="20">
        <v>145080000</v>
      </c>
      <c r="Z306" s="20">
        <v>378412500</v>
      </c>
      <c r="AA306" s="20">
        <v>500410716</v>
      </c>
      <c r="AB306" s="20">
        <v>1023903216</v>
      </c>
      <c r="AL306" s="20">
        <v>155149750</v>
      </c>
      <c r="AP306" s="20">
        <v>424203600</v>
      </c>
      <c r="AQ306" s="20">
        <v>514960408</v>
      </c>
      <c r="AR306" s="20">
        <v>1094313758</v>
      </c>
      <c r="BB306" s="20">
        <v>182969400</v>
      </c>
      <c r="BF306" s="28">
        <v>497091600</v>
      </c>
      <c r="BG306" s="28">
        <v>702207302</v>
      </c>
      <c r="BH306" s="28">
        <v>1382268302</v>
      </c>
      <c r="BI306" s="28">
        <v>3500485276</v>
      </c>
    </row>
    <row r="307" spans="1:61" hidden="1" x14ac:dyDescent="0.3">
      <c r="A307" s="1" t="s">
        <v>739</v>
      </c>
      <c r="B307" s="1" t="s">
        <v>94</v>
      </c>
      <c r="C307" s="1" t="s">
        <v>95</v>
      </c>
      <c r="D307" s="1" t="s">
        <v>96</v>
      </c>
      <c r="E307" s="1" t="s">
        <v>95</v>
      </c>
      <c r="F307" s="1" t="s">
        <v>96</v>
      </c>
      <c r="G307" s="1" t="s">
        <v>753</v>
      </c>
      <c r="H307" s="1" t="s">
        <v>754</v>
      </c>
      <c r="I307" s="1" t="s">
        <v>94</v>
      </c>
      <c r="J307" s="1" t="s">
        <v>746</v>
      </c>
      <c r="K307" s="1" t="s">
        <v>118</v>
      </c>
      <c r="L307" s="1" t="s">
        <v>97</v>
      </c>
      <c r="V307" s="20">
        <v>261423800</v>
      </c>
      <c r="Z307" s="20">
        <v>572255100</v>
      </c>
      <c r="AA307" s="20">
        <v>894937852</v>
      </c>
      <c r="AB307" s="20">
        <v>1728616752</v>
      </c>
      <c r="AL307" s="20">
        <v>227186500</v>
      </c>
      <c r="AP307" s="20">
        <v>570234750</v>
      </c>
      <c r="AQ307" s="20">
        <v>787222370</v>
      </c>
      <c r="AR307" s="20">
        <v>1584643620</v>
      </c>
      <c r="BB307" s="20">
        <v>259298550</v>
      </c>
      <c r="BF307" s="28">
        <v>647810850</v>
      </c>
      <c r="BG307" s="28">
        <v>981762654</v>
      </c>
      <c r="BH307" s="28">
        <v>1888872054</v>
      </c>
      <c r="BI307" s="28">
        <v>5202132426</v>
      </c>
    </row>
    <row r="308" spans="1:61" hidden="1" x14ac:dyDescent="0.3">
      <c r="A308" s="1" t="s">
        <v>739</v>
      </c>
      <c r="B308" s="1" t="s">
        <v>94</v>
      </c>
      <c r="C308" s="1" t="s">
        <v>95</v>
      </c>
      <c r="D308" s="1" t="s">
        <v>96</v>
      </c>
      <c r="E308" s="1" t="s">
        <v>95</v>
      </c>
      <c r="F308" s="1" t="s">
        <v>96</v>
      </c>
      <c r="G308" s="1" t="s">
        <v>755</v>
      </c>
      <c r="H308" s="1" t="s">
        <v>756</v>
      </c>
      <c r="I308" s="1" t="s">
        <v>94</v>
      </c>
      <c r="J308" s="1" t="s">
        <v>746</v>
      </c>
      <c r="K308" s="1" t="s">
        <v>118</v>
      </c>
      <c r="L308" s="1" t="s">
        <v>97</v>
      </c>
      <c r="V308" s="20">
        <v>3379327400</v>
      </c>
      <c r="W308" s="20">
        <v>84430500</v>
      </c>
      <c r="X308" s="20">
        <v>468936500</v>
      </c>
      <c r="AB308" s="20">
        <v>3932694400</v>
      </c>
      <c r="AL308" s="20">
        <v>4839705200</v>
      </c>
      <c r="AM308" s="20">
        <v>82280000</v>
      </c>
      <c r="AN308" s="20">
        <v>256445000</v>
      </c>
      <c r="AR308" s="20">
        <v>5178430200</v>
      </c>
      <c r="BB308" s="20">
        <v>5091215314</v>
      </c>
      <c r="BC308" s="20">
        <v>192123800</v>
      </c>
      <c r="BD308" s="28">
        <v>152413500</v>
      </c>
      <c r="BH308" s="28">
        <v>5435752614</v>
      </c>
      <c r="BI308" s="28">
        <v>14546877214</v>
      </c>
    </row>
    <row r="309" spans="1:61" hidden="1" x14ac:dyDescent="0.3">
      <c r="A309" s="1" t="s">
        <v>739</v>
      </c>
      <c r="B309" s="1" t="s">
        <v>94</v>
      </c>
      <c r="C309" s="1" t="s">
        <v>95</v>
      </c>
      <c r="D309" s="1" t="s">
        <v>96</v>
      </c>
      <c r="E309" s="1" t="s">
        <v>95</v>
      </c>
      <c r="F309" s="1" t="s">
        <v>96</v>
      </c>
      <c r="G309" s="1" t="s">
        <v>757</v>
      </c>
      <c r="H309" s="1" t="s">
        <v>758</v>
      </c>
      <c r="I309" s="1" t="s">
        <v>94</v>
      </c>
      <c r="J309" s="1" t="s">
        <v>746</v>
      </c>
      <c r="K309" s="1" t="s">
        <v>118</v>
      </c>
      <c r="L309" s="1" t="s">
        <v>97</v>
      </c>
      <c r="V309" s="20">
        <v>3022654300</v>
      </c>
      <c r="W309" s="20">
        <v>65534150</v>
      </c>
      <c r="X309" s="20">
        <v>225879000</v>
      </c>
      <c r="AB309" s="20">
        <v>3314067450</v>
      </c>
      <c r="AL309" s="20">
        <v>2678707050</v>
      </c>
      <c r="AM309" s="20">
        <v>119306000</v>
      </c>
      <c r="AN309" s="20">
        <v>161160000</v>
      </c>
      <c r="AR309" s="20">
        <v>2959173050</v>
      </c>
      <c r="BB309" s="20">
        <v>3635740948</v>
      </c>
      <c r="BC309" s="20">
        <v>148104000</v>
      </c>
      <c r="BD309" s="28">
        <v>111817500</v>
      </c>
      <c r="BH309" s="28">
        <v>3895662448</v>
      </c>
      <c r="BI309" s="28">
        <v>10168902948</v>
      </c>
    </row>
    <row r="310" spans="1:61" hidden="1" x14ac:dyDescent="0.3">
      <c r="A310" s="1" t="s">
        <v>739</v>
      </c>
      <c r="B310" s="1" t="s">
        <v>94</v>
      </c>
      <c r="C310" s="1" t="s">
        <v>95</v>
      </c>
      <c r="D310" s="1" t="s">
        <v>96</v>
      </c>
      <c r="E310" s="1" t="s">
        <v>95</v>
      </c>
      <c r="F310" s="1" t="s">
        <v>96</v>
      </c>
      <c r="G310" s="1" t="s">
        <v>759</v>
      </c>
      <c r="H310" s="1" t="s">
        <v>760</v>
      </c>
      <c r="I310" s="1" t="s">
        <v>94</v>
      </c>
      <c r="J310" s="1" t="s">
        <v>746</v>
      </c>
      <c r="K310" s="1" t="s">
        <v>118</v>
      </c>
      <c r="L310" s="1" t="s">
        <v>97</v>
      </c>
      <c r="V310" s="20">
        <v>2526725800</v>
      </c>
      <c r="W310" s="20">
        <v>64730050</v>
      </c>
      <c r="X310" s="20">
        <v>349265000</v>
      </c>
      <c r="AB310" s="20">
        <v>2940720850</v>
      </c>
      <c r="AL310" s="20">
        <v>3686780400</v>
      </c>
      <c r="AM310" s="20">
        <v>131648000</v>
      </c>
      <c r="AN310" s="20">
        <v>212449000</v>
      </c>
      <c r="AR310" s="20">
        <v>4030877400</v>
      </c>
      <c r="BB310" s="20">
        <v>4182151610</v>
      </c>
      <c r="BC310" s="20">
        <v>164560000</v>
      </c>
      <c r="BD310" s="28">
        <v>122051500</v>
      </c>
      <c r="BH310" s="28">
        <v>4468763110</v>
      </c>
      <c r="BI310" s="28">
        <v>11440361360</v>
      </c>
    </row>
    <row r="311" spans="1:61" hidden="1" x14ac:dyDescent="0.3">
      <c r="A311" s="1" t="s">
        <v>739</v>
      </c>
      <c r="B311" s="1" t="s">
        <v>94</v>
      </c>
      <c r="C311" s="1" t="s">
        <v>95</v>
      </c>
      <c r="D311" s="1" t="s">
        <v>96</v>
      </c>
      <c r="E311" s="1" t="s">
        <v>95</v>
      </c>
      <c r="F311" s="1" t="s">
        <v>96</v>
      </c>
      <c r="G311" s="1" t="s">
        <v>761</v>
      </c>
      <c r="H311" s="1" t="s">
        <v>762</v>
      </c>
      <c r="I311" s="1" t="s">
        <v>94</v>
      </c>
      <c r="J311" s="1" t="s">
        <v>746</v>
      </c>
      <c r="K311" s="1" t="s">
        <v>118</v>
      </c>
      <c r="L311" s="1" t="s">
        <v>97</v>
      </c>
      <c r="V311" s="20">
        <v>1082034750</v>
      </c>
      <c r="Z311" s="20">
        <v>2064173850</v>
      </c>
      <c r="AA311" s="20">
        <v>3740132736</v>
      </c>
      <c r="AB311" s="20">
        <v>6886341336</v>
      </c>
      <c r="AL311" s="20">
        <v>972288100</v>
      </c>
      <c r="AP311" s="20">
        <v>2254909800</v>
      </c>
      <c r="AQ311" s="20">
        <v>3593596280</v>
      </c>
      <c r="AR311" s="20">
        <v>6820794180</v>
      </c>
      <c r="BB311" s="20">
        <v>1082007300</v>
      </c>
      <c r="BF311" s="28">
        <v>2430364500</v>
      </c>
      <c r="BG311" s="28">
        <v>4015586574</v>
      </c>
      <c r="BH311" s="28">
        <v>7527958374</v>
      </c>
      <c r="BI311" s="28">
        <v>21235093890</v>
      </c>
    </row>
    <row r="312" spans="1:61" hidden="1" x14ac:dyDescent="0.3">
      <c r="A312" s="1" t="s">
        <v>739</v>
      </c>
      <c r="B312" s="1" t="s">
        <v>94</v>
      </c>
      <c r="C312" s="1" t="s">
        <v>95</v>
      </c>
      <c r="D312" s="1" t="s">
        <v>96</v>
      </c>
      <c r="E312" s="1" t="s">
        <v>95</v>
      </c>
      <c r="F312" s="1" t="s">
        <v>96</v>
      </c>
      <c r="G312" s="1" t="s">
        <v>763</v>
      </c>
      <c r="H312" s="1" t="s">
        <v>764</v>
      </c>
      <c r="I312" s="1" t="s">
        <v>94</v>
      </c>
      <c r="J312" s="1" t="s">
        <v>746</v>
      </c>
      <c r="K312" s="1" t="s">
        <v>118</v>
      </c>
      <c r="L312" s="1" t="s">
        <v>97</v>
      </c>
      <c r="V312" s="20">
        <v>3151965600</v>
      </c>
      <c r="W312" s="20">
        <v>79203850</v>
      </c>
      <c r="X312" s="20">
        <v>568352500</v>
      </c>
      <c r="AB312" s="20">
        <v>3799521950</v>
      </c>
      <c r="AL312" s="20">
        <v>5364903700</v>
      </c>
      <c r="AM312" s="20">
        <v>143990000</v>
      </c>
      <c r="AN312" s="20">
        <v>295757500</v>
      </c>
      <c r="AR312" s="20">
        <v>5804651200</v>
      </c>
      <c r="BB312" s="20">
        <v>7833921144</v>
      </c>
      <c r="BC312" s="20">
        <v>240257600</v>
      </c>
      <c r="BD312" s="28">
        <v>185087500</v>
      </c>
      <c r="BH312" s="28">
        <v>8259266244</v>
      </c>
      <c r="BI312" s="28">
        <v>17863439394</v>
      </c>
    </row>
    <row r="313" spans="1:61" hidden="1" x14ac:dyDescent="0.3">
      <c r="A313" s="1" t="s">
        <v>739</v>
      </c>
      <c r="B313" s="1" t="s">
        <v>94</v>
      </c>
      <c r="C313" s="1" t="s">
        <v>95</v>
      </c>
      <c r="D313" s="1" t="s">
        <v>96</v>
      </c>
      <c r="E313" s="1" t="s">
        <v>95</v>
      </c>
      <c r="F313" s="1" t="s">
        <v>96</v>
      </c>
      <c r="G313" s="1" t="s">
        <v>765</v>
      </c>
      <c r="H313" s="1" t="s">
        <v>766</v>
      </c>
      <c r="I313" s="1" t="s">
        <v>94</v>
      </c>
      <c r="J313" s="1" t="s">
        <v>746</v>
      </c>
      <c r="K313" s="1" t="s">
        <v>118</v>
      </c>
      <c r="L313" s="1" t="s">
        <v>97</v>
      </c>
      <c r="V313" s="20">
        <v>284919250</v>
      </c>
      <c r="Z313" s="20">
        <v>545587350</v>
      </c>
      <c r="AA313" s="20">
        <v>862679326</v>
      </c>
      <c r="AB313" s="20">
        <v>1693185926</v>
      </c>
      <c r="AL313" s="20">
        <v>249008250</v>
      </c>
      <c r="AP313" s="20">
        <v>594034800</v>
      </c>
      <c r="AQ313" s="20">
        <v>789850980</v>
      </c>
      <c r="AR313" s="20">
        <v>1632894030</v>
      </c>
      <c r="BB313" s="20">
        <v>270530400</v>
      </c>
      <c r="BF313" s="28">
        <v>633311400</v>
      </c>
      <c r="BG313" s="28">
        <v>962859734</v>
      </c>
      <c r="BH313" s="28">
        <v>1866701534</v>
      </c>
      <c r="BI313" s="28">
        <v>5192781490</v>
      </c>
    </row>
    <row r="314" spans="1:61" hidden="1" x14ac:dyDescent="0.3">
      <c r="A314" s="1" t="s">
        <v>739</v>
      </c>
      <c r="B314" s="1" t="s">
        <v>102</v>
      </c>
      <c r="C314" s="1" t="s">
        <v>767</v>
      </c>
      <c r="D314" s="1" t="s">
        <v>768</v>
      </c>
      <c r="E314" s="1" t="s">
        <v>767</v>
      </c>
      <c r="F314" s="1" t="s">
        <v>768</v>
      </c>
      <c r="G314" s="1" t="s">
        <v>769</v>
      </c>
      <c r="H314" s="1" t="s">
        <v>770</v>
      </c>
      <c r="I314" s="1" t="s">
        <v>102</v>
      </c>
      <c r="J314" s="1" t="s">
        <v>229</v>
      </c>
      <c r="K314" s="1" t="s">
        <v>118</v>
      </c>
      <c r="L314" s="1" t="s">
        <v>103</v>
      </c>
      <c r="M314" s="20">
        <v>1333668600</v>
      </c>
      <c r="N314" s="20">
        <v>160651800</v>
      </c>
      <c r="O314" s="20">
        <v>292784040</v>
      </c>
      <c r="AB314" s="20">
        <v>1787104440</v>
      </c>
      <c r="AC314" s="20">
        <v>777010740</v>
      </c>
      <c r="AD314" s="20">
        <v>50958000</v>
      </c>
      <c r="AE314" s="20">
        <v>158742000</v>
      </c>
      <c r="AR314" s="20">
        <v>986710740</v>
      </c>
      <c r="AS314" s="20">
        <v>867613200</v>
      </c>
      <c r="AT314" s="20">
        <v>85824000</v>
      </c>
      <c r="AU314" s="20">
        <v>152394000</v>
      </c>
      <c r="BH314" s="28">
        <v>1105831200</v>
      </c>
      <c r="BI314" s="28">
        <v>3879646380</v>
      </c>
    </row>
    <row r="315" spans="1:61" hidden="1" x14ac:dyDescent="0.3">
      <c r="A315" s="1" t="s">
        <v>739</v>
      </c>
      <c r="B315" s="1" t="s">
        <v>224</v>
      </c>
      <c r="C315" s="1" t="s">
        <v>225</v>
      </c>
      <c r="D315" s="1" t="s">
        <v>226</v>
      </c>
      <c r="E315" s="1" t="s">
        <v>225</v>
      </c>
      <c r="F315" s="1" t="s">
        <v>226</v>
      </c>
      <c r="G315" s="1" t="s">
        <v>771</v>
      </c>
      <c r="H315" s="1" t="s">
        <v>772</v>
      </c>
      <c r="I315" s="1" t="s">
        <v>224</v>
      </c>
      <c r="J315" s="1" t="s">
        <v>229</v>
      </c>
      <c r="K315" s="1" t="s">
        <v>118</v>
      </c>
      <c r="L315" s="1" t="s">
        <v>103</v>
      </c>
      <c r="Q315" s="20">
        <v>1335600</v>
      </c>
      <c r="R315" s="20">
        <v>1753200</v>
      </c>
      <c r="AB315" s="20">
        <v>3088800</v>
      </c>
      <c r="AC315" s="20">
        <v>179520</v>
      </c>
      <c r="AG315" s="20">
        <v>1099440</v>
      </c>
      <c r="AH315" s="20">
        <v>515616</v>
      </c>
      <c r="AR315" s="20">
        <v>1794576</v>
      </c>
      <c r="AS315" s="20">
        <v>1047300</v>
      </c>
      <c r="AW315" s="20">
        <v>1661400</v>
      </c>
      <c r="AX315" s="20">
        <v>2299200</v>
      </c>
      <c r="BH315" s="28">
        <v>5007900</v>
      </c>
      <c r="BI315" s="28">
        <v>9891276</v>
      </c>
    </row>
    <row r="316" spans="1:61" hidden="1" x14ac:dyDescent="0.3">
      <c r="A316" s="1" t="s">
        <v>739</v>
      </c>
      <c r="B316" s="1" t="s">
        <v>224</v>
      </c>
      <c r="C316" s="1" t="s">
        <v>225</v>
      </c>
      <c r="D316" s="1" t="s">
        <v>226</v>
      </c>
      <c r="E316" s="1" t="s">
        <v>225</v>
      </c>
      <c r="F316" s="1" t="s">
        <v>226</v>
      </c>
      <c r="G316" s="1" t="s">
        <v>773</v>
      </c>
      <c r="H316" s="1" t="s">
        <v>774</v>
      </c>
      <c r="I316" s="1" t="s">
        <v>224</v>
      </c>
      <c r="J316" s="1" t="s">
        <v>229</v>
      </c>
      <c r="K316" s="1" t="s">
        <v>118</v>
      </c>
      <c r="L316" s="1" t="s">
        <v>103</v>
      </c>
      <c r="M316" s="20">
        <v>986700</v>
      </c>
      <c r="P316" s="20">
        <v>130800</v>
      </c>
      <c r="Q316" s="20">
        <v>877680</v>
      </c>
      <c r="R316" s="20">
        <v>3426816</v>
      </c>
      <c r="AB316" s="20">
        <v>5421996</v>
      </c>
      <c r="AC316" s="20">
        <v>1450152</v>
      </c>
      <c r="AG316" s="20">
        <v>1221120</v>
      </c>
      <c r="AH316" s="20">
        <v>2655216</v>
      </c>
      <c r="AR316" s="20">
        <v>5326488</v>
      </c>
      <c r="AS316" s="20">
        <v>382800</v>
      </c>
      <c r="AT316" s="20">
        <v>432000</v>
      </c>
      <c r="AW316" s="20">
        <v>1335600</v>
      </c>
      <c r="AX316" s="20">
        <v>1993800</v>
      </c>
      <c r="BH316" s="28">
        <v>4144200</v>
      </c>
      <c r="BI316" s="28">
        <v>14892684</v>
      </c>
    </row>
    <row r="317" spans="1:61" hidden="1" x14ac:dyDescent="0.3">
      <c r="A317" s="1" t="s">
        <v>739</v>
      </c>
      <c r="B317" s="1" t="s">
        <v>224</v>
      </c>
      <c r="C317" s="1" t="s">
        <v>225</v>
      </c>
      <c r="D317" s="1" t="s">
        <v>226</v>
      </c>
      <c r="E317" s="1" t="s">
        <v>225</v>
      </c>
      <c r="F317" s="1" t="s">
        <v>226</v>
      </c>
      <c r="G317" s="1" t="s">
        <v>775</v>
      </c>
      <c r="H317" s="1" t="s">
        <v>776</v>
      </c>
      <c r="I317" s="1" t="s">
        <v>224</v>
      </c>
      <c r="J317" s="1" t="s">
        <v>229</v>
      </c>
      <c r="K317" s="1" t="s">
        <v>118</v>
      </c>
      <c r="L317" s="1" t="s">
        <v>103</v>
      </c>
      <c r="M317" s="20">
        <v>1546560</v>
      </c>
      <c r="P317" s="20">
        <v>784800</v>
      </c>
      <c r="Q317" s="20">
        <v>2538720</v>
      </c>
      <c r="R317" s="20">
        <v>4390800</v>
      </c>
      <c r="AB317" s="20">
        <v>9260880</v>
      </c>
      <c r="AC317" s="20">
        <v>1967712</v>
      </c>
      <c r="AF317" s="20">
        <v>784800</v>
      </c>
      <c r="AG317" s="20">
        <v>2697840</v>
      </c>
      <c r="AH317" s="20">
        <v>5141016</v>
      </c>
      <c r="AR317" s="20">
        <v>10591368</v>
      </c>
      <c r="AS317" s="20">
        <v>774000</v>
      </c>
      <c r="AT317" s="20">
        <v>288000</v>
      </c>
      <c r="AV317" s="20">
        <v>980960</v>
      </c>
      <c r="AW317" s="20">
        <v>2701440</v>
      </c>
      <c r="AX317" s="20">
        <v>5854800</v>
      </c>
      <c r="BH317" s="28">
        <v>10599200</v>
      </c>
      <c r="BI317" s="28">
        <v>30451448</v>
      </c>
    </row>
    <row r="318" spans="1:61" hidden="1" x14ac:dyDescent="0.3">
      <c r="A318" s="1" t="s">
        <v>739</v>
      </c>
      <c r="B318" s="1" t="s">
        <v>224</v>
      </c>
      <c r="C318" s="1" t="s">
        <v>225</v>
      </c>
      <c r="D318" s="1" t="s">
        <v>226</v>
      </c>
      <c r="E318" s="1" t="s">
        <v>225</v>
      </c>
      <c r="F318" s="1" t="s">
        <v>226</v>
      </c>
      <c r="G318" s="1" t="s">
        <v>777</v>
      </c>
      <c r="H318" s="1" t="s">
        <v>778</v>
      </c>
      <c r="I318" s="1" t="s">
        <v>224</v>
      </c>
      <c r="J318" s="1" t="s">
        <v>229</v>
      </c>
      <c r="K318" s="1" t="s">
        <v>118</v>
      </c>
      <c r="L318" s="1" t="s">
        <v>103</v>
      </c>
      <c r="M318" s="20">
        <v>1786920</v>
      </c>
      <c r="Q318" s="20">
        <v>1831680</v>
      </c>
      <c r="R318" s="20">
        <v>2597616</v>
      </c>
      <c r="AB318" s="20">
        <v>6216216</v>
      </c>
      <c r="AC318" s="20">
        <v>1222716</v>
      </c>
      <c r="AG318" s="20">
        <v>2157120</v>
      </c>
      <c r="AH318" s="20">
        <v>2482200</v>
      </c>
      <c r="AR318" s="20">
        <v>5862036</v>
      </c>
      <c r="AS318" s="20">
        <v>224400</v>
      </c>
      <c r="AW318" s="20">
        <v>1855800</v>
      </c>
      <c r="AX318" s="20">
        <v>2802600</v>
      </c>
      <c r="BH318" s="28">
        <v>4882800</v>
      </c>
      <c r="BI318" s="28">
        <v>16961052</v>
      </c>
    </row>
    <row r="319" spans="1:61" hidden="1" x14ac:dyDescent="0.3">
      <c r="A319" s="1" t="s">
        <v>739</v>
      </c>
      <c r="B319" s="1" t="s">
        <v>224</v>
      </c>
      <c r="C319" s="1" t="s">
        <v>225</v>
      </c>
      <c r="D319" s="1" t="s">
        <v>226</v>
      </c>
      <c r="E319" s="1" t="s">
        <v>225</v>
      </c>
      <c r="F319" s="1" t="s">
        <v>226</v>
      </c>
      <c r="G319" s="1" t="s">
        <v>779</v>
      </c>
      <c r="H319" s="1" t="s">
        <v>780</v>
      </c>
      <c r="I319" s="1" t="s">
        <v>224</v>
      </c>
      <c r="J319" s="1" t="s">
        <v>229</v>
      </c>
      <c r="K319" s="1" t="s">
        <v>118</v>
      </c>
      <c r="L319" s="1" t="s">
        <v>103</v>
      </c>
      <c r="M319" s="20">
        <v>472560</v>
      </c>
      <c r="P319" s="20">
        <v>261600</v>
      </c>
      <c r="Q319" s="20">
        <v>2056680</v>
      </c>
      <c r="R319" s="20">
        <v>3273216</v>
      </c>
      <c r="AB319" s="20">
        <v>6064056</v>
      </c>
      <c r="AC319" s="20">
        <v>739296</v>
      </c>
      <c r="AG319" s="20">
        <v>1730520</v>
      </c>
      <c r="AH319" s="20">
        <v>4985616</v>
      </c>
      <c r="AR319" s="20">
        <v>7455432</v>
      </c>
      <c r="AS319" s="20">
        <v>681480</v>
      </c>
      <c r="AT319" s="20">
        <v>144000</v>
      </c>
      <c r="AV319" s="20">
        <v>98096</v>
      </c>
      <c r="AW319" s="20">
        <v>1709640</v>
      </c>
      <c r="AX319" s="20">
        <v>3348600</v>
      </c>
      <c r="BH319" s="28">
        <v>5981816</v>
      </c>
      <c r="BI319" s="28">
        <v>19501304</v>
      </c>
    </row>
    <row r="320" spans="1:61" hidden="1" x14ac:dyDescent="0.3">
      <c r="A320" s="1" t="s">
        <v>739</v>
      </c>
      <c r="B320" s="1" t="s">
        <v>224</v>
      </c>
      <c r="C320" s="1" t="s">
        <v>225</v>
      </c>
      <c r="D320" s="1" t="s">
        <v>226</v>
      </c>
      <c r="E320" s="1" t="s">
        <v>225</v>
      </c>
      <c r="F320" s="1" t="s">
        <v>226</v>
      </c>
      <c r="G320" s="1" t="s">
        <v>781</v>
      </c>
      <c r="H320" s="1" t="s">
        <v>782</v>
      </c>
      <c r="I320" s="1" t="s">
        <v>224</v>
      </c>
      <c r="J320" s="1" t="s">
        <v>229</v>
      </c>
      <c r="K320" s="1" t="s">
        <v>118</v>
      </c>
      <c r="L320" s="1" t="s">
        <v>103</v>
      </c>
      <c r="M320" s="20">
        <v>1311210</v>
      </c>
      <c r="P320" s="20">
        <v>130800</v>
      </c>
      <c r="Q320" s="20">
        <v>1474200</v>
      </c>
      <c r="R320" s="20">
        <v>2060400</v>
      </c>
      <c r="AB320" s="20">
        <v>4976610</v>
      </c>
      <c r="AC320" s="20">
        <v>2115492</v>
      </c>
      <c r="AG320" s="20">
        <v>2851200</v>
      </c>
      <c r="AH320" s="20">
        <v>3484416</v>
      </c>
      <c r="AR320" s="20">
        <v>8451108</v>
      </c>
      <c r="AS320" s="20">
        <v>1233480</v>
      </c>
      <c r="AT320" s="20">
        <v>288000</v>
      </c>
      <c r="AW320" s="20">
        <v>3072960</v>
      </c>
      <c r="AX320" s="20">
        <v>3465600</v>
      </c>
      <c r="BH320" s="28">
        <v>8060040</v>
      </c>
      <c r="BI320" s="28">
        <v>21487758</v>
      </c>
    </row>
    <row r="321" spans="1:61" hidden="1" x14ac:dyDescent="0.3">
      <c r="A321" s="1" t="s">
        <v>739</v>
      </c>
      <c r="B321" s="1" t="s">
        <v>224</v>
      </c>
      <c r="C321" s="1" t="s">
        <v>225</v>
      </c>
      <c r="D321" s="1" t="s">
        <v>226</v>
      </c>
      <c r="E321" s="1" t="s">
        <v>225</v>
      </c>
      <c r="F321" s="1" t="s">
        <v>226</v>
      </c>
      <c r="G321" s="1" t="s">
        <v>783</v>
      </c>
      <c r="H321" s="1" t="s">
        <v>784</v>
      </c>
      <c r="I321" s="1" t="s">
        <v>224</v>
      </c>
      <c r="J321" s="1" t="s">
        <v>229</v>
      </c>
      <c r="K321" s="1" t="s">
        <v>118</v>
      </c>
      <c r="L321" s="1" t="s">
        <v>103</v>
      </c>
      <c r="P321" s="20">
        <v>130800</v>
      </c>
      <c r="Q321" s="20">
        <v>1397880</v>
      </c>
      <c r="R321" s="20">
        <v>2178816</v>
      </c>
      <c r="AB321" s="20">
        <v>3707496</v>
      </c>
      <c r="AG321" s="20">
        <v>1370160</v>
      </c>
      <c r="AH321" s="20">
        <v>2151816</v>
      </c>
      <c r="AR321" s="20">
        <v>3521976</v>
      </c>
      <c r="AW321" s="20">
        <v>2133360</v>
      </c>
      <c r="AX321" s="20">
        <v>2193600</v>
      </c>
      <c r="BH321" s="28">
        <v>4326960</v>
      </c>
      <c r="BI321" s="28">
        <v>11556432</v>
      </c>
    </row>
    <row r="322" spans="1:61" hidden="1" x14ac:dyDescent="0.3">
      <c r="A322" s="1" t="s">
        <v>739</v>
      </c>
      <c r="B322" s="1" t="s">
        <v>224</v>
      </c>
      <c r="C322" s="1" t="s">
        <v>225</v>
      </c>
      <c r="D322" s="1" t="s">
        <v>226</v>
      </c>
      <c r="E322" s="1" t="s">
        <v>225</v>
      </c>
      <c r="F322" s="1" t="s">
        <v>226</v>
      </c>
      <c r="G322" s="1" t="s">
        <v>785</v>
      </c>
      <c r="H322" s="1" t="s">
        <v>786</v>
      </c>
      <c r="I322" s="1" t="s">
        <v>224</v>
      </c>
      <c r="J322" s="1" t="s">
        <v>229</v>
      </c>
      <c r="K322" s="1" t="s">
        <v>118</v>
      </c>
      <c r="L322" s="1" t="s">
        <v>103</v>
      </c>
      <c r="M322" s="20">
        <v>1470360</v>
      </c>
      <c r="P322" s="20">
        <v>261600</v>
      </c>
      <c r="Q322" s="20">
        <v>3010680</v>
      </c>
      <c r="R322" s="20">
        <v>2392800</v>
      </c>
      <c r="AB322" s="20">
        <v>7135440</v>
      </c>
      <c r="AC322" s="20">
        <v>1269996</v>
      </c>
      <c r="AG322" s="20">
        <v>1855440</v>
      </c>
      <c r="AH322" s="20">
        <v>4053600</v>
      </c>
      <c r="AR322" s="20">
        <v>7179036</v>
      </c>
      <c r="AS322" s="20">
        <v>1452180</v>
      </c>
      <c r="AT322" s="20">
        <v>288000</v>
      </c>
      <c r="AW322" s="20">
        <v>3274200</v>
      </c>
      <c r="AX322" s="20">
        <v>3861600</v>
      </c>
      <c r="BH322" s="28">
        <v>8875980</v>
      </c>
      <c r="BI322" s="28">
        <v>23190456</v>
      </c>
    </row>
    <row r="323" spans="1:61" hidden="1" x14ac:dyDescent="0.3">
      <c r="A323" s="1" t="s">
        <v>739</v>
      </c>
      <c r="B323" s="1" t="s">
        <v>224</v>
      </c>
      <c r="C323" s="1" t="s">
        <v>225</v>
      </c>
      <c r="D323" s="1" t="s">
        <v>226</v>
      </c>
      <c r="E323" s="1" t="s">
        <v>225</v>
      </c>
      <c r="F323" s="1" t="s">
        <v>226</v>
      </c>
      <c r="G323" s="1" t="s">
        <v>787</v>
      </c>
      <c r="H323" s="1" t="s">
        <v>788</v>
      </c>
      <c r="I323" s="1" t="s">
        <v>224</v>
      </c>
      <c r="J323" s="1" t="s">
        <v>229</v>
      </c>
      <c r="K323" s="1" t="s">
        <v>118</v>
      </c>
      <c r="L323" s="1" t="s">
        <v>103</v>
      </c>
      <c r="M323" s="20">
        <v>1003560</v>
      </c>
      <c r="Q323" s="20">
        <v>1640880</v>
      </c>
      <c r="R323" s="20">
        <v>4036032</v>
      </c>
      <c r="AB323" s="20">
        <v>6680472</v>
      </c>
      <c r="AC323" s="20">
        <v>921444</v>
      </c>
      <c r="AG323" s="20">
        <v>1755360</v>
      </c>
      <c r="AH323" s="20">
        <v>3075816</v>
      </c>
      <c r="AR323" s="20">
        <v>5752620</v>
      </c>
      <c r="AS323" s="20">
        <v>716400</v>
      </c>
      <c r="AW323" s="20">
        <v>1526400</v>
      </c>
      <c r="AX323" s="20">
        <v>3441600</v>
      </c>
      <c r="BH323" s="28">
        <v>5684400</v>
      </c>
      <c r="BI323" s="28">
        <v>18117492</v>
      </c>
    </row>
    <row r="324" spans="1:61" hidden="1" x14ac:dyDescent="0.3">
      <c r="A324" s="1" t="s">
        <v>739</v>
      </c>
      <c r="B324" s="1" t="s">
        <v>224</v>
      </c>
      <c r="C324" s="1" t="s">
        <v>225</v>
      </c>
      <c r="D324" s="1" t="s">
        <v>226</v>
      </c>
      <c r="E324" s="1" t="s">
        <v>225</v>
      </c>
      <c r="F324" s="1" t="s">
        <v>226</v>
      </c>
      <c r="G324" s="1" t="s">
        <v>789</v>
      </c>
      <c r="H324" s="1" t="s">
        <v>790</v>
      </c>
      <c r="I324" s="1" t="s">
        <v>224</v>
      </c>
      <c r="J324" s="1" t="s">
        <v>229</v>
      </c>
      <c r="K324" s="1" t="s">
        <v>118</v>
      </c>
      <c r="L324" s="1" t="s">
        <v>103</v>
      </c>
      <c r="Q324" s="20">
        <v>863640</v>
      </c>
      <c r="R324" s="20">
        <v>1084416</v>
      </c>
      <c r="AB324" s="20">
        <v>1948056</v>
      </c>
      <c r="AC324" s="20">
        <v>174960</v>
      </c>
      <c r="AG324" s="20">
        <v>908640</v>
      </c>
      <c r="AH324" s="20">
        <v>1678200</v>
      </c>
      <c r="AR324" s="20">
        <v>2761800</v>
      </c>
      <c r="AS324" s="20">
        <v>112200</v>
      </c>
      <c r="AW324" s="20">
        <v>1064880</v>
      </c>
      <c r="AX324" s="20">
        <v>1282200</v>
      </c>
      <c r="BH324" s="28">
        <v>2459280</v>
      </c>
      <c r="BI324" s="28">
        <v>7169136</v>
      </c>
    </row>
    <row r="325" spans="1:61" hidden="1" x14ac:dyDescent="0.3">
      <c r="A325" s="1" t="s">
        <v>739</v>
      </c>
      <c r="B325" s="1" t="s">
        <v>224</v>
      </c>
      <c r="C325" s="1" t="s">
        <v>225</v>
      </c>
      <c r="D325" s="1" t="s">
        <v>226</v>
      </c>
      <c r="E325" s="1" t="s">
        <v>225</v>
      </c>
      <c r="F325" s="1" t="s">
        <v>226</v>
      </c>
      <c r="G325" s="1" t="s">
        <v>791</v>
      </c>
      <c r="H325" s="1" t="s">
        <v>792</v>
      </c>
      <c r="I325" s="1" t="s">
        <v>224</v>
      </c>
      <c r="J325" s="1" t="s">
        <v>229</v>
      </c>
      <c r="K325" s="1" t="s">
        <v>118</v>
      </c>
      <c r="L325" s="1" t="s">
        <v>103</v>
      </c>
      <c r="M325" s="20">
        <v>1051050</v>
      </c>
      <c r="P325" s="20">
        <v>261600</v>
      </c>
      <c r="Q325" s="20">
        <v>1984320</v>
      </c>
      <c r="R325" s="20">
        <v>3314016</v>
      </c>
      <c r="AB325" s="20">
        <v>6610986</v>
      </c>
      <c r="AC325" s="20">
        <v>3011652</v>
      </c>
      <c r="AF325" s="20">
        <v>261600</v>
      </c>
      <c r="AG325" s="20">
        <v>2098800</v>
      </c>
      <c r="AH325" s="20">
        <v>3612600</v>
      </c>
      <c r="AR325" s="20">
        <v>8984652</v>
      </c>
      <c r="AS325" s="20">
        <v>2113680</v>
      </c>
      <c r="AT325" s="20">
        <v>288000</v>
      </c>
      <c r="AV325" s="20">
        <v>294288</v>
      </c>
      <c r="AW325" s="20">
        <v>1030320</v>
      </c>
      <c r="AX325" s="20">
        <v>3285600</v>
      </c>
      <c r="BH325" s="28">
        <v>7011888</v>
      </c>
      <c r="BI325" s="28">
        <v>22607526</v>
      </c>
    </row>
    <row r="326" spans="1:61" hidden="1" x14ac:dyDescent="0.3">
      <c r="A326" s="1" t="s">
        <v>739</v>
      </c>
      <c r="B326" s="1" t="s">
        <v>224</v>
      </c>
      <c r="C326" s="1" t="s">
        <v>225</v>
      </c>
      <c r="D326" s="1" t="s">
        <v>226</v>
      </c>
      <c r="E326" s="1" t="s">
        <v>225</v>
      </c>
      <c r="F326" s="1" t="s">
        <v>226</v>
      </c>
      <c r="G326" s="1" t="s">
        <v>793</v>
      </c>
      <c r="H326" s="1" t="s">
        <v>794</v>
      </c>
      <c r="I326" s="1" t="s">
        <v>224</v>
      </c>
      <c r="J326" s="1" t="s">
        <v>229</v>
      </c>
      <c r="K326" s="1" t="s">
        <v>118</v>
      </c>
      <c r="L326" s="1" t="s">
        <v>103</v>
      </c>
      <c r="M326" s="20">
        <v>771240</v>
      </c>
      <c r="P326" s="20">
        <v>392400</v>
      </c>
      <c r="Q326" s="20">
        <v>1512360</v>
      </c>
      <c r="R326" s="20">
        <v>5515632</v>
      </c>
      <c r="AB326" s="20">
        <v>8191632</v>
      </c>
      <c r="AC326" s="20">
        <v>1234752</v>
      </c>
      <c r="AF326" s="20">
        <v>523200</v>
      </c>
      <c r="AG326" s="20">
        <v>2458800</v>
      </c>
      <c r="AH326" s="20">
        <v>6338232</v>
      </c>
      <c r="AR326" s="20">
        <v>10554984</v>
      </c>
      <c r="AS326" s="20">
        <v>1285680</v>
      </c>
      <c r="AT326" s="20">
        <v>576000</v>
      </c>
      <c r="AV326" s="20">
        <v>392384</v>
      </c>
      <c r="AW326" s="20">
        <v>1338480</v>
      </c>
      <c r="AX326" s="20">
        <v>6634200</v>
      </c>
      <c r="BH326" s="28">
        <v>10226744</v>
      </c>
      <c r="BI326" s="28">
        <v>28973360</v>
      </c>
    </row>
    <row r="327" spans="1:61" hidden="1" x14ac:dyDescent="0.3">
      <c r="A327" s="1" t="s">
        <v>739</v>
      </c>
      <c r="B327" s="1" t="s">
        <v>224</v>
      </c>
      <c r="C327" s="1" t="s">
        <v>225</v>
      </c>
      <c r="D327" s="1" t="s">
        <v>226</v>
      </c>
      <c r="E327" s="1" t="s">
        <v>225</v>
      </c>
      <c r="F327" s="1" t="s">
        <v>226</v>
      </c>
      <c r="G327" s="1" t="s">
        <v>795</v>
      </c>
      <c r="H327" s="1" t="s">
        <v>796</v>
      </c>
      <c r="I327" s="1" t="s">
        <v>224</v>
      </c>
      <c r="J327" s="1" t="s">
        <v>229</v>
      </c>
      <c r="K327" s="1" t="s">
        <v>118</v>
      </c>
      <c r="L327" s="1" t="s">
        <v>103</v>
      </c>
      <c r="M327" s="20">
        <v>112200</v>
      </c>
      <c r="Q327" s="20">
        <v>1865880</v>
      </c>
      <c r="R327" s="20">
        <v>3606816</v>
      </c>
      <c r="AB327" s="20">
        <v>5584896</v>
      </c>
      <c r="AC327" s="20">
        <v>308460</v>
      </c>
      <c r="AF327" s="20">
        <v>261600</v>
      </c>
      <c r="AG327" s="20">
        <v>1775520</v>
      </c>
      <c r="AH327" s="20">
        <v>2295216</v>
      </c>
      <c r="AR327" s="20">
        <v>4640796</v>
      </c>
      <c r="AT327" s="20">
        <v>144000</v>
      </c>
      <c r="AV327" s="20">
        <v>98096</v>
      </c>
      <c r="AW327" s="20">
        <v>1626840</v>
      </c>
      <c r="AX327" s="20">
        <v>3229200</v>
      </c>
      <c r="BH327" s="28">
        <v>5098136</v>
      </c>
      <c r="BI327" s="28">
        <v>15323828</v>
      </c>
    </row>
    <row r="328" spans="1:61" hidden="1" x14ac:dyDescent="0.3">
      <c r="A328" s="1" t="s">
        <v>739</v>
      </c>
      <c r="B328" s="1" t="s">
        <v>224</v>
      </c>
      <c r="C328" s="1" t="s">
        <v>225</v>
      </c>
      <c r="D328" s="1" t="s">
        <v>226</v>
      </c>
      <c r="E328" s="1" t="s">
        <v>225</v>
      </c>
      <c r="F328" s="1" t="s">
        <v>226</v>
      </c>
      <c r="G328" s="1" t="s">
        <v>797</v>
      </c>
      <c r="H328" s="1" t="s">
        <v>798</v>
      </c>
      <c r="I328" s="1" t="s">
        <v>224</v>
      </c>
      <c r="J328" s="1" t="s">
        <v>229</v>
      </c>
      <c r="K328" s="1" t="s">
        <v>118</v>
      </c>
      <c r="L328" s="1" t="s">
        <v>103</v>
      </c>
      <c r="M328" s="20">
        <v>330900</v>
      </c>
      <c r="P328" s="20">
        <v>130800</v>
      </c>
      <c r="Q328" s="20">
        <v>2098800</v>
      </c>
      <c r="R328" s="20">
        <v>2398800</v>
      </c>
      <c r="AB328" s="20">
        <v>4959300</v>
      </c>
      <c r="AC328" s="20">
        <v>420660</v>
      </c>
      <c r="AG328" s="20">
        <v>877680</v>
      </c>
      <c r="AH328" s="20">
        <v>1871016</v>
      </c>
      <c r="AR328" s="20">
        <v>3169356</v>
      </c>
      <c r="AS328" s="20">
        <v>218700</v>
      </c>
      <c r="AT328" s="20">
        <v>288000</v>
      </c>
      <c r="AV328" s="20">
        <v>326992</v>
      </c>
      <c r="AW328" s="20">
        <v>1297440</v>
      </c>
      <c r="AX328" s="20">
        <v>1432800</v>
      </c>
      <c r="BH328" s="28">
        <v>3563932</v>
      </c>
      <c r="BI328" s="28">
        <v>11692588</v>
      </c>
    </row>
    <row r="329" spans="1:61" hidden="1" x14ac:dyDescent="0.3">
      <c r="A329" s="1" t="s">
        <v>739</v>
      </c>
      <c r="B329" s="1" t="s">
        <v>224</v>
      </c>
      <c r="C329" s="1" t="s">
        <v>225</v>
      </c>
      <c r="D329" s="1" t="s">
        <v>226</v>
      </c>
      <c r="E329" s="1" t="s">
        <v>225</v>
      </c>
      <c r="F329" s="1" t="s">
        <v>226</v>
      </c>
      <c r="G329" s="1" t="s">
        <v>799</v>
      </c>
      <c r="H329" s="1" t="s">
        <v>800</v>
      </c>
      <c r="I329" s="1" t="s">
        <v>224</v>
      </c>
      <c r="J329" s="1" t="s">
        <v>229</v>
      </c>
      <c r="K329" s="1" t="s">
        <v>118</v>
      </c>
      <c r="L329" s="1" t="s">
        <v>103</v>
      </c>
      <c r="M329" s="20">
        <v>1104540</v>
      </c>
      <c r="Q329" s="20">
        <v>1221120</v>
      </c>
      <c r="R329" s="20">
        <v>2855616</v>
      </c>
      <c r="AB329" s="20">
        <v>5181276</v>
      </c>
      <c r="AC329" s="20">
        <v>1547388</v>
      </c>
      <c r="AF329" s="20">
        <v>130800</v>
      </c>
      <c r="AG329" s="20">
        <v>1259280</v>
      </c>
      <c r="AH329" s="20">
        <v>2061600</v>
      </c>
      <c r="AR329" s="20">
        <v>4999068</v>
      </c>
      <c r="AS329" s="20">
        <v>647700</v>
      </c>
      <c r="AT329" s="20">
        <v>144000</v>
      </c>
      <c r="AV329" s="20">
        <v>130800</v>
      </c>
      <c r="AW329" s="20">
        <v>1640880</v>
      </c>
      <c r="AX329" s="20">
        <v>2061600</v>
      </c>
      <c r="BH329" s="28">
        <v>4624980</v>
      </c>
      <c r="BI329" s="28">
        <v>14805324</v>
      </c>
    </row>
    <row r="330" spans="1:61" hidden="1" x14ac:dyDescent="0.3">
      <c r="A330" s="1" t="s">
        <v>739</v>
      </c>
      <c r="B330" s="1" t="s">
        <v>224</v>
      </c>
      <c r="C330" s="1" t="s">
        <v>225</v>
      </c>
      <c r="D330" s="1" t="s">
        <v>226</v>
      </c>
      <c r="E330" s="1" t="s">
        <v>225</v>
      </c>
      <c r="F330" s="1" t="s">
        <v>226</v>
      </c>
      <c r="G330" s="1" t="s">
        <v>801</v>
      </c>
      <c r="H330" s="1" t="s">
        <v>802</v>
      </c>
      <c r="I330" s="1" t="s">
        <v>224</v>
      </c>
      <c r="J330" s="1" t="s">
        <v>229</v>
      </c>
      <c r="K330" s="1" t="s">
        <v>118</v>
      </c>
      <c r="L330" s="1" t="s">
        <v>103</v>
      </c>
      <c r="M330" s="20">
        <v>85200</v>
      </c>
      <c r="P330" s="20">
        <v>130800</v>
      </c>
      <c r="Q330" s="20">
        <v>2924280</v>
      </c>
      <c r="R330" s="20">
        <v>1160016</v>
      </c>
      <c r="AB330" s="20">
        <v>4300296</v>
      </c>
      <c r="AC330" s="20">
        <v>286020</v>
      </c>
      <c r="AG330" s="20">
        <v>1935360</v>
      </c>
      <c r="AH330" s="20">
        <v>2322600</v>
      </c>
      <c r="AR330" s="20">
        <v>4543980</v>
      </c>
      <c r="AV330" s="20">
        <v>98096</v>
      </c>
      <c r="AW330" s="20">
        <v>2299680</v>
      </c>
      <c r="AX330" s="20">
        <v>1708200</v>
      </c>
      <c r="BH330" s="28">
        <v>4105976</v>
      </c>
      <c r="BI330" s="28">
        <v>12950252</v>
      </c>
    </row>
    <row r="331" spans="1:61" hidden="1" x14ac:dyDescent="0.3">
      <c r="A331" s="1" t="s">
        <v>739</v>
      </c>
      <c r="B331" s="1" t="s">
        <v>224</v>
      </c>
      <c r="C331" s="1" t="s">
        <v>225</v>
      </c>
      <c r="D331" s="1" t="s">
        <v>226</v>
      </c>
      <c r="E331" s="1" t="s">
        <v>225</v>
      </c>
      <c r="F331" s="1" t="s">
        <v>226</v>
      </c>
      <c r="G331" s="1" t="s">
        <v>803</v>
      </c>
      <c r="H331" s="1" t="s">
        <v>804</v>
      </c>
      <c r="I331" s="1" t="s">
        <v>224</v>
      </c>
      <c r="J331" s="1" t="s">
        <v>229</v>
      </c>
      <c r="K331" s="1" t="s">
        <v>118</v>
      </c>
      <c r="L331" s="1" t="s">
        <v>103</v>
      </c>
      <c r="M331" s="20">
        <v>1051050</v>
      </c>
      <c r="P331" s="20">
        <v>261600</v>
      </c>
      <c r="Q331" s="20">
        <v>2514600</v>
      </c>
      <c r="R331" s="20">
        <v>3161616</v>
      </c>
      <c r="AB331" s="20">
        <v>6988866</v>
      </c>
      <c r="AC331" s="20">
        <v>806616</v>
      </c>
      <c r="AG331" s="20">
        <v>2077200</v>
      </c>
      <c r="AH331" s="20">
        <v>2330616</v>
      </c>
      <c r="AR331" s="20">
        <v>5214432</v>
      </c>
      <c r="AS331" s="20">
        <v>670596</v>
      </c>
      <c r="AT331" s="20">
        <v>144000</v>
      </c>
      <c r="AV331" s="20">
        <v>196192</v>
      </c>
      <c r="AW331" s="20">
        <v>1474200</v>
      </c>
      <c r="AX331" s="20">
        <v>2695200</v>
      </c>
      <c r="BH331" s="28">
        <v>5180188</v>
      </c>
      <c r="BI331" s="28">
        <v>17383486</v>
      </c>
    </row>
    <row r="332" spans="1:61" hidden="1" x14ac:dyDescent="0.3">
      <c r="A332" s="1" t="s">
        <v>739</v>
      </c>
      <c r="B332" s="1" t="s">
        <v>224</v>
      </c>
      <c r="C332" s="1" t="s">
        <v>225</v>
      </c>
      <c r="D332" s="1" t="s">
        <v>226</v>
      </c>
      <c r="E332" s="1" t="s">
        <v>225</v>
      </c>
      <c r="F332" s="1" t="s">
        <v>226</v>
      </c>
      <c r="G332" s="1" t="s">
        <v>805</v>
      </c>
      <c r="H332" s="1" t="s">
        <v>806</v>
      </c>
      <c r="I332" s="1" t="s">
        <v>224</v>
      </c>
      <c r="J332" s="1" t="s">
        <v>229</v>
      </c>
      <c r="K332" s="1" t="s">
        <v>118</v>
      </c>
      <c r="L332" s="1" t="s">
        <v>103</v>
      </c>
      <c r="M332" s="20">
        <v>224400</v>
      </c>
      <c r="Q332" s="20">
        <v>2275560</v>
      </c>
      <c r="R332" s="20">
        <v>2684400</v>
      </c>
      <c r="AB332" s="20">
        <v>5184360</v>
      </c>
      <c r="AF332" s="20">
        <v>261600</v>
      </c>
      <c r="AG332" s="20">
        <v>3387960</v>
      </c>
      <c r="AH332" s="20">
        <v>4493016</v>
      </c>
      <c r="AR332" s="20">
        <v>8142576</v>
      </c>
      <c r="AS332" s="20">
        <v>218700</v>
      </c>
      <c r="AT332" s="20">
        <v>576000</v>
      </c>
      <c r="AV332" s="20">
        <v>196192</v>
      </c>
      <c r="AW332" s="20">
        <v>1588680</v>
      </c>
      <c r="AX332" s="20">
        <v>2459400</v>
      </c>
      <c r="BH332" s="28">
        <v>5038972</v>
      </c>
      <c r="BI332" s="28">
        <v>18365908</v>
      </c>
    </row>
    <row r="333" spans="1:61" hidden="1" x14ac:dyDescent="0.3">
      <c r="A333" s="1" t="s">
        <v>739</v>
      </c>
      <c r="B333" s="1" t="s">
        <v>224</v>
      </c>
      <c r="C333" s="1" t="s">
        <v>225</v>
      </c>
      <c r="D333" s="1" t="s">
        <v>226</v>
      </c>
      <c r="E333" s="1" t="s">
        <v>225</v>
      </c>
      <c r="F333" s="1" t="s">
        <v>226</v>
      </c>
      <c r="G333" s="1" t="s">
        <v>807</v>
      </c>
      <c r="H333" s="1" t="s">
        <v>808</v>
      </c>
      <c r="I333" s="1" t="s">
        <v>224</v>
      </c>
      <c r="J333" s="1" t="s">
        <v>229</v>
      </c>
      <c r="K333" s="1" t="s">
        <v>118</v>
      </c>
      <c r="L333" s="1" t="s">
        <v>103</v>
      </c>
      <c r="Q333" s="20">
        <v>2361960</v>
      </c>
      <c r="R333" s="20">
        <v>1438416</v>
      </c>
      <c r="AB333" s="20">
        <v>3800376</v>
      </c>
      <c r="AG333" s="20">
        <v>1935360</v>
      </c>
      <c r="AH333" s="20">
        <v>1532400</v>
      </c>
      <c r="AR333" s="20">
        <v>3467760</v>
      </c>
      <c r="AT333" s="20">
        <v>144000</v>
      </c>
      <c r="AW333" s="20">
        <v>1436040</v>
      </c>
      <c r="AX333" s="20">
        <v>1888200</v>
      </c>
      <c r="BH333" s="28">
        <v>3468240</v>
      </c>
      <c r="BI333" s="28">
        <v>10736376</v>
      </c>
    </row>
    <row r="334" spans="1:61" hidden="1" x14ac:dyDescent="0.3">
      <c r="A334" s="1" t="s">
        <v>739</v>
      </c>
      <c r="B334" s="1" t="s">
        <v>224</v>
      </c>
      <c r="C334" s="1" t="s">
        <v>225</v>
      </c>
      <c r="D334" s="1" t="s">
        <v>226</v>
      </c>
      <c r="E334" s="1" t="s">
        <v>225</v>
      </c>
      <c r="F334" s="1" t="s">
        <v>226</v>
      </c>
      <c r="G334" s="1" t="s">
        <v>809</v>
      </c>
      <c r="H334" s="1" t="s">
        <v>810</v>
      </c>
      <c r="I334" s="1" t="s">
        <v>224</v>
      </c>
      <c r="J334" s="1" t="s">
        <v>229</v>
      </c>
      <c r="K334" s="1" t="s">
        <v>118</v>
      </c>
      <c r="L334" s="1" t="s">
        <v>103</v>
      </c>
      <c r="Q334" s="20">
        <v>1536480</v>
      </c>
      <c r="R334" s="20">
        <v>2590416</v>
      </c>
      <c r="AB334" s="20">
        <v>4126896</v>
      </c>
      <c r="AG334" s="20">
        <v>897840</v>
      </c>
      <c r="AH334" s="20">
        <v>1774800</v>
      </c>
      <c r="AR334" s="20">
        <v>2672640</v>
      </c>
      <c r="AW334" s="20">
        <v>648720</v>
      </c>
      <c r="AX334" s="20">
        <v>2364600</v>
      </c>
      <c r="BH334" s="28">
        <v>3013320</v>
      </c>
      <c r="BI334" s="28">
        <v>9812856</v>
      </c>
    </row>
    <row r="335" spans="1:61" hidden="1" x14ac:dyDescent="0.3">
      <c r="A335" s="1" t="s">
        <v>739</v>
      </c>
      <c r="B335" s="1" t="s">
        <v>224</v>
      </c>
      <c r="C335" s="1" t="s">
        <v>225</v>
      </c>
      <c r="D335" s="1" t="s">
        <v>226</v>
      </c>
      <c r="E335" s="1" t="s">
        <v>225</v>
      </c>
      <c r="F335" s="1" t="s">
        <v>226</v>
      </c>
      <c r="G335" s="1" t="s">
        <v>811</v>
      </c>
      <c r="H335" s="1" t="s">
        <v>812</v>
      </c>
      <c r="I335" s="1" t="s">
        <v>224</v>
      </c>
      <c r="J335" s="1" t="s">
        <v>229</v>
      </c>
      <c r="K335" s="1" t="s">
        <v>118</v>
      </c>
      <c r="L335" s="1" t="s">
        <v>103</v>
      </c>
      <c r="M335" s="20">
        <v>2218350</v>
      </c>
      <c r="P335" s="20">
        <v>261600</v>
      </c>
      <c r="Q335" s="20">
        <v>1450080</v>
      </c>
      <c r="R335" s="20">
        <v>3726816</v>
      </c>
      <c r="AB335" s="20">
        <v>7656846</v>
      </c>
      <c r="AC335" s="20">
        <v>1991808</v>
      </c>
      <c r="AF335" s="20">
        <v>130800</v>
      </c>
      <c r="AG335" s="20">
        <v>1755360</v>
      </c>
      <c r="AH335" s="20">
        <v>5237016</v>
      </c>
      <c r="AR335" s="20">
        <v>9114984</v>
      </c>
      <c r="AS335" s="20">
        <v>1122096</v>
      </c>
      <c r="AT335" s="20">
        <v>144000</v>
      </c>
      <c r="AV335" s="20">
        <v>294288</v>
      </c>
      <c r="AW335" s="20">
        <v>1297440</v>
      </c>
      <c r="AX335" s="20">
        <v>4022400</v>
      </c>
      <c r="BH335" s="28">
        <v>6880224</v>
      </c>
      <c r="BI335" s="28">
        <v>23652054</v>
      </c>
    </row>
    <row r="336" spans="1:61" hidden="1" x14ac:dyDescent="0.3">
      <c r="A336" s="1" t="s">
        <v>739</v>
      </c>
      <c r="B336" s="1" t="s">
        <v>224</v>
      </c>
      <c r="C336" s="1" t="s">
        <v>225</v>
      </c>
      <c r="D336" s="1" t="s">
        <v>226</v>
      </c>
      <c r="E336" s="1" t="s">
        <v>225</v>
      </c>
      <c r="F336" s="1" t="s">
        <v>226</v>
      </c>
      <c r="G336" s="1" t="s">
        <v>813</v>
      </c>
      <c r="H336" s="1" t="s">
        <v>814</v>
      </c>
      <c r="I336" s="1" t="s">
        <v>224</v>
      </c>
      <c r="J336" s="1" t="s">
        <v>229</v>
      </c>
      <c r="K336" s="1" t="s">
        <v>118</v>
      </c>
      <c r="L336" s="1" t="s">
        <v>103</v>
      </c>
      <c r="M336" s="20">
        <v>224400</v>
      </c>
      <c r="P336" s="20">
        <v>261600</v>
      </c>
      <c r="Q336" s="20">
        <v>2122920</v>
      </c>
      <c r="R336" s="20">
        <v>1562016</v>
      </c>
      <c r="AB336" s="20">
        <v>4170936</v>
      </c>
      <c r="AC336" s="20">
        <v>399360</v>
      </c>
      <c r="AF336" s="20">
        <v>392400</v>
      </c>
      <c r="AG336" s="20">
        <v>1828080</v>
      </c>
      <c r="AH336" s="20">
        <v>2510400</v>
      </c>
      <c r="AR336" s="20">
        <v>5130240</v>
      </c>
      <c r="AS336" s="20">
        <v>224400</v>
      </c>
      <c r="AT336" s="20">
        <v>576000</v>
      </c>
      <c r="AV336" s="20">
        <v>523184</v>
      </c>
      <c r="AW336" s="20">
        <v>1737720</v>
      </c>
      <c r="AX336" s="20">
        <v>1911000</v>
      </c>
      <c r="BH336" s="28">
        <v>4972304</v>
      </c>
      <c r="BI336" s="28">
        <v>14273480</v>
      </c>
    </row>
    <row r="337" spans="1:61" hidden="1" x14ac:dyDescent="0.3">
      <c r="A337" s="1" t="s">
        <v>739</v>
      </c>
      <c r="B337" s="1" t="s">
        <v>224</v>
      </c>
      <c r="C337" s="1" t="s">
        <v>225</v>
      </c>
      <c r="D337" s="1" t="s">
        <v>226</v>
      </c>
      <c r="E337" s="1" t="s">
        <v>225</v>
      </c>
      <c r="F337" s="1" t="s">
        <v>226</v>
      </c>
      <c r="G337" s="1" t="s">
        <v>815</v>
      </c>
      <c r="H337" s="1" t="s">
        <v>816</v>
      </c>
      <c r="I337" s="1" t="s">
        <v>224</v>
      </c>
      <c r="J337" s="1" t="s">
        <v>229</v>
      </c>
      <c r="K337" s="1" t="s">
        <v>118</v>
      </c>
      <c r="L337" s="1" t="s">
        <v>103</v>
      </c>
      <c r="M337" s="20">
        <v>179520</v>
      </c>
      <c r="P337" s="20">
        <v>392400</v>
      </c>
      <c r="Q337" s="20">
        <v>1259280</v>
      </c>
      <c r="R337" s="20">
        <v>1485600</v>
      </c>
      <c r="AB337" s="20">
        <v>3316800</v>
      </c>
      <c r="AC337" s="20">
        <v>448800</v>
      </c>
      <c r="AG337" s="20">
        <v>877680</v>
      </c>
      <c r="AH337" s="20">
        <v>3585000</v>
      </c>
      <c r="AR337" s="20">
        <v>4911480</v>
      </c>
      <c r="AT337" s="20">
        <v>144000</v>
      </c>
      <c r="AV337" s="20">
        <v>98096</v>
      </c>
      <c r="AW337" s="20">
        <v>839520</v>
      </c>
      <c r="AX337" s="20">
        <v>2459400</v>
      </c>
      <c r="BH337" s="28">
        <v>3541016</v>
      </c>
      <c r="BI337" s="28">
        <v>11769296</v>
      </c>
    </row>
    <row r="338" spans="1:61" hidden="1" x14ac:dyDescent="0.3">
      <c r="A338" s="1" t="s">
        <v>739</v>
      </c>
      <c r="B338" s="1" t="s">
        <v>224</v>
      </c>
      <c r="C338" s="1" t="s">
        <v>225</v>
      </c>
      <c r="D338" s="1" t="s">
        <v>226</v>
      </c>
      <c r="E338" s="1" t="s">
        <v>225</v>
      </c>
      <c r="F338" s="1" t="s">
        <v>226</v>
      </c>
      <c r="G338" s="1" t="s">
        <v>817</v>
      </c>
      <c r="H338" s="1" t="s">
        <v>818</v>
      </c>
      <c r="I338" s="1" t="s">
        <v>224</v>
      </c>
      <c r="J338" s="1" t="s">
        <v>229</v>
      </c>
      <c r="K338" s="1" t="s">
        <v>118</v>
      </c>
      <c r="L338" s="1" t="s">
        <v>103</v>
      </c>
      <c r="M338" s="20">
        <v>201960</v>
      </c>
      <c r="P338" s="20">
        <v>130800</v>
      </c>
      <c r="Q338" s="20">
        <v>1297440</v>
      </c>
      <c r="R338" s="20">
        <v>5020416</v>
      </c>
      <c r="AB338" s="20">
        <v>6650616</v>
      </c>
      <c r="AC338" s="20">
        <v>291720</v>
      </c>
      <c r="AF338" s="20">
        <v>130800</v>
      </c>
      <c r="AG338" s="20">
        <v>1640880</v>
      </c>
      <c r="AH338" s="20">
        <v>6508632</v>
      </c>
      <c r="AR338" s="20">
        <v>8572032</v>
      </c>
      <c r="AS338" s="20">
        <v>112200</v>
      </c>
      <c r="AT338" s="20">
        <v>288000</v>
      </c>
      <c r="AV338" s="20">
        <v>326992</v>
      </c>
      <c r="AW338" s="20">
        <v>1335600</v>
      </c>
      <c r="AX338" s="20">
        <v>6550800</v>
      </c>
      <c r="BH338" s="28">
        <v>8613592</v>
      </c>
      <c r="BI338" s="28">
        <v>23836240</v>
      </c>
    </row>
    <row r="339" spans="1:61" hidden="1" x14ac:dyDescent="0.3">
      <c r="A339" s="1" t="s">
        <v>739</v>
      </c>
      <c r="B339" s="1" t="s">
        <v>224</v>
      </c>
      <c r="C339" s="1" t="s">
        <v>225</v>
      </c>
      <c r="D339" s="1" t="s">
        <v>226</v>
      </c>
      <c r="E339" s="1" t="s">
        <v>225</v>
      </c>
      <c r="F339" s="1" t="s">
        <v>226</v>
      </c>
      <c r="G339" s="1" t="s">
        <v>819</v>
      </c>
      <c r="H339" s="1" t="s">
        <v>820</v>
      </c>
      <c r="I339" s="1" t="s">
        <v>224</v>
      </c>
      <c r="J339" s="1" t="s">
        <v>229</v>
      </c>
      <c r="K339" s="1" t="s">
        <v>118</v>
      </c>
      <c r="L339" s="1" t="s">
        <v>103</v>
      </c>
      <c r="M339" s="20">
        <v>112200</v>
      </c>
      <c r="P339" s="20">
        <v>130800</v>
      </c>
      <c r="Q339" s="20">
        <v>1588680</v>
      </c>
      <c r="R339" s="20">
        <v>3155616</v>
      </c>
      <c r="AB339" s="20">
        <v>4987296</v>
      </c>
      <c r="AC339" s="20">
        <v>112200</v>
      </c>
      <c r="AF339" s="20">
        <v>130800</v>
      </c>
      <c r="AG339" s="20">
        <v>1890360</v>
      </c>
      <c r="AH339" s="20">
        <v>3061800</v>
      </c>
      <c r="AR339" s="20">
        <v>5195160</v>
      </c>
      <c r="AS339" s="20">
        <v>330900</v>
      </c>
      <c r="AW339" s="20">
        <v>2175120</v>
      </c>
      <c r="AX339" s="20">
        <v>3483000</v>
      </c>
      <c r="BH339" s="28">
        <v>5989020</v>
      </c>
      <c r="BI339" s="28">
        <v>16171476</v>
      </c>
    </row>
    <row r="340" spans="1:61" hidden="1" x14ac:dyDescent="0.3">
      <c r="A340" s="1" t="s">
        <v>739</v>
      </c>
      <c r="B340" s="1" t="s">
        <v>224</v>
      </c>
      <c r="C340" s="1" t="s">
        <v>225</v>
      </c>
      <c r="D340" s="1" t="s">
        <v>226</v>
      </c>
      <c r="E340" s="1" t="s">
        <v>225</v>
      </c>
      <c r="F340" s="1" t="s">
        <v>226</v>
      </c>
      <c r="G340" s="1" t="s">
        <v>821</v>
      </c>
      <c r="H340" s="1" t="s">
        <v>822</v>
      </c>
      <c r="I340" s="1" t="s">
        <v>224</v>
      </c>
      <c r="J340" s="1" t="s">
        <v>229</v>
      </c>
      <c r="K340" s="1" t="s">
        <v>118</v>
      </c>
      <c r="L340" s="1" t="s">
        <v>103</v>
      </c>
      <c r="M340" s="20">
        <v>303900</v>
      </c>
      <c r="P340" s="20">
        <v>261600</v>
      </c>
      <c r="Q340" s="20">
        <v>2400120</v>
      </c>
      <c r="R340" s="20">
        <v>2981616</v>
      </c>
      <c r="AB340" s="20">
        <v>5947236</v>
      </c>
      <c r="AC340" s="20">
        <v>393660</v>
      </c>
      <c r="AG340" s="20">
        <v>1782720</v>
      </c>
      <c r="AH340" s="20">
        <v>3268416</v>
      </c>
      <c r="AR340" s="20">
        <v>5444796</v>
      </c>
      <c r="AS340" s="20">
        <v>437400</v>
      </c>
      <c r="AT340" s="20">
        <v>432000</v>
      </c>
      <c r="AW340" s="20">
        <v>2209320</v>
      </c>
      <c r="AX340" s="20">
        <v>2411400</v>
      </c>
      <c r="BH340" s="28">
        <v>5490120</v>
      </c>
      <c r="BI340" s="28">
        <v>16882152</v>
      </c>
    </row>
    <row r="341" spans="1:61" hidden="1" x14ac:dyDescent="0.3">
      <c r="A341" s="1" t="s">
        <v>739</v>
      </c>
      <c r="B341" s="1" t="s">
        <v>224</v>
      </c>
      <c r="C341" s="1" t="s">
        <v>225</v>
      </c>
      <c r="D341" s="1" t="s">
        <v>226</v>
      </c>
      <c r="E341" s="1" t="s">
        <v>225</v>
      </c>
      <c r="F341" s="1" t="s">
        <v>226</v>
      </c>
      <c r="G341" s="1" t="s">
        <v>823</v>
      </c>
      <c r="H341" s="1" t="s">
        <v>824</v>
      </c>
      <c r="I341" s="1" t="s">
        <v>224</v>
      </c>
      <c r="J341" s="1" t="s">
        <v>229</v>
      </c>
      <c r="K341" s="1" t="s">
        <v>118</v>
      </c>
      <c r="L341" s="1" t="s">
        <v>103</v>
      </c>
      <c r="P341" s="20">
        <v>261600</v>
      </c>
      <c r="Q341" s="20">
        <v>1411920</v>
      </c>
      <c r="R341" s="20">
        <v>1933200</v>
      </c>
      <c r="AB341" s="20">
        <v>3606720</v>
      </c>
      <c r="AC341" s="20">
        <v>287160</v>
      </c>
      <c r="AF341" s="20">
        <v>130800</v>
      </c>
      <c r="AG341" s="20">
        <v>1755360</v>
      </c>
      <c r="AH341" s="20">
        <v>2237616</v>
      </c>
      <c r="AR341" s="20">
        <v>4410936</v>
      </c>
      <c r="AS341" s="20">
        <v>112200</v>
      </c>
      <c r="AT341" s="20">
        <v>144000</v>
      </c>
      <c r="AV341" s="20">
        <v>98096</v>
      </c>
      <c r="AW341" s="20">
        <v>1679040</v>
      </c>
      <c r="AX341" s="20">
        <v>1327200</v>
      </c>
      <c r="BH341" s="28">
        <v>3360536</v>
      </c>
      <c r="BI341" s="28">
        <v>11378192</v>
      </c>
    </row>
    <row r="342" spans="1:61" hidden="1" x14ac:dyDescent="0.3">
      <c r="A342" s="1" t="s">
        <v>739</v>
      </c>
      <c r="B342" s="1" t="s">
        <v>224</v>
      </c>
      <c r="C342" s="1" t="s">
        <v>225</v>
      </c>
      <c r="D342" s="1" t="s">
        <v>226</v>
      </c>
      <c r="E342" s="1" t="s">
        <v>225</v>
      </c>
      <c r="F342" s="1" t="s">
        <v>226</v>
      </c>
      <c r="G342" s="1" t="s">
        <v>825</v>
      </c>
      <c r="H342" s="1" t="s">
        <v>826</v>
      </c>
      <c r="I342" s="1" t="s">
        <v>224</v>
      </c>
      <c r="J342" s="1" t="s">
        <v>229</v>
      </c>
      <c r="K342" s="1" t="s">
        <v>118</v>
      </c>
      <c r="L342" s="1" t="s">
        <v>103</v>
      </c>
      <c r="M342" s="20">
        <v>309600</v>
      </c>
      <c r="Q342" s="20">
        <v>2313720</v>
      </c>
      <c r="R342" s="20">
        <v>2995632</v>
      </c>
      <c r="AB342" s="20">
        <v>5618952</v>
      </c>
      <c r="AC342" s="20">
        <v>287160</v>
      </c>
      <c r="AG342" s="20">
        <v>2611440</v>
      </c>
      <c r="AH342" s="20">
        <v>3366000</v>
      </c>
      <c r="AR342" s="20">
        <v>6264600</v>
      </c>
      <c r="AS342" s="20">
        <v>330900</v>
      </c>
      <c r="AT342" s="20">
        <v>144000</v>
      </c>
      <c r="AW342" s="20">
        <v>2528640</v>
      </c>
      <c r="AX342" s="20">
        <v>4918200</v>
      </c>
      <c r="BH342" s="28">
        <v>7921740</v>
      </c>
      <c r="BI342" s="28">
        <v>19805292</v>
      </c>
    </row>
    <row r="343" spans="1:61" hidden="1" x14ac:dyDescent="0.3">
      <c r="A343" s="1" t="s">
        <v>739</v>
      </c>
      <c r="B343" s="1" t="s">
        <v>224</v>
      </c>
      <c r="C343" s="1" t="s">
        <v>225</v>
      </c>
      <c r="D343" s="1" t="s">
        <v>226</v>
      </c>
      <c r="E343" s="1" t="s">
        <v>225</v>
      </c>
      <c r="F343" s="1" t="s">
        <v>226</v>
      </c>
      <c r="G343" s="1" t="s">
        <v>827</v>
      </c>
      <c r="H343" s="1" t="s">
        <v>828</v>
      </c>
      <c r="I343" s="1" t="s">
        <v>224</v>
      </c>
      <c r="J343" s="1" t="s">
        <v>229</v>
      </c>
      <c r="K343" s="1" t="s">
        <v>118</v>
      </c>
      <c r="L343" s="1" t="s">
        <v>103</v>
      </c>
      <c r="M343" s="20">
        <v>794160</v>
      </c>
      <c r="P343" s="20">
        <v>392400</v>
      </c>
      <c r="Q343" s="20">
        <v>1602720</v>
      </c>
      <c r="R343" s="20">
        <v>2597616</v>
      </c>
      <c r="AB343" s="20">
        <v>5386896</v>
      </c>
      <c r="AC343" s="20">
        <v>403920</v>
      </c>
      <c r="AG343" s="20">
        <v>1259280</v>
      </c>
      <c r="AH343" s="20">
        <v>3110016</v>
      </c>
      <c r="AR343" s="20">
        <v>4773216</v>
      </c>
      <c r="AS343" s="20">
        <v>330900</v>
      </c>
      <c r="AT343" s="20">
        <v>576000</v>
      </c>
      <c r="AV343" s="20">
        <v>752080</v>
      </c>
      <c r="AW343" s="20">
        <v>1411920</v>
      </c>
      <c r="AX343" s="20">
        <v>2051400</v>
      </c>
      <c r="BH343" s="28">
        <v>5122300</v>
      </c>
      <c r="BI343" s="28">
        <v>15282412</v>
      </c>
    </row>
    <row r="344" spans="1:61" hidden="1" x14ac:dyDescent="0.3">
      <c r="A344" s="1" t="s">
        <v>739</v>
      </c>
      <c r="B344" s="1" t="s">
        <v>224</v>
      </c>
      <c r="C344" s="1" t="s">
        <v>225</v>
      </c>
      <c r="D344" s="1" t="s">
        <v>226</v>
      </c>
      <c r="E344" s="1" t="s">
        <v>225</v>
      </c>
      <c r="F344" s="1" t="s">
        <v>226</v>
      </c>
      <c r="G344" s="1" t="s">
        <v>829</v>
      </c>
      <c r="H344" s="1" t="s">
        <v>830</v>
      </c>
      <c r="I344" s="1" t="s">
        <v>224</v>
      </c>
      <c r="J344" s="1" t="s">
        <v>229</v>
      </c>
      <c r="K344" s="1" t="s">
        <v>118</v>
      </c>
      <c r="L344" s="1" t="s">
        <v>103</v>
      </c>
      <c r="M344" s="20">
        <v>224400</v>
      </c>
      <c r="Q344" s="20">
        <v>877680</v>
      </c>
      <c r="R344" s="20">
        <v>1012800</v>
      </c>
      <c r="AB344" s="20">
        <v>2114880</v>
      </c>
      <c r="AC344" s="20">
        <v>106500</v>
      </c>
      <c r="AG344" s="20">
        <v>301680</v>
      </c>
      <c r="AH344" s="20">
        <v>1552800</v>
      </c>
      <c r="AR344" s="20">
        <v>1960980</v>
      </c>
      <c r="AT344" s="20">
        <v>288000</v>
      </c>
      <c r="AW344" s="20">
        <v>825480</v>
      </c>
      <c r="AX344" s="20">
        <v>919200</v>
      </c>
      <c r="BH344" s="28">
        <v>2032680</v>
      </c>
      <c r="BI344" s="28">
        <v>6108540</v>
      </c>
    </row>
    <row r="345" spans="1:61" hidden="1" x14ac:dyDescent="0.3">
      <c r="A345" s="1" t="s">
        <v>739</v>
      </c>
      <c r="B345" s="1" t="s">
        <v>224</v>
      </c>
      <c r="C345" s="1" t="s">
        <v>225</v>
      </c>
      <c r="D345" s="1" t="s">
        <v>226</v>
      </c>
      <c r="E345" s="1" t="s">
        <v>225</v>
      </c>
      <c r="F345" s="1" t="s">
        <v>226</v>
      </c>
      <c r="G345" s="1" t="s">
        <v>831</v>
      </c>
      <c r="H345" s="1" t="s">
        <v>832</v>
      </c>
      <c r="I345" s="1" t="s">
        <v>224</v>
      </c>
      <c r="J345" s="1" t="s">
        <v>229</v>
      </c>
      <c r="K345" s="1" t="s">
        <v>118</v>
      </c>
      <c r="L345" s="1" t="s">
        <v>103</v>
      </c>
      <c r="M345" s="20">
        <v>3558480</v>
      </c>
      <c r="P345" s="20">
        <v>130800</v>
      </c>
      <c r="Q345" s="20">
        <v>2400120</v>
      </c>
      <c r="R345" s="20">
        <v>9550848</v>
      </c>
      <c r="AB345" s="20">
        <v>15640248</v>
      </c>
      <c r="AC345" s="20">
        <v>1855848</v>
      </c>
      <c r="AF345" s="20">
        <v>130800</v>
      </c>
      <c r="AG345" s="20">
        <v>2435040</v>
      </c>
      <c r="AH345" s="20">
        <v>7971864</v>
      </c>
      <c r="AR345" s="20">
        <v>12393552</v>
      </c>
      <c r="AS345" s="20">
        <v>2466960</v>
      </c>
      <c r="AT345" s="20">
        <v>432000</v>
      </c>
      <c r="AV345" s="20">
        <v>425088</v>
      </c>
      <c r="AW345" s="20">
        <v>2490480</v>
      </c>
      <c r="AX345" s="20">
        <v>7453200</v>
      </c>
      <c r="BH345" s="28">
        <v>13267728</v>
      </c>
      <c r="BI345" s="28">
        <v>41301528</v>
      </c>
    </row>
    <row r="346" spans="1:61" hidden="1" x14ac:dyDescent="0.3">
      <c r="A346" s="1" t="s">
        <v>739</v>
      </c>
      <c r="B346" s="1" t="s">
        <v>224</v>
      </c>
      <c r="C346" s="1" t="s">
        <v>225</v>
      </c>
      <c r="D346" s="1" t="s">
        <v>226</v>
      </c>
      <c r="E346" s="1" t="s">
        <v>225</v>
      </c>
      <c r="F346" s="1" t="s">
        <v>226</v>
      </c>
      <c r="G346" s="1" t="s">
        <v>833</v>
      </c>
      <c r="H346" s="1" t="s">
        <v>834</v>
      </c>
      <c r="I346" s="1" t="s">
        <v>224</v>
      </c>
      <c r="J346" s="1" t="s">
        <v>229</v>
      </c>
      <c r="K346" s="1" t="s">
        <v>118</v>
      </c>
      <c r="L346" s="1" t="s">
        <v>103</v>
      </c>
      <c r="P346" s="20">
        <v>130800</v>
      </c>
      <c r="Q346" s="20">
        <v>1689120</v>
      </c>
      <c r="R346" s="20">
        <v>2114400</v>
      </c>
      <c r="AB346" s="20">
        <v>3934320</v>
      </c>
      <c r="AC346" s="20">
        <v>89760</v>
      </c>
      <c r="AF346" s="20">
        <v>130800</v>
      </c>
      <c r="AG346" s="20">
        <v>1633680</v>
      </c>
      <c r="AH346" s="20">
        <v>1048416</v>
      </c>
      <c r="AR346" s="20">
        <v>2902656</v>
      </c>
      <c r="AW346" s="20">
        <v>1512360</v>
      </c>
      <c r="AX346" s="20">
        <v>1490400</v>
      </c>
      <c r="BH346" s="28">
        <v>3002760</v>
      </c>
      <c r="BI346" s="28">
        <v>9839736</v>
      </c>
    </row>
    <row r="347" spans="1:61" hidden="1" x14ac:dyDescent="0.3">
      <c r="A347" s="1" t="s">
        <v>739</v>
      </c>
      <c r="B347" s="1" t="s">
        <v>224</v>
      </c>
      <c r="C347" s="1" t="s">
        <v>225</v>
      </c>
      <c r="D347" s="1" t="s">
        <v>226</v>
      </c>
      <c r="E347" s="1" t="s">
        <v>225</v>
      </c>
      <c r="F347" s="1" t="s">
        <v>226</v>
      </c>
      <c r="G347" s="1" t="s">
        <v>835</v>
      </c>
      <c r="H347" s="1" t="s">
        <v>836</v>
      </c>
      <c r="I347" s="1" t="s">
        <v>224</v>
      </c>
      <c r="J347" s="1" t="s">
        <v>229</v>
      </c>
      <c r="K347" s="1" t="s">
        <v>118</v>
      </c>
      <c r="L347" s="1" t="s">
        <v>103</v>
      </c>
      <c r="M347" s="20">
        <v>549600</v>
      </c>
      <c r="P347" s="20">
        <v>523200</v>
      </c>
      <c r="Q347" s="20">
        <v>2972520</v>
      </c>
      <c r="R347" s="20">
        <v>4252032</v>
      </c>
      <c r="AB347" s="20">
        <v>8297352</v>
      </c>
      <c r="AC347" s="20">
        <v>549600</v>
      </c>
      <c r="AF347" s="20">
        <v>130800</v>
      </c>
      <c r="AG347" s="20">
        <v>2625840</v>
      </c>
      <c r="AH347" s="20">
        <v>4342800</v>
      </c>
      <c r="AR347" s="20">
        <v>7649040</v>
      </c>
      <c r="AS347" s="20">
        <v>218700</v>
      </c>
      <c r="AT347" s="20">
        <v>288000</v>
      </c>
      <c r="AW347" s="20">
        <v>2351880</v>
      </c>
      <c r="AX347" s="20">
        <v>3924600</v>
      </c>
      <c r="BH347" s="28">
        <v>6783180</v>
      </c>
      <c r="BI347" s="28">
        <v>22729572</v>
      </c>
    </row>
    <row r="348" spans="1:61" hidden="1" x14ac:dyDescent="0.3">
      <c r="A348" s="1" t="s">
        <v>739</v>
      </c>
      <c r="B348" s="1" t="s">
        <v>224</v>
      </c>
      <c r="C348" s="1" t="s">
        <v>225</v>
      </c>
      <c r="D348" s="1" t="s">
        <v>226</v>
      </c>
      <c r="E348" s="1" t="s">
        <v>225</v>
      </c>
      <c r="F348" s="1" t="s">
        <v>226</v>
      </c>
      <c r="G348" s="1" t="s">
        <v>837</v>
      </c>
      <c r="H348" s="1" t="s">
        <v>838</v>
      </c>
      <c r="I348" s="1" t="s">
        <v>224</v>
      </c>
      <c r="J348" s="1" t="s">
        <v>229</v>
      </c>
      <c r="K348" s="1" t="s">
        <v>118</v>
      </c>
      <c r="L348" s="1" t="s">
        <v>103</v>
      </c>
      <c r="M348" s="20">
        <v>1380600</v>
      </c>
      <c r="Q348" s="20">
        <v>2327760</v>
      </c>
      <c r="R348" s="20">
        <v>914400</v>
      </c>
      <c r="AB348" s="20">
        <v>4622760</v>
      </c>
      <c r="AC348" s="20">
        <v>913956</v>
      </c>
      <c r="AG348" s="20">
        <v>2500560</v>
      </c>
      <c r="AH348" s="20">
        <v>1490400</v>
      </c>
      <c r="AR348" s="20">
        <v>4904916</v>
      </c>
      <c r="AS348" s="20">
        <v>2097000</v>
      </c>
      <c r="AW348" s="20">
        <v>2368800</v>
      </c>
      <c r="AX348" s="20">
        <v>861600</v>
      </c>
      <c r="BH348" s="28">
        <v>5327400</v>
      </c>
      <c r="BI348" s="28">
        <v>14855076</v>
      </c>
    </row>
    <row r="349" spans="1:61" hidden="1" x14ac:dyDescent="0.3">
      <c r="A349" s="1" t="s">
        <v>739</v>
      </c>
      <c r="B349" s="1" t="s">
        <v>224</v>
      </c>
      <c r="C349" s="1" t="s">
        <v>225</v>
      </c>
      <c r="D349" s="1" t="s">
        <v>226</v>
      </c>
      <c r="E349" s="1" t="s">
        <v>225</v>
      </c>
      <c r="F349" s="1" t="s">
        <v>226</v>
      </c>
      <c r="G349" s="1" t="s">
        <v>839</v>
      </c>
      <c r="H349" s="1" t="s">
        <v>840</v>
      </c>
      <c r="I349" s="1" t="s">
        <v>224</v>
      </c>
      <c r="J349" s="1" t="s">
        <v>229</v>
      </c>
      <c r="K349" s="1" t="s">
        <v>118</v>
      </c>
      <c r="L349" s="1" t="s">
        <v>103</v>
      </c>
      <c r="M349" s="20">
        <v>218700</v>
      </c>
      <c r="P349" s="20">
        <v>261600</v>
      </c>
      <c r="Q349" s="20">
        <v>1450080</v>
      </c>
      <c r="R349" s="20">
        <v>2566800</v>
      </c>
      <c r="AB349" s="20">
        <v>4497180</v>
      </c>
      <c r="AC349" s="20">
        <v>493680</v>
      </c>
      <c r="AF349" s="20">
        <v>130800</v>
      </c>
      <c r="AG349" s="20">
        <v>1106640</v>
      </c>
      <c r="AH349" s="20">
        <v>5057016</v>
      </c>
      <c r="AR349" s="20">
        <v>6788136</v>
      </c>
      <c r="AS349" s="20">
        <v>224400</v>
      </c>
      <c r="AW349" s="20">
        <v>1564560</v>
      </c>
      <c r="AX349" s="20">
        <v>3213600</v>
      </c>
      <c r="BH349" s="28">
        <v>5002560</v>
      </c>
      <c r="BI349" s="28">
        <v>16287876</v>
      </c>
    </row>
    <row r="350" spans="1:61" hidden="1" x14ac:dyDescent="0.3">
      <c r="A350" s="1" t="s">
        <v>739</v>
      </c>
      <c r="B350" s="1" t="s">
        <v>224</v>
      </c>
      <c r="C350" s="1" t="s">
        <v>225</v>
      </c>
      <c r="D350" s="1" t="s">
        <v>226</v>
      </c>
      <c r="E350" s="1" t="s">
        <v>225</v>
      </c>
      <c r="F350" s="1" t="s">
        <v>226</v>
      </c>
      <c r="G350" s="1" t="s">
        <v>841</v>
      </c>
      <c r="H350" s="1" t="s">
        <v>842</v>
      </c>
      <c r="I350" s="1" t="s">
        <v>224</v>
      </c>
      <c r="J350" s="1" t="s">
        <v>229</v>
      </c>
      <c r="K350" s="1" t="s">
        <v>118</v>
      </c>
      <c r="L350" s="1" t="s">
        <v>103</v>
      </c>
      <c r="M350" s="20">
        <v>112200</v>
      </c>
      <c r="P350" s="20">
        <v>130800</v>
      </c>
      <c r="Q350" s="20">
        <v>2223360</v>
      </c>
      <c r="R350" s="20">
        <v>4130016</v>
      </c>
      <c r="AB350" s="20">
        <v>6596376</v>
      </c>
      <c r="AC350" s="20">
        <v>218700</v>
      </c>
      <c r="AG350" s="20">
        <v>1401120</v>
      </c>
      <c r="AH350" s="20">
        <v>3728016</v>
      </c>
      <c r="AR350" s="20">
        <v>5347836</v>
      </c>
      <c r="AS350" s="20">
        <v>218700</v>
      </c>
      <c r="AT350" s="20">
        <v>288000</v>
      </c>
      <c r="AV350" s="20">
        <v>196192</v>
      </c>
      <c r="AW350" s="20">
        <v>1494720</v>
      </c>
      <c r="AX350" s="20">
        <v>3251400</v>
      </c>
      <c r="BH350" s="28">
        <v>5449012</v>
      </c>
      <c r="BI350" s="28">
        <v>17393224</v>
      </c>
    </row>
    <row r="351" spans="1:61" hidden="1" x14ac:dyDescent="0.3">
      <c r="A351" s="1" t="s">
        <v>739</v>
      </c>
      <c r="B351" s="1" t="s">
        <v>224</v>
      </c>
      <c r="C351" s="1" t="s">
        <v>225</v>
      </c>
      <c r="D351" s="1" t="s">
        <v>226</v>
      </c>
      <c r="E351" s="1" t="s">
        <v>225</v>
      </c>
      <c r="F351" s="1" t="s">
        <v>226</v>
      </c>
      <c r="G351" s="1" t="s">
        <v>843</v>
      </c>
      <c r="H351" s="1" t="s">
        <v>844</v>
      </c>
      <c r="I351" s="1" t="s">
        <v>224</v>
      </c>
      <c r="J351" s="1" t="s">
        <v>229</v>
      </c>
      <c r="K351" s="1" t="s">
        <v>118</v>
      </c>
      <c r="L351" s="1" t="s">
        <v>103</v>
      </c>
      <c r="M351" s="20">
        <v>197400</v>
      </c>
      <c r="Q351" s="20">
        <v>1460160</v>
      </c>
      <c r="R351" s="20">
        <v>2695200</v>
      </c>
      <c r="AB351" s="20">
        <v>4352760</v>
      </c>
      <c r="AC351" s="20">
        <v>399360</v>
      </c>
      <c r="AG351" s="20">
        <v>2427840</v>
      </c>
      <c r="AH351" s="20">
        <v>3139200</v>
      </c>
      <c r="AR351" s="20">
        <v>5966400</v>
      </c>
      <c r="AS351" s="20">
        <v>437400</v>
      </c>
      <c r="AT351" s="20">
        <v>144000</v>
      </c>
      <c r="AW351" s="20">
        <v>1373760</v>
      </c>
      <c r="AX351" s="20">
        <v>2680200</v>
      </c>
      <c r="BH351" s="28">
        <v>4635360</v>
      </c>
      <c r="BI351" s="28">
        <v>14954520</v>
      </c>
    </row>
    <row r="352" spans="1:61" hidden="1" x14ac:dyDescent="0.3">
      <c r="A352" s="1" t="s">
        <v>739</v>
      </c>
      <c r="B352" s="1" t="s">
        <v>224</v>
      </c>
      <c r="C352" s="1" t="s">
        <v>225</v>
      </c>
      <c r="D352" s="1" t="s">
        <v>226</v>
      </c>
      <c r="E352" s="1" t="s">
        <v>225</v>
      </c>
      <c r="F352" s="1" t="s">
        <v>226</v>
      </c>
      <c r="G352" s="1" t="s">
        <v>845</v>
      </c>
      <c r="H352" s="1" t="s">
        <v>846</v>
      </c>
      <c r="I352" s="1" t="s">
        <v>224</v>
      </c>
      <c r="J352" s="1" t="s">
        <v>229</v>
      </c>
      <c r="K352" s="1" t="s">
        <v>118</v>
      </c>
      <c r="L352" s="1" t="s">
        <v>103</v>
      </c>
      <c r="M352" s="20">
        <v>376920</v>
      </c>
      <c r="P352" s="20">
        <v>261600</v>
      </c>
      <c r="Q352" s="20">
        <v>2757600</v>
      </c>
      <c r="R352" s="20">
        <v>781200</v>
      </c>
      <c r="AB352" s="20">
        <v>4177320</v>
      </c>
      <c r="AC352" s="20">
        <v>330900</v>
      </c>
      <c r="AF352" s="20">
        <v>523200</v>
      </c>
      <c r="AG352" s="20">
        <v>2146680</v>
      </c>
      <c r="AH352" s="20">
        <v>813600</v>
      </c>
      <c r="AR352" s="20">
        <v>3814380</v>
      </c>
      <c r="AS352" s="20">
        <v>106500</v>
      </c>
      <c r="AT352" s="20">
        <v>288000</v>
      </c>
      <c r="AV352" s="20">
        <v>490480</v>
      </c>
      <c r="AW352" s="20">
        <v>2337840</v>
      </c>
      <c r="AX352" s="20">
        <v>2279400</v>
      </c>
      <c r="BH352" s="28">
        <v>5502220</v>
      </c>
      <c r="BI352" s="28">
        <v>13493920</v>
      </c>
    </row>
    <row r="353" spans="1:61" hidden="1" x14ac:dyDescent="0.3">
      <c r="A353" s="1" t="s">
        <v>739</v>
      </c>
      <c r="B353" s="1" t="s">
        <v>224</v>
      </c>
      <c r="C353" s="1" t="s">
        <v>225</v>
      </c>
      <c r="D353" s="1" t="s">
        <v>226</v>
      </c>
      <c r="E353" s="1" t="s">
        <v>225</v>
      </c>
      <c r="F353" s="1" t="s">
        <v>226</v>
      </c>
      <c r="G353" s="1" t="s">
        <v>847</v>
      </c>
      <c r="H353" s="1" t="s">
        <v>848</v>
      </c>
      <c r="I353" s="1" t="s">
        <v>224</v>
      </c>
      <c r="J353" s="1" t="s">
        <v>229</v>
      </c>
      <c r="K353" s="1" t="s">
        <v>118</v>
      </c>
      <c r="L353" s="1" t="s">
        <v>103</v>
      </c>
      <c r="M353" s="20">
        <v>399360</v>
      </c>
      <c r="Q353" s="20">
        <v>2719440</v>
      </c>
      <c r="R353" s="20">
        <v>3837216</v>
      </c>
      <c r="AB353" s="20">
        <v>6956016</v>
      </c>
      <c r="AC353" s="20">
        <v>314160</v>
      </c>
      <c r="AG353" s="20">
        <v>2344680</v>
      </c>
      <c r="AH353" s="20">
        <v>3696600</v>
      </c>
      <c r="AR353" s="20">
        <v>6355440</v>
      </c>
      <c r="AS353" s="20">
        <v>549600</v>
      </c>
      <c r="AT353" s="20">
        <v>144000</v>
      </c>
      <c r="AW353" s="20">
        <v>2847960</v>
      </c>
      <c r="AX353" s="20">
        <v>4418400</v>
      </c>
      <c r="BH353" s="28">
        <v>7959960</v>
      </c>
      <c r="BI353" s="28">
        <v>21271416</v>
      </c>
    </row>
    <row r="354" spans="1:61" hidden="1" x14ac:dyDescent="0.3">
      <c r="A354" s="1" t="s">
        <v>739</v>
      </c>
      <c r="B354" s="1" t="s">
        <v>224</v>
      </c>
      <c r="C354" s="1" t="s">
        <v>225</v>
      </c>
      <c r="D354" s="1" t="s">
        <v>226</v>
      </c>
      <c r="E354" s="1" t="s">
        <v>225</v>
      </c>
      <c r="F354" s="1" t="s">
        <v>226</v>
      </c>
      <c r="G354" s="1" t="s">
        <v>849</v>
      </c>
      <c r="H354" s="1" t="s">
        <v>850</v>
      </c>
      <c r="I354" s="1" t="s">
        <v>224</v>
      </c>
      <c r="J354" s="1" t="s">
        <v>229</v>
      </c>
      <c r="K354" s="1" t="s">
        <v>118</v>
      </c>
      <c r="L354" s="1" t="s">
        <v>103</v>
      </c>
      <c r="M354" s="20">
        <v>197400</v>
      </c>
      <c r="P354" s="20">
        <v>130800</v>
      </c>
      <c r="Q354" s="20">
        <v>1755360</v>
      </c>
      <c r="R354" s="20">
        <v>2346816</v>
      </c>
      <c r="AB354" s="20">
        <v>4430376</v>
      </c>
      <c r="AC354" s="20">
        <v>218700</v>
      </c>
      <c r="AG354" s="20">
        <v>1221120</v>
      </c>
      <c r="AH354" s="20">
        <v>3569616</v>
      </c>
      <c r="AR354" s="20">
        <v>5009436</v>
      </c>
      <c r="AS354" s="20">
        <v>112200</v>
      </c>
      <c r="AT354" s="20">
        <v>144000</v>
      </c>
      <c r="AV354" s="20">
        <v>98096</v>
      </c>
      <c r="AW354" s="20">
        <v>1526400</v>
      </c>
      <c r="AX354" s="20">
        <v>3198600</v>
      </c>
      <c r="BH354" s="28">
        <v>5079296</v>
      </c>
      <c r="BI354" s="28">
        <v>14519108</v>
      </c>
    </row>
    <row r="355" spans="1:61" hidden="1" x14ac:dyDescent="0.3">
      <c r="A355" s="1" t="s">
        <v>739</v>
      </c>
      <c r="B355" s="1" t="s">
        <v>224</v>
      </c>
      <c r="C355" s="1" t="s">
        <v>225</v>
      </c>
      <c r="D355" s="1" t="s">
        <v>226</v>
      </c>
      <c r="E355" s="1" t="s">
        <v>225</v>
      </c>
      <c r="F355" s="1" t="s">
        <v>226</v>
      </c>
      <c r="G355" s="1" t="s">
        <v>851</v>
      </c>
      <c r="H355" s="1" t="s">
        <v>852</v>
      </c>
      <c r="I355" s="1" t="s">
        <v>224</v>
      </c>
      <c r="J355" s="1" t="s">
        <v>229</v>
      </c>
      <c r="K355" s="1" t="s">
        <v>118</v>
      </c>
      <c r="L355" s="1" t="s">
        <v>103</v>
      </c>
      <c r="M355" s="20">
        <v>345360</v>
      </c>
      <c r="Q355" s="20">
        <v>1602720</v>
      </c>
      <c r="R355" s="20">
        <v>3552816</v>
      </c>
      <c r="AB355" s="20">
        <v>5500896</v>
      </c>
      <c r="AC355" s="20">
        <v>616920</v>
      </c>
      <c r="AG355" s="20">
        <v>1221120</v>
      </c>
      <c r="AH355" s="20">
        <v>2119200</v>
      </c>
      <c r="AR355" s="20">
        <v>3957240</v>
      </c>
      <c r="AS355" s="20">
        <v>437400</v>
      </c>
      <c r="AT355" s="20">
        <v>864000</v>
      </c>
      <c r="AW355" s="20">
        <v>1335600</v>
      </c>
      <c r="AX355" s="20">
        <v>3685800</v>
      </c>
      <c r="BH355" s="28">
        <v>6322800</v>
      </c>
      <c r="BI355" s="28">
        <v>15780936</v>
      </c>
    </row>
    <row r="356" spans="1:61" hidden="1" x14ac:dyDescent="0.3">
      <c r="A356" s="1" t="s">
        <v>739</v>
      </c>
      <c r="B356" s="1" t="s">
        <v>224</v>
      </c>
      <c r="C356" s="1" t="s">
        <v>225</v>
      </c>
      <c r="D356" s="1" t="s">
        <v>226</v>
      </c>
      <c r="E356" s="1" t="s">
        <v>225</v>
      </c>
      <c r="F356" s="1" t="s">
        <v>226</v>
      </c>
      <c r="G356" s="1" t="s">
        <v>853</v>
      </c>
      <c r="H356" s="1" t="s">
        <v>854</v>
      </c>
      <c r="I356" s="1" t="s">
        <v>224</v>
      </c>
      <c r="J356" s="1" t="s">
        <v>229</v>
      </c>
      <c r="K356" s="1" t="s">
        <v>118</v>
      </c>
      <c r="L356" s="1" t="s">
        <v>103</v>
      </c>
      <c r="M356" s="20">
        <v>668250</v>
      </c>
      <c r="Q356" s="20">
        <v>3211560</v>
      </c>
      <c r="R356" s="20">
        <v>2446800</v>
      </c>
      <c r="AB356" s="20">
        <v>6326610</v>
      </c>
      <c r="AC356" s="20">
        <v>2322012</v>
      </c>
      <c r="AF356" s="20">
        <v>130800</v>
      </c>
      <c r="AG356" s="20">
        <v>2566440</v>
      </c>
      <c r="AH356" s="20">
        <v>4414416</v>
      </c>
      <c r="AR356" s="20">
        <v>9433668</v>
      </c>
      <c r="AS356" s="20">
        <v>987000</v>
      </c>
      <c r="AT356" s="20">
        <v>144000</v>
      </c>
      <c r="AV356" s="20">
        <v>98096</v>
      </c>
      <c r="AW356" s="20">
        <v>2285640</v>
      </c>
      <c r="AX356" s="20">
        <v>2970600</v>
      </c>
      <c r="BH356" s="28">
        <v>6485336</v>
      </c>
      <c r="BI356" s="28">
        <v>22245614</v>
      </c>
    </row>
    <row r="357" spans="1:61" hidden="1" x14ac:dyDescent="0.3">
      <c r="A357" s="1" t="s">
        <v>739</v>
      </c>
      <c r="B357" s="1" t="s">
        <v>224</v>
      </c>
      <c r="C357" s="1" t="s">
        <v>225</v>
      </c>
      <c r="D357" s="1" t="s">
        <v>226</v>
      </c>
      <c r="E357" s="1" t="s">
        <v>225</v>
      </c>
      <c r="F357" s="1" t="s">
        <v>226</v>
      </c>
      <c r="G357" s="1" t="s">
        <v>855</v>
      </c>
      <c r="H357" s="1" t="s">
        <v>856</v>
      </c>
      <c r="I357" s="1" t="s">
        <v>224</v>
      </c>
      <c r="J357" s="1" t="s">
        <v>229</v>
      </c>
      <c r="K357" s="1" t="s">
        <v>118</v>
      </c>
      <c r="L357" s="1" t="s">
        <v>103</v>
      </c>
      <c r="M357" s="20">
        <v>218700</v>
      </c>
      <c r="P357" s="20">
        <v>130800</v>
      </c>
      <c r="Q357" s="20">
        <v>1713240</v>
      </c>
      <c r="R357" s="20">
        <v>1647600</v>
      </c>
      <c r="AB357" s="20">
        <v>3710340</v>
      </c>
      <c r="AC357" s="20">
        <v>218700</v>
      </c>
      <c r="AG357" s="20">
        <v>1252080</v>
      </c>
      <c r="AH357" s="20">
        <v>1813200</v>
      </c>
      <c r="AR357" s="20">
        <v>3283980</v>
      </c>
      <c r="AS357" s="20">
        <v>218700</v>
      </c>
      <c r="AV357" s="20">
        <v>196192</v>
      </c>
      <c r="AW357" s="20">
        <v>978120</v>
      </c>
      <c r="AX357" s="20">
        <v>1216800</v>
      </c>
      <c r="BH357" s="28">
        <v>2609812</v>
      </c>
      <c r="BI357" s="28">
        <v>9604132</v>
      </c>
    </row>
    <row r="358" spans="1:61" hidden="1" x14ac:dyDescent="0.3">
      <c r="A358" s="1" t="s">
        <v>739</v>
      </c>
      <c r="B358" s="1" t="s">
        <v>224</v>
      </c>
      <c r="C358" s="1" t="s">
        <v>225</v>
      </c>
      <c r="D358" s="1" t="s">
        <v>226</v>
      </c>
      <c r="E358" s="1" t="s">
        <v>225</v>
      </c>
      <c r="F358" s="1" t="s">
        <v>226</v>
      </c>
      <c r="G358" s="1" t="s">
        <v>857</v>
      </c>
      <c r="H358" s="1" t="s">
        <v>858</v>
      </c>
      <c r="I358" s="1" t="s">
        <v>224</v>
      </c>
      <c r="J358" s="1" t="s">
        <v>229</v>
      </c>
      <c r="K358" s="1" t="s">
        <v>118</v>
      </c>
      <c r="L358" s="1" t="s">
        <v>103</v>
      </c>
      <c r="M358" s="20">
        <v>170400</v>
      </c>
      <c r="P358" s="20">
        <v>130800</v>
      </c>
      <c r="Q358" s="20">
        <v>1640880</v>
      </c>
      <c r="R358" s="20">
        <v>2953200</v>
      </c>
      <c r="AB358" s="20">
        <v>4895280</v>
      </c>
      <c r="AC358" s="20">
        <v>179520</v>
      </c>
      <c r="AF358" s="20">
        <v>130800</v>
      </c>
      <c r="AG358" s="20">
        <v>1984320</v>
      </c>
      <c r="AH358" s="20">
        <v>3738816</v>
      </c>
      <c r="AR358" s="20">
        <v>6033456</v>
      </c>
      <c r="AS358" s="20">
        <v>555300</v>
      </c>
      <c r="AT358" s="20">
        <v>144000</v>
      </c>
      <c r="AV358" s="20">
        <v>326992</v>
      </c>
      <c r="AW358" s="20">
        <v>1640880</v>
      </c>
      <c r="AX358" s="20">
        <v>2119200</v>
      </c>
      <c r="BH358" s="28">
        <v>4786372</v>
      </c>
      <c r="BI358" s="28">
        <v>15715108</v>
      </c>
    </row>
    <row r="359" spans="1:61" hidden="1" x14ac:dyDescent="0.3">
      <c r="A359" s="1" t="s">
        <v>739</v>
      </c>
      <c r="B359" s="1" t="s">
        <v>224</v>
      </c>
      <c r="C359" s="1" t="s">
        <v>225</v>
      </c>
      <c r="D359" s="1" t="s">
        <v>226</v>
      </c>
      <c r="E359" s="1" t="s">
        <v>225</v>
      </c>
      <c r="F359" s="1" t="s">
        <v>226</v>
      </c>
      <c r="G359" s="1" t="s">
        <v>859</v>
      </c>
      <c r="H359" s="1" t="s">
        <v>860</v>
      </c>
      <c r="I359" s="1" t="s">
        <v>224</v>
      </c>
      <c r="J359" s="1" t="s">
        <v>229</v>
      </c>
      <c r="K359" s="1" t="s">
        <v>118</v>
      </c>
      <c r="L359" s="1" t="s">
        <v>103</v>
      </c>
      <c r="M359" s="20">
        <v>201960</v>
      </c>
      <c r="P359" s="20">
        <v>784800</v>
      </c>
      <c r="Q359" s="20">
        <v>4227840</v>
      </c>
      <c r="R359" s="20">
        <v>4693200</v>
      </c>
      <c r="AB359" s="20">
        <v>9907800</v>
      </c>
      <c r="AC359" s="20">
        <v>106500</v>
      </c>
      <c r="AF359" s="20">
        <v>523200</v>
      </c>
      <c r="AG359" s="20">
        <v>3295080</v>
      </c>
      <c r="AH359" s="20">
        <v>6499416</v>
      </c>
      <c r="AR359" s="20">
        <v>10424196</v>
      </c>
      <c r="AS359" s="20">
        <v>319500</v>
      </c>
      <c r="AT359" s="20">
        <v>288000</v>
      </c>
      <c r="AV359" s="20">
        <v>392384</v>
      </c>
      <c r="AW359" s="20">
        <v>3714480</v>
      </c>
      <c r="AX359" s="20">
        <v>4443000</v>
      </c>
      <c r="BH359" s="28">
        <v>9157364</v>
      </c>
      <c r="BI359" s="28">
        <v>29489360</v>
      </c>
    </row>
    <row r="360" spans="1:61" hidden="1" x14ac:dyDescent="0.3">
      <c r="A360" s="1" t="s">
        <v>739</v>
      </c>
      <c r="B360" s="1" t="s">
        <v>224</v>
      </c>
      <c r="C360" s="1" t="s">
        <v>225</v>
      </c>
      <c r="D360" s="1" t="s">
        <v>226</v>
      </c>
      <c r="E360" s="1" t="s">
        <v>225</v>
      </c>
      <c r="F360" s="1" t="s">
        <v>226</v>
      </c>
      <c r="G360" s="1" t="s">
        <v>861</v>
      </c>
      <c r="H360" s="1" t="s">
        <v>862</v>
      </c>
      <c r="I360" s="1" t="s">
        <v>224</v>
      </c>
      <c r="J360" s="1" t="s">
        <v>229</v>
      </c>
      <c r="K360" s="1" t="s">
        <v>118</v>
      </c>
      <c r="L360" s="1" t="s">
        <v>103</v>
      </c>
      <c r="M360" s="20">
        <v>201960</v>
      </c>
      <c r="Q360" s="20">
        <v>1879920</v>
      </c>
      <c r="R360" s="20">
        <v>1370016</v>
      </c>
      <c r="AB360" s="20">
        <v>3451896</v>
      </c>
      <c r="AC360" s="20">
        <v>89760</v>
      </c>
      <c r="AG360" s="20">
        <v>2015280</v>
      </c>
      <c r="AH360" s="20">
        <v>2012400</v>
      </c>
      <c r="AR360" s="20">
        <v>4117440</v>
      </c>
      <c r="AS360" s="20">
        <v>224400</v>
      </c>
      <c r="AT360" s="20">
        <v>288000</v>
      </c>
      <c r="AW360" s="20">
        <v>2178000</v>
      </c>
      <c r="AX360" s="20">
        <v>2700000</v>
      </c>
      <c r="BH360" s="28">
        <v>5390400</v>
      </c>
      <c r="BI360" s="28">
        <v>12959736</v>
      </c>
    </row>
    <row r="361" spans="1:61" hidden="1" x14ac:dyDescent="0.3">
      <c r="A361" s="1" t="s">
        <v>739</v>
      </c>
      <c r="B361" s="1" t="s">
        <v>224</v>
      </c>
      <c r="C361" s="1" t="s">
        <v>225</v>
      </c>
      <c r="D361" s="1" t="s">
        <v>226</v>
      </c>
      <c r="E361" s="1" t="s">
        <v>225</v>
      </c>
      <c r="F361" s="1" t="s">
        <v>226</v>
      </c>
      <c r="G361" s="1" t="s">
        <v>863</v>
      </c>
      <c r="H361" s="1" t="s">
        <v>864</v>
      </c>
      <c r="I361" s="1" t="s">
        <v>224</v>
      </c>
      <c r="J361" s="1" t="s">
        <v>229</v>
      </c>
      <c r="K361" s="1" t="s">
        <v>118</v>
      </c>
      <c r="L361" s="1" t="s">
        <v>103</v>
      </c>
      <c r="M361" s="20">
        <v>420660</v>
      </c>
      <c r="Q361" s="20">
        <v>1869840</v>
      </c>
      <c r="R361" s="20">
        <v>2266800</v>
      </c>
      <c r="AB361" s="20">
        <v>4557300</v>
      </c>
      <c r="AC361" s="20">
        <v>309600</v>
      </c>
      <c r="AG361" s="20">
        <v>534240</v>
      </c>
      <c r="AH361" s="20">
        <v>861600</v>
      </c>
      <c r="AR361" s="20">
        <v>1705440</v>
      </c>
      <c r="AS361" s="20">
        <v>112200</v>
      </c>
      <c r="AT361" s="20">
        <v>144000</v>
      </c>
      <c r="AW361" s="20">
        <v>954000</v>
      </c>
      <c r="AX361" s="20">
        <v>3173400</v>
      </c>
      <c r="BH361" s="28">
        <v>4383600</v>
      </c>
      <c r="BI361" s="28">
        <v>10646340</v>
      </c>
    </row>
    <row r="362" spans="1:61" hidden="1" x14ac:dyDescent="0.3">
      <c r="A362" s="1" t="s">
        <v>739</v>
      </c>
      <c r="B362" s="1" t="s">
        <v>224</v>
      </c>
      <c r="C362" s="1" t="s">
        <v>225</v>
      </c>
      <c r="D362" s="1" t="s">
        <v>226</v>
      </c>
      <c r="E362" s="1" t="s">
        <v>225</v>
      </c>
      <c r="F362" s="1" t="s">
        <v>226</v>
      </c>
      <c r="G362" s="1" t="s">
        <v>865</v>
      </c>
      <c r="H362" s="1" t="s">
        <v>866</v>
      </c>
      <c r="I362" s="1" t="s">
        <v>224</v>
      </c>
      <c r="J362" s="1" t="s">
        <v>229</v>
      </c>
      <c r="K362" s="1" t="s">
        <v>118</v>
      </c>
      <c r="L362" s="1" t="s">
        <v>103</v>
      </c>
      <c r="M362" s="20">
        <v>174960</v>
      </c>
      <c r="P362" s="20">
        <v>261600</v>
      </c>
      <c r="Q362" s="20">
        <v>2313720</v>
      </c>
      <c r="R362" s="20">
        <v>2450400</v>
      </c>
      <c r="AB362" s="20">
        <v>5200680</v>
      </c>
      <c r="AC362" s="20">
        <v>420660</v>
      </c>
      <c r="AF362" s="20">
        <v>261600</v>
      </c>
      <c r="AG362" s="20">
        <v>2635920</v>
      </c>
      <c r="AH362" s="20">
        <v>2161416</v>
      </c>
      <c r="AR362" s="20">
        <v>5479596</v>
      </c>
      <c r="AS362" s="20">
        <v>218700</v>
      </c>
      <c r="AT362" s="20">
        <v>144000</v>
      </c>
      <c r="AV362" s="20">
        <v>228896</v>
      </c>
      <c r="AW362" s="20">
        <v>2108880</v>
      </c>
      <c r="AX362" s="20">
        <v>2066400</v>
      </c>
      <c r="BH362" s="28">
        <v>4766876</v>
      </c>
      <c r="BI362" s="28">
        <v>15447152</v>
      </c>
    </row>
    <row r="363" spans="1:61" hidden="1" x14ac:dyDescent="0.3">
      <c r="A363" s="1" t="s">
        <v>739</v>
      </c>
      <c r="B363" s="1" t="s">
        <v>224</v>
      </c>
      <c r="C363" s="1" t="s">
        <v>225</v>
      </c>
      <c r="D363" s="1" t="s">
        <v>226</v>
      </c>
      <c r="E363" s="1" t="s">
        <v>225</v>
      </c>
      <c r="F363" s="1" t="s">
        <v>226</v>
      </c>
      <c r="G363" s="1" t="s">
        <v>867</v>
      </c>
      <c r="H363" s="1" t="s">
        <v>868</v>
      </c>
      <c r="I363" s="1" t="s">
        <v>224</v>
      </c>
      <c r="J363" s="1" t="s">
        <v>229</v>
      </c>
      <c r="K363" s="1" t="s">
        <v>118</v>
      </c>
      <c r="L363" s="1" t="s">
        <v>103</v>
      </c>
      <c r="M363" s="20">
        <v>89760</v>
      </c>
      <c r="Q363" s="20">
        <v>1373760</v>
      </c>
      <c r="R363" s="20">
        <v>1695600</v>
      </c>
      <c r="AB363" s="20">
        <v>3159120</v>
      </c>
      <c r="AC363" s="20">
        <v>89760</v>
      </c>
      <c r="AG363" s="20">
        <v>1793520</v>
      </c>
      <c r="AH363" s="20">
        <v>1736016</v>
      </c>
      <c r="AR363" s="20">
        <v>3619296</v>
      </c>
      <c r="AS363" s="20">
        <v>112200</v>
      </c>
      <c r="AW363" s="20">
        <v>1068480</v>
      </c>
      <c r="AX363" s="20">
        <v>1776000</v>
      </c>
      <c r="BH363" s="28">
        <v>2956680</v>
      </c>
      <c r="BI363" s="28">
        <v>9735096</v>
      </c>
    </row>
    <row r="364" spans="1:61" hidden="1" x14ac:dyDescent="0.3">
      <c r="A364" s="1" t="s">
        <v>739</v>
      </c>
      <c r="B364" s="1" t="s">
        <v>224</v>
      </c>
      <c r="C364" s="1" t="s">
        <v>225</v>
      </c>
      <c r="D364" s="1" t="s">
        <v>226</v>
      </c>
      <c r="E364" s="1" t="s">
        <v>225</v>
      </c>
      <c r="F364" s="1" t="s">
        <v>226</v>
      </c>
      <c r="G364" s="1" t="s">
        <v>869</v>
      </c>
      <c r="H364" s="1" t="s">
        <v>870</v>
      </c>
      <c r="I364" s="1" t="s">
        <v>224</v>
      </c>
      <c r="J364" s="1" t="s">
        <v>229</v>
      </c>
      <c r="K364" s="1" t="s">
        <v>118</v>
      </c>
      <c r="L364" s="1" t="s">
        <v>103</v>
      </c>
      <c r="M364" s="20">
        <v>89760</v>
      </c>
      <c r="P364" s="20">
        <v>130800</v>
      </c>
      <c r="Q364" s="20">
        <v>1068480</v>
      </c>
      <c r="R364" s="20">
        <v>1246800</v>
      </c>
      <c r="AB364" s="20">
        <v>2535840</v>
      </c>
      <c r="AF364" s="20">
        <v>261600</v>
      </c>
      <c r="AG364" s="20">
        <v>839520</v>
      </c>
      <c r="AH364" s="20">
        <v>1992000</v>
      </c>
      <c r="AR364" s="20">
        <v>3093120</v>
      </c>
      <c r="AS364" s="20">
        <v>112200</v>
      </c>
      <c r="AT364" s="20">
        <v>288000</v>
      </c>
      <c r="AV364" s="20">
        <v>98096</v>
      </c>
      <c r="AW364" s="20">
        <v>877680</v>
      </c>
      <c r="AX364" s="20">
        <v>1259400</v>
      </c>
      <c r="BH364" s="28">
        <v>2635376</v>
      </c>
      <c r="BI364" s="28">
        <v>8264336</v>
      </c>
    </row>
    <row r="365" spans="1:61" hidden="1" x14ac:dyDescent="0.3">
      <c r="A365" s="1" t="s">
        <v>739</v>
      </c>
      <c r="B365" s="1" t="s">
        <v>224</v>
      </c>
      <c r="C365" s="1" t="s">
        <v>225</v>
      </c>
      <c r="D365" s="1" t="s">
        <v>226</v>
      </c>
      <c r="E365" s="1" t="s">
        <v>225</v>
      </c>
      <c r="F365" s="1" t="s">
        <v>226</v>
      </c>
      <c r="G365" s="1" t="s">
        <v>871</v>
      </c>
      <c r="H365" s="1" t="s">
        <v>872</v>
      </c>
      <c r="I365" s="1" t="s">
        <v>224</v>
      </c>
      <c r="J365" s="1" t="s">
        <v>229</v>
      </c>
      <c r="K365" s="1" t="s">
        <v>118</v>
      </c>
      <c r="L365" s="1" t="s">
        <v>103</v>
      </c>
      <c r="M365" s="20">
        <v>287160</v>
      </c>
      <c r="P365" s="20">
        <v>130800</v>
      </c>
      <c r="Q365" s="20">
        <v>2452320</v>
      </c>
      <c r="R365" s="20">
        <v>2302416</v>
      </c>
      <c r="AB365" s="20">
        <v>5172696</v>
      </c>
      <c r="AC365" s="20">
        <v>201960</v>
      </c>
      <c r="AG365" s="20">
        <v>1977120</v>
      </c>
      <c r="AH365" s="20">
        <v>1474800</v>
      </c>
      <c r="AR365" s="20">
        <v>3653880</v>
      </c>
      <c r="AT365" s="20">
        <v>144000</v>
      </c>
      <c r="AV365" s="20">
        <v>98096</v>
      </c>
      <c r="AW365" s="20">
        <v>1650960</v>
      </c>
      <c r="AX365" s="20">
        <v>1936200</v>
      </c>
      <c r="BH365" s="28">
        <v>3829256</v>
      </c>
      <c r="BI365" s="28">
        <v>12655832</v>
      </c>
    </row>
    <row r="366" spans="1:61" hidden="1" x14ac:dyDescent="0.3">
      <c r="A366" s="1" t="s">
        <v>739</v>
      </c>
      <c r="B366" s="1" t="s">
        <v>224</v>
      </c>
      <c r="C366" s="1" t="s">
        <v>225</v>
      </c>
      <c r="D366" s="1" t="s">
        <v>226</v>
      </c>
      <c r="E366" s="1" t="s">
        <v>225</v>
      </c>
      <c r="F366" s="1" t="s">
        <v>226</v>
      </c>
      <c r="G366" s="1" t="s">
        <v>873</v>
      </c>
      <c r="H366" s="1" t="s">
        <v>874</v>
      </c>
      <c r="I366" s="1" t="s">
        <v>224</v>
      </c>
      <c r="J366" s="1" t="s">
        <v>229</v>
      </c>
      <c r="K366" s="1" t="s">
        <v>118</v>
      </c>
      <c r="L366" s="1" t="s">
        <v>103</v>
      </c>
      <c r="M366" s="20">
        <v>1980210</v>
      </c>
      <c r="Q366" s="20">
        <v>2161080</v>
      </c>
      <c r="R366" s="20">
        <v>2736000</v>
      </c>
      <c r="AB366" s="20">
        <v>6877290</v>
      </c>
      <c r="AC366" s="20">
        <v>920592</v>
      </c>
      <c r="AG366" s="20">
        <v>2153880</v>
      </c>
      <c r="AH366" s="20">
        <v>3184200</v>
      </c>
      <c r="AR366" s="20">
        <v>6258672</v>
      </c>
      <c r="AS366" s="20">
        <v>1786296</v>
      </c>
      <c r="AT366" s="20">
        <v>288000</v>
      </c>
      <c r="AV366" s="20">
        <v>98096</v>
      </c>
      <c r="AW366" s="20">
        <v>2486880</v>
      </c>
      <c r="AX366" s="20">
        <v>1993800</v>
      </c>
      <c r="BH366" s="28">
        <v>6653072</v>
      </c>
      <c r="BI366" s="28">
        <v>19789034</v>
      </c>
    </row>
    <row r="367" spans="1:61" hidden="1" x14ac:dyDescent="0.3">
      <c r="A367" s="1" t="s">
        <v>739</v>
      </c>
      <c r="B367" s="1" t="s">
        <v>224</v>
      </c>
      <c r="C367" s="1" t="s">
        <v>225</v>
      </c>
      <c r="D367" s="1" t="s">
        <v>226</v>
      </c>
      <c r="E367" s="1" t="s">
        <v>225</v>
      </c>
      <c r="F367" s="1" t="s">
        <v>226</v>
      </c>
      <c r="G367" s="1" t="s">
        <v>875</v>
      </c>
      <c r="H367" s="1" t="s">
        <v>876</v>
      </c>
      <c r="I367" s="1" t="s">
        <v>224</v>
      </c>
      <c r="J367" s="1" t="s">
        <v>229</v>
      </c>
      <c r="K367" s="1" t="s">
        <v>118</v>
      </c>
      <c r="L367" s="1" t="s">
        <v>103</v>
      </c>
      <c r="M367" s="20">
        <v>414960</v>
      </c>
      <c r="P367" s="20">
        <v>130800</v>
      </c>
      <c r="Q367" s="20">
        <v>1207080</v>
      </c>
      <c r="R367" s="20">
        <v>3161616</v>
      </c>
      <c r="AB367" s="20">
        <v>4914456</v>
      </c>
      <c r="AC367" s="20">
        <v>112200</v>
      </c>
      <c r="AG367" s="20">
        <v>1942560</v>
      </c>
      <c r="AH367" s="20">
        <v>1513800</v>
      </c>
      <c r="AR367" s="20">
        <v>3568560</v>
      </c>
      <c r="AS367" s="20">
        <v>325200</v>
      </c>
      <c r="AV367" s="20">
        <v>98096</v>
      </c>
      <c r="AW367" s="20">
        <v>1474200</v>
      </c>
      <c r="AX367" s="20">
        <v>2394600</v>
      </c>
      <c r="BH367" s="28">
        <v>4292096</v>
      </c>
      <c r="BI367" s="28">
        <v>12775112</v>
      </c>
    </row>
    <row r="368" spans="1:61" hidden="1" x14ac:dyDescent="0.3">
      <c r="A368" s="1" t="s">
        <v>739</v>
      </c>
      <c r="B368" s="1" t="s">
        <v>224</v>
      </c>
      <c r="C368" s="1" t="s">
        <v>225</v>
      </c>
      <c r="D368" s="1" t="s">
        <v>226</v>
      </c>
      <c r="E368" s="1" t="s">
        <v>225</v>
      </c>
      <c r="F368" s="1" t="s">
        <v>226</v>
      </c>
      <c r="G368" s="1" t="s">
        <v>877</v>
      </c>
      <c r="H368" s="1" t="s">
        <v>878</v>
      </c>
      <c r="I368" s="1" t="s">
        <v>224</v>
      </c>
      <c r="J368" s="1" t="s">
        <v>229</v>
      </c>
      <c r="K368" s="1" t="s">
        <v>118</v>
      </c>
      <c r="L368" s="1" t="s">
        <v>103</v>
      </c>
      <c r="M368" s="20">
        <v>1518990</v>
      </c>
      <c r="P368" s="20">
        <v>261600</v>
      </c>
      <c r="Q368" s="20">
        <v>2108880</v>
      </c>
      <c r="R368" s="20">
        <v>1544016</v>
      </c>
      <c r="AB368" s="20">
        <v>5433486</v>
      </c>
      <c r="AC368" s="20">
        <v>287796</v>
      </c>
      <c r="AF368" s="20">
        <v>130800</v>
      </c>
      <c r="AG368" s="20">
        <v>2039400</v>
      </c>
      <c r="AH368" s="20">
        <v>2277600</v>
      </c>
      <c r="AR368" s="20">
        <v>4735596</v>
      </c>
      <c r="AS368" s="20">
        <v>1334400</v>
      </c>
      <c r="AT368" s="20">
        <v>432000</v>
      </c>
      <c r="AV368" s="20">
        <v>196192</v>
      </c>
      <c r="AW368" s="20">
        <v>1834560</v>
      </c>
      <c r="AX368" s="20">
        <v>1732800</v>
      </c>
      <c r="BH368" s="28">
        <v>5529952</v>
      </c>
      <c r="BI368" s="28">
        <v>15699034</v>
      </c>
    </row>
    <row r="369" spans="1:61" hidden="1" x14ac:dyDescent="0.3">
      <c r="A369" s="1" t="s">
        <v>739</v>
      </c>
      <c r="B369" s="1" t="s">
        <v>224</v>
      </c>
      <c r="C369" s="1" t="s">
        <v>225</v>
      </c>
      <c r="D369" s="1" t="s">
        <v>226</v>
      </c>
      <c r="E369" s="1" t="s">
        <v>225</v>
      </c>
      <c r="F369" s="1" t="s">
        <v>226</v>
      </c>
      <c r="G369" s="1" t="s">
        <v>879</v>
      </c>
      <c r="H369" s="1" t="s">
        <v>880</v>
      </c>
      <c r="I369" s="1" t="s">
        <v>224</v>
      </c>
      <c r="J369" s="1" t="s">
        <v>229</v>
      </c>
      <c r="K369" s="1" t="s">
        <v>118</v>
      </c>
      <c r="L369" s="1" t="s">
        <v>103</v>
      </c>
      <c r="M369" s="20">
        <v>196260</v>
      </c>
      <c r="Q369" s="20">
        <v>2122920</v>
      </c>
      <c r="R369" s="20">
        <v>1751616</v>
      </c>
      <c r="AB369" s="20">
        <v>4070796</v>
      </c>
      <c r="AC369" s="20">
        <v>420660</v>
      </c>
      <c r="AG369" s="20">
        <v>1290240</v>
      </c>
      <c r="AH369" s="20">
        <v>1513800</v>
      </c>
      <c r="AR369" s="20">
        <v>3224700</v>
      </c>
      <c r="AS369" s="20">
        <v>106500</v>
      </c>
      <c r="AT369" s="20">
        <v>144000</v>
      </c>
      <c r="AW369" s="20">
        <v>2451960</v>
      </c>
      <c r="AX369" s="20">
        <v>1437600</v>
      </c>
      <c r="BH369" s="28">
        <v>4140060</v>
      </c>
      <c r="BI369" s="28">
        <v>11435556</v>
      </c>
    </row>
    <row r="370" spans="1:61" hidden="1" x14ac:dyDescent="0.3">
      <c r="A370" s="1" t="s">
        <v>739</v>
      </c>
      <c r="B370" s="1" t="s">
        <v>224</v>
      </c>
      <c r="C370" s="1" t="s">
        <v>225</v>
      </c>
      <c r="D370" s="1" t="s">
        <v>226</v>
      </c>
      <c r="E370" s="1" t="s">
        <v>225</v>
      </c>
      <c r="F370" s="1" t="s">
        <v>226</v>
      </c>
      <c r="G370" s="1" t="s">
        <v>881</v>
      </c>
      <c r="H370" s="1" t="s">
        <v>882</v>
      </c>
      <c r="I370" s="1" t="s">
        <v>224</v>
      </c>
      <c r="J370" s="1" t="s">
        <v>229</v>
      </c>
      <c r="K370" s="1" t="s">
        <v>118</v>
      </c>
      <c r="L370" s="1" t="s">
        <v>103</v>
      </c>
      <c r="M370" s="20">
        <v>2117310</v>
      </c>
      <c r="P370" s="20">
        <v>261600</v>
      </c>
      <c r="Q370" s="20">
        <v>2365920</v>
      </c>
      <c r="R370" s="20">
        <v>3664416</v>
      </c>
      <c r="AB370" s="20">
        <v>8409246</v>
      </c>
      <c r="AC370" s="20">
        <v>1202052</v>
      </c>
      <c r="AF370" s="20">
        <v>261600</v>
      </c>
      <c r="AG370" s="20">
        <v>2671200</v>
      </c>
      <c r="AH370" s="20">
        <v>3588216</v>
      </c>
      <c r="AR370" s="20">
        <v>7723068</v>
      </c>
      <c r="AS370" s="20">
        <v>1233480</v>
      </c>
      <c r="AT370" s="20">
        <v>288000</v>
      </c>
      <c r="AV370" s="20">
        <v>621280</v>
      </c>
      <c r="AW370" s="20">
        <v>2213280</v>
      </c>
      <c r="AX370" s="20">
        <v>4553400</v>
      </c>
      <c r="BH370" s="28">
        <v>8909440</v>
      </c>
      <c r="BI370" s="28">
        <v>25041754</v>
      </c>
    </row>
    <row r="371" spans="1:61" hidden="1" x14ac:dyDescent="0.3">
      <c r="A371" s="1" t="s">
        <v>739</v>
      </c>
      <c r="B371" s="1" t="s">
        <v>224</v>
      </c>
      <c r="C371" s="1" t="s">
        <v>225</v>
      </c>
      <c r="D371" s="1" t="s">
        <v>226</v>
      </c>
      <c r="E371" s="1" t="s">
        <v>225</v>
      </c>
      <c r="F371" s="1" t="s">
        <v>226</v>
      </c>
      <c r="G371" s="1" t="s">
        <v>883</v>
      </c>
      <c r="H371" s="1" t="s">
        <v>884</v>
      </c>
      <c r="I371" s="1" t="s">
        <v>224</v>
      </c>
      <c r="J371" s="1" t="s">
        <v>229</v>
      </c>
      <c r="K371" s="1" t="s">
        <v>118</v>
      </c>
      <c r="L371" s="1" t="s">
        <v>103</v>
      </c>
      <c r="M371" s="20">
        <v>112200</v>
      </c>
      <c r="P371" s="20">
        <v>130800</v>
      </c>
      <c r="Q371" s="20">
        <v>1411920</v>
      </c>
      <c r="R371" s="20">
        <v>2556000</v>
      </c>
      <c r="AB371" s="20">
        <v>4210920</v>
      </c>
      <c r="AC371" s="20">
        <v>224400</v>
      </c>
      <c r="AF371" s="20">
        <v>261600</v>
      </c>
      <c r="AG371" s="20">
        <v>1259280</v>
      </c>
      <c r="AH371" s="20">
        <v>2853600</v>
      </c>
      <c r="AR371" s="20">
        <v>4598880</v>
      </c>
      <c r="AT371" s="20">
        <v>288000</v>
      </c>
      <c r="AV371" s="20">
        <v>98096</v>
      </c>
      <c r="AW371" s="20">
        <v>877680</v>
      </c>
      <c r="AX371" s="20">
        <v>1849200</v>
      </c>
      <c r="BH371" s="28">
        <v>3112976</v>
      </c>
      <c r="BI371" s="28">
        <v>11922776</v>
      </c>
    </row>
    <row r="372" spans="1:61" hidden="1" x14ac:dyDescent="0.3">
      <c r="A372" s="1" t="s">
        <v>739</v>
      </c>
      <c r="B372" s="1" t="s">
        <v>224</v>
      </c>
      <c r="C372" s="1" t="s">
        <v>225</v>
      </c>
      <c r="D372" s="1" t="s">
        <v>226</v>
      </c>
      <c r="E372" s="1" t="s">
        <v>225</v>
      </c>
      <c r="F372" s="1" t="s">
        <v>226</v>
      </c>
      <c r="G372" s="1" t="s">
        <v>885</v>
      </c>
      <c r="H372" s="1" t="s">
        <v>886</v>
      </c>
      <c r="I372" s="1" t="s">
        <v>224</v>
      </c>
      <c r="J372" s="1" t="s">
        <v>229</v>
      </c>
      <c r="K372" s="1" t="s">
        <v>118</v>
      </c>
      <c r="L372" s="1" t="s">
        <v>103</v>
      </c>
      <c r="M372" s="20">
        <v>287160</v>
      </c>
      <c r="Q372" s="20">
        <v>1221120</v>
      </c>
      <c r="R372" s="20">
        <v>2953200</v>
      </c>
      <c r="AB372" s="20">
        <v>4461480</v>
      </c>
      <c r="AG372" s="20">
        <v>1259280</v>
      </c>
      <c r="AH372" s="20">
        <v>2993616</v>
      </c>
      <c r="AR372" s="20">
        <v>4252896</v>
      </c>
      <c r="AS372" s="20">
        <v>330900</v>
      </c>
      <c r="AT372" s="20">
        <v>144000</v>
      </c>
      <c r="AW372" s="20">
        <v>1182960</v>
      </c>
      <c r="AX372" s="20">
        <v>2855400</v>
      </c>
      <c r="BH372" s="28">
        <v>4513260</v>
      </c>
      <c r="BI372" s="28">
        <v>13227636</v>
      </c>
    </row>
    <row r="373" spans="1:61" hidden="1" x14ac:dyDescent="0.3">
      <c r="A373" s="1" t="s">
        <v>739</v>
      </c>
      <c r="B373" s="1" t="s">
        <v>224</v>
      </c>
      <c r="C373" s="1" t="s">
        <v>225</v>
      </c>
      <c r="D373" s="1" t="s">
        <v>226</v>
      </c>
      <c r="E373" s="1" t="s">
        <v>225</v>
      </c>
      <c r="F373" s="1" t="s">
        <v>226</v>
      </c>
      <c r="G373" s="1" t="s">
        <v>887</v>
      </c>
      <c r="H373" s="1" t="s">
        <v>888</v>
      </c>
      <c r="I373" s="1" t="s">
        <v>224</v>
      </c>
      <c r="J373" s="1" t="s">
        <v>229</v>
      </c>
      <c r="K373" s="1" t="s">
        <v>118</v>
      </c>
      <c r="L373" s="1" t="s">
        <v>103</v>
      </c>
      <c r="M373" s="20">
        <v>562320</v>
      </c>
      <c r="P373" s="20">
        <v>261600</v>
      </c>
      <c r="Q373" s="20">
        <v>2361960</v>
      </c>
      <c r="R373" s="20">
        <v>2930016</v>
      </c>
      <c r="AB373" s="20">
        <v>6115896</v>
      </c>
      <c r="AC373" s="20">
        <v>891816</v>
      </c>
      <c r="AF373" s="20">
        <v>130800</v>
      </c>
      <c r="AG373" s="20">
        <v>2799000</v>
      </c>
      <c r="AH373" s="20">
        <v>2836200</v>
      </c>
      <c r="AR373" s="20">
        <v>6657816</v>
      </c>
      <c r="AS373" s="20">
        <v>822900</v>
      </c>
      <c r="AT373" s="20">
        <v>144000</v>
      </c>
      <c r="AV373" s="20">
        <v>98096</v>
      </c>
      <c r="AW373" s="20">
        <v>1841760</v>
      </c>
      <c r="AX373" s="20">
        <v>2299200</v>
      </c>
      <c r="BH373" s="28">
        <v>5205956</v>
      </c>
      <c r="BI373" s="28">
        <v>17979668</v>
      </c>
    </row>
    <row r="374" spans="1:61" hidden="1" x14ac:dyDescent="0.3">
      <c r="A374" s="1" t="s">
        <v>739</v>
      </c>
      <c r="B374" s="1" t="s">
        <v>224</v>
      </c>
      <c r="C374" s="1" t="s">
        <v>225</v>
      </c>
      <c r="D374" s="1" t="s">
        <v>226</v>
      </c>
      <c r="E374" s="1" t="s">
        <v>225</v>
      </c>
      <c r="F374" s="1" t="s">
        <v>226</v>
      </c>
      <c r="G374" s="1" t="s">
        <v>889</v>
      </c>
      <c r="H374" s="1" t="s">
        <v>890</v>
      </c>
      <c r="I374" s="1" t="s">
        <v>224</v>
      </c>
      <c r="J374" s="1" t="s">
        <v>229</v>
      </c>
      <c r="K374" s="1" t="s">
        <v>118</v>
      </c>
      <c r="L374" s="1" t="s">
        <v>103</v>
      </c>
      <c r="M374" s="20">
        <v>493350</v>
      </c>
      <c r="P374" s="20">
        <v>130800</v>
      </c>
      <c r="Q374" s="20">
        <v>1297440</v>
      </c>
      <c r="R374" s="20">
        <v>2107200</v>
      </c>
      <c r="AB374" s="20">
        <v>4028790</v>
      </c>
      <c r="AC374" s="20">
        <v>935256</v>
      </c>
      <c r="AF374" s="20">
        <v>130800</v>
      </c>
      <c r="AG374" s="20">
        <v>1824480</v>
      </c>
      <c r="AH374" s="20">
        <v>2375400</v>
      </c>
      <c r="AR374" s="20">
        <v>5265936</v>
      </c>
      <c r="AV374" s="20">
        <v>294288</v>
      </c>
      <c r="AW374" s="20">
        <v>1866240</v>
      </c>
      <c r="AX374" s="20">
        <v>1485600</v>
      </c>
      <c r="BH374" s="28">
        <v>3646128</v>
      </c>
      <c r="BI374" s="28">
        <v>12940854</v>
      </c>
    </row>
    <row r="375" spans="1:61" hidden="1" x14ac:dyDescent="0.3">
      <c r="A375" s="1" t="s">
        <v>739</v>
      </c>
      <c r="B375" s="1" t="s">
        <v>224</v>
      </c>
      <c r="C375" s="1" t="s">
        <v>225</v>
      </c>
      <c r="D375" s="1" t="s">
        <v>226</v>
      </c>
      <c r="E375" s="1" t="s">
        <v>225</v>
      </c>
      <c r="F375" s="1" t="s">
        <v>226</v>
      </c>
      <c r="G375" s="1" t="s">
        <v>891</v>
      </c>
      <c r="H375" s="1" t="s">
        <v>892</v>
      </c>
      <c r="I375" s="1" t="s">
        <v>224</v>
      </c>
      <c r="J375" s="1" t="s">
        <v>229</v>
      </c>
      <c r="K375" s="1" t="s">
        <v>118</v>
      </c>
      <c r="L375" s="1" t="s">
        <v>103</v>
      </c>
      <c r="M375" s="20">
        <v>349920</v>
      </c>
      <c r="P375" s="20">
        <v>130800</v>
      </c>
      <c r="Q375" s="20">
        <v>3273840</v>
      </c>
      <c r="R375" s="20">
        <v>2073216</v>
      </c>
      <c r="AB375" s="20">
        <v>5827776</v>
      </c>
      <c r="AC375" s="20">
        <v>218700</v>
      </c>
      <c r="AF375" s="20">
        <v>130800</v>
      </c>
      <c r="AG375" s="20">
        <v>2233440</v>
      </c>
      <c r="AH375" s="20">
        <v>2892600</v>
      </c>
      <c r="AR375" s="20">
        <v>5475540</v>
      </c>
      <c r="AS375" s="20">
        <v>218700</v>
      </c>
      <c r="AT375" s="20">
        <v>144000</v>
      </c>
      <c r="AV375" s="20">
        <v>98096</v>
      </c>
      <c r="AW375" s="20">
        <v>2000880</v>
      </c>
      <c r="AX375" s="20">
        <v>1660200</v>
      </c>
      <c r="BH375" s="28">
        <v>4121876</v>
      </c>
      <c r="BI375" s="28">
        <v>15425192</v>
      </c>
    </row>
    <row r="376" spans="1:61" hidden="1" x14ac:dyDescent="0.3">
      <c r="A376" s="1" t="s">
        <v>739</v>
      </c>
      <c r="B376" s="1" t="s">
        <v>224</v>
      </c>
      <c r="C376" s="1" t="s">
        <v>225</v>
      </c>
      <c r="D376" s="1" t="s">
        <v>226</v>
      </c>
      <c r="E376" s="1" t="s">
        <v>225</v>
      </c>
      <c r="F376" s="1" t="s">
        <v>226</v>
      </c>
      <c r="G376" s="1" t="s">
        <v>893</v>
      </c>
      <c r="H376" s="1" t="s">
        <v>894</v>
      </c>
      <c r="I376" s="1" t="s">
        <v>224</v>
      </c>
      <c r="J376" s="1" t="s">
        <v>229</v>
      </c>
      <c r="K376" s="1" t="s">
        <v>118</v>
      </c>
      <c r="L376" s="1" t="s">
        <v>103</v>
      </c>
      <c r="M376" s="20">
        <v>174960</v>
      </c>
      <c r="P376" s="20">
        <v>130800</v>
      </c>
      <c r="Q376" s="20">
        <v>1841760</v>
      </c>
      <c r="R376" s="20">
        <v>1437600</v>
      </c>
      <c r="AB376" s="20">
        <v>3585120</v>
      </c>
      <c r="AC376" s="20">
        <v>330900</v>
      </c>
      <c r="AF376" s="20">
        <v>130800</v>
      </c>
      <c r="AG376" s="20">
        <v>2167920</v>
      </c>
      <c r="AH376" s="20">
        <v>425400</v>
      </c>
      <c r="AR376" s="20">
        <v>3055020</v>
      </c>
      <c r="AS376" s="20">
        <v>218700</v>
      </c>
      <c r="AT376" s="20">
        <v>576000</v>
      </c>
      <c r="AV376" s="20">
        <v>98096</v>
      </c>
      <c r="AW376" s="20">
        <v>1890360</v>
      </c>
      <c r="AX376" s="20">
        <v>580800</v>
      </c>
      <c r="BH376" s="28">
        <v>3363956</v>
      </c>
      <c r="BI376" s="28">
        <v>10004096</v>
      </c>
    </row>
    <row r="377" spans="1:61" hidden="1" x14ac:dyDescent="0.3">
      <c r="A377" s="1" t="s">
        <v>739</v>
      </c>
      <c r="B377" s="1" t="s">
        <v>224</v>
      </c>
      <c r="C377" s="1" t="s">
        <v>225</v>
      </c>
      <c r="D377" s="1" t="s">
        <v>226</v>
      </c>
      <c r="E377" s="1" t="s">
        <v>225</v>
      </c>
      <c r="F377" s="1" t="s">
        <v>226</v>
      </c>
      <c r="G377" s="1" t="s">
        <v>895</v>
      </c>
      <c r="H377" s="1" t="s">
        <v>896</v>
      </c>
      <c r="I377" s="1" t="s">
        <v>224</v>
      </c>
      <c r="J377" s="1" t="s">
        <v>229</v>
      </c>
      <c r="K377" s="1" t="s">
        <v>118</v>
      </c>
      <c r="L377" s="1" t="s">
        <v>103</v>
      </c>
      <c r="M377" s="20">
        <v>1547130</v>
      </c>
      <c r="P377" s="20">
        <v>392400</v>
      </c>
      <c r="Q377" s="20">
        <v>1956240</v>
      </c>
      <c r="R377" s="20">
        <v>4084032</v>
      </c>
      <c r="AB377" s="20">
        <v>7979802</v>
      </c>
      <c r="AC377" s="20">
        <v>2015844</v>
      </c>
      <c r="AG377" s="20">
        <v>2417400</v>
      </c>
      <c r="AH377" s="20">
        <v>3892416</v>
      </c>
      <c r="AR377" s="20">
        <v>8325660</v>
      </c>
      <c r="AS377" s="20">
        <v>1706796</v>
      </c>
      <c r="AT377" s="20">
        <v>144000</v>
      </c>
      <c r="AW377" s="20">
        <v>2067120</v>
      </c>
      <c r="AX377" s="20">
        <v>3300600</v>
      </c>
      <c r="BH377" s="28">
        <v>7218516</v>
      </c>
      <c r="BI377" s="28">
        <v>23523978</v>
      </c>
    </row>
    <row r="378" spans="1:61" hidden="1" x14ac:dyDescent="0.3">
      <c r="A378" s="1" t="s">
        <v>739</v>
      </c>
      <c r="B378" s="1" t="s">
        <v>224</v>
      </c>
      <c r="C378" s="1" t="s">
        <v>225</v>
      </c>
      <c r="D378" s="1" t="s">
        <v>226</v>
      </c>
      <c r="E378" s="1" t="s">
        <v>225</v>
      </c>
      <c r="F378" s="1" t="s">
        <v>226</v>
      </c>
      <c r="G378" s="1" t="s">
        <v>897</v>
      </c>
      <c r="H378" s="1" t="s">
        <v>898</v>
      </c>
      <c r="I378" s="1" t="s">
        <v>224</v>
      </c>
      <c r="J378" s="1" t="s">
        <v>229</v>
      </c>
      <c r="K378" s="1" t="s">
        <v>118</v>
      </c>
      <c r="L378" s="1" t="s">
        <v>103</v>
      </c>
      <c r="M378" s="20">
        <v>2005620</v>
      </c>
      <c r="P378" s="20">
        <v>130800</v>
      </c>
      <c r="Q378" s="20">
        <v>3277800</v>
      </c>
      <c r="R378" s="20">
        <v>3276816</v>
      </c>
      <c r="AB378" s="20">
        <v>8691036</v>
      </c>
      <c r="AC378" s="20">
        <v>392520</v>
      </c>
      <c r="AF378" s="20">
        <v>130800</v>
      </c>
      <c r="AG378" s="20">
        <v>3722040</v>
      </c>
      <c r="AH378" s="20">
        <v>2810400</v>
      </c>
      <c r="AR378" s="20">
        <v>7055760</v>
      </c>
      <c r="AS378" s="20">
        <v>1274400</v>
      </c>
      <c r="AT378" s="20">
        <v>144000</v>
      </c>
      <c r="AV378" s="20">
        <v>196192</v>
      </c>
      <c r="AW378" s="20">
        <v>3526920</v>
      </c>
      <c r="AX378" s="20">
        <v>2700000</v>
      </c>
      <c r="BH378" s="28">
        <v>7841512</v>
      </c>
      <c r="BI378" s="28">
        <v>23588308</v>
      </c>
    </row>
    <row r="379" spans="1:61" hidden="1" x14ac:dyDescent="0.3">
      <c r="A379" s="1" t="s">
        <v>739</v>
      </c>
      <c r="B379" s="1" t="s">
        <v>224</v>
      </c>
      <c r="C379" s="1" t="s">
        <v>225</v>
      </c>
      <c r="D379" s="1" t="s">
        <v>226</v>
      </c>
      <c r="E379" s="1" t="s">
        <v>225</v>
      </c>
      <c r="F379" s="1" t="s">
        <v>226</v>
      </c>
      <c r="G379" s="1" t="s">
        <v>899</v>
      </c>
      <c r="H379" s="1" t="s">
        <v>900</v>
      </c>
      <c r="I379" s="1" t="s">
        <v>224</v>
      </c>
      <c r="J379" s="1" t="s">
        <v>229</v>
      </c>
      <c r="K379" s="1" t="s">
        <v>118</v>
      </c>
      <c r="L379" s="1" t="s">
        <v>103</v>
      </c>
      <c r="Q379" s="20">
        <v>1068480</v>
      </c>
      <c r="R379" s="20">
        <v>1655616</v>
      </c>
      <c r="AB379" s="20">
        <v>2724096</v>
      </c>
      <c r="AG379" s="20">
        <v>1221120</v>
      </c>
      <c r="AH379" s="20">
        <v>1543200</v>
      </c>
      <c r="AR379" s="20">
        <v>2764320</v>
      </c>
      <c r="AT379" s="20">
        <v>144000</v>
      </c>
      <c r="AW379" s="20">
        <v>1335600</v>
      </c>
      <c r="AX379" s="20">
        <v>1490400</v>
      </c>
      <c r="BH379" s="28">
        <v>2970000</v>
      </c>
      <c r="BI379" s="28">
        <v>8458416</v>
      </c>
    </row>
    <row r="380" spans="1:61" hidden="1" x14ac:dyDescent="0.3">
      <c r="A380" s="1" t="s">
        <v>739</v>
      </c>
      <c r="B380" s="1" t="s">
        <v>224</v>
      </c>
      <c r="C380" s="1" t="s">
        <v>225</v>
      </c>
      <c r="D380" s="1" t="s">
        <v>226</v>
      </c>
      <c r="E380" s="1" t="s">
        <v>225</v>
      </c>
      <c r="F380" s="1" t="s">
        <v>226</v>
      </c>
      <c r="G380" s="1" t="s">
        <v>901</v>
      </c>
      <c r="H380" s="1" t="s">
        <v>902</v>
      </c>
      <c r="I380" s="1" t="s">
        <v>224</v>
      </c>
      <c r="J380" s="1" t="s">
        <v>229</v>
      </c>
      <c r="K380" s="1" t="s">
        <v>118</v>
      </c>
      <c r="L380" s="1" t="s">
        <v>103</v>
      </c>
      <c r="M380" s="20">
        <v>179520</v>
      </c>
      <c r="P380" s="20">
        <v>130800</v>
      </c>
      <c r="Q380" s="20">
        <v>1550520</v>
      </c>
      <c r="R380" s="20">
        <v>4055616</v>
      </c>
      <c r="AB380" s="20">
        <v>5916456</v>
      </c>
      <c r="AC380" s="20">
        <v>179520</v>
      </c>
      <c r="AF380" s="20">
        <v>130800</v>
      </c>
      <c r="AG380" s="20">
        <v>1973520</v>
      </c>
      <c r="AH380" s="20">
        <v>4085016</v>
      </c>
      <c r="AR380" s="20">
        <v>6368856</v>
      </c>
      <c r="AS380" s="20">
        <v>330900</v>
      </c>
      <c r="AT380" s="20">
        <v>144000</v>
      </c>
      <c r="AV380" s="20">
        <v>98096</v>
      </c>
      <c r="AW380" s="20">
        <v>1321560</v>
      </c>
      <c r="AX380" s="20">
        <v>4752000</v>
      </c>
      <c r="BH380" s="28">
        <v>6646556</v>
      </c>
      <c r="BI380" s="28">
        <v>18931868</v>
      </c>
    </row>
    <row r="381" spans="1:61" hidden="1" x14ac:dyDescent="0.3">
      <c r="A381" s="1" t="s">
        <v>739</v>
      </c>
      <c r="B381" s="1" t="s">
        <v>224</v>
      </c>
      <c r="C381" s="1" t="s">
        <v>225</v>
      </c>
      <c r="D381" s="1" t="s">
        <v>226</v>
      </c>
      <c r="E381" s="1" t="s">
        <v>225</v>
      </c>
      <c r="F381" s="1" t="s">
        <v>226</v>
      </c>
      <c r="G381" s="1" t="s">
        <v>903</v>
      </c>
      <c r="H381" s="1" t="s">
        <v>904</v>
      </c>
      <c r="I381" s="1" t="s">
        <v>224</v>
      </c>
      <c r="J381" s="1" t="s">
        <v>229</v>
      </c>
      <c r="K381" s="1" t="s">
        <v>118</v>
      </c>
      <c r="L381" s="1" t="s">
        <v>103</v>
      </c>
      <c r="M381" s="20">
        <v>1058400</v>
      </c>
      <c r="P381" s="20">
        <v>130800</v>
      </c>
      <c r="Q381" s="20">
        <v>4103280</v>
      </c>
      <c r="R381" s="20">
        <v>3056016</v>
      </c>
      <c r="AB381" s="20">
        <v>8348496</v>
      </c>
      <c r="AC381" s="20">
        <v>1139292</v>
      </c>
      <c r="AG381" s="20">
        <v>3572640</v>
      </c>
      <c r="AH381" s="20">
        <v>2394000</v>
      </c>
      <c r="AR381" s="20">
        <v>7105932</v>
      </c>
      <c r="AS381" s="20">
        <v>106500</v>
      </c>
      <c r="AT381" s="20">
        <v>288000</v>
      </c>
      <c r="AV381" s="20">
        <v>98096</v>
      </c>
      <c r="AW381" s="20">
        <v>2358360</v>
      </c>
      <c r="AX381" s="20">
        <v>2304000</v>
      </c>
      <c r="BH381" s="28">
        <v>5154956</v>
      </c>
      <c r="BI381" s="28">
        <v>20609384</v>
      </c>
    </row>
    <row r="382" spans="1:61" hidden="1" x14ac:dyDescent="0.3">
      <c r="A382" s="1" t="s">
        <v>739</v>
      </c>
      <c r="B382" s="1" t="s">
        <v>224</v>
      </c>
      <c r="C382" s="1" t="s">
        <v>225</v>
      </c>
      <c r="D382" s="1" t="s">
        <v>226</v>
      </c>
      <c r="E382" s="1" t="s">
        <v>225</v>
      </c>
      <c r="F382" s="1" t="s">
        <v>226</v>
      </c>
      <c r="G382" s="1" t="s">
        <v>905</v>
      </c>
      <c r="H382" s="1" t="s">
        <v>906</v>
      </c>
      <c r="I382" s="1" t="s">
        <v>224</v>
      </c>
      <c r="J382" s="1" t="s">
        <v>229</v>
      </c>
      <c r="K382" s="1" t="s">
        <v>118</v>
      </c>
      <c r="L382" s="1" t="s">
        <v>103</v>
      </c>
      <c r="M382" s="20">
        <v>420660</v>
      </c>
      <c r="P382" s="20">
        <v>261600</v>
      </c>
      <c r="Q382" s="20">
        <v>992160</v>
      </c>
      <c r="R382" s="20">
        <v>2873232</v>
      </c>
      <c r="AB382" s="20">
        <v>4547652</v>
      </c>
      <c r="AC382" s="20">
        <v>505860</v>
      </c>
      <c r="AG382" s="20">
        <v>1259280</v>
      </c>
      <c r="AH382" s="20">
        <v>2690400</v>
      </c>
      <c r="AR382" s="20">
        <v>4455540</v>
      </c>
      <c r="AS382" s="20">
        <v>330900</v>
      </c>
      <c r="AT382" s="20">
        <v>144000</v>
      </c>
      <c r="AV382" s="20">
        <v>98096</v>
      </c>
      <c r="AW382" s="20">
        <v>1221120</v>
      </c>
      <c r="AX382" s="20">
        <v>2404800</v>
      </c>
      <c r="BH382" s="28">
        <v>4198916</v>
      </c>
      <c r="BI382" s="28">
        <v>13202108</v>
      </c>
    </row>
    <row r="383" spans="1:61" hidden="1" x14ac:dyDescent="0.3">
      <c r="A383" s="1" t="s">
        <v>739</v>
      </c>
      <c r="B383" s="1" t="s">
        <v>224</v>
      </c>
      <c r="C383" s="1" t="s">
        <v>225</v>
      </c>
      <c r="D383" s="1" t="s">
        <v>226</v>
      </c>
      <c r="E383" s="1" t="s">
        <v>225</v>
      </c>
      <c r="F383" s="1" t="s">
        <v>226</v>
      </c>
      <c r="G383" s="1" t="s">
        <v>907</v>
      </c>
      <c r="H383" s="1" t="s">
        <v>908</v>
      </c>
      <c r="I383" s="1" t="s">
        <v>224</v>
      </c>
      <c r="J383" s="1" t="s">
        <v>229</v>
      </c>
      <c r="K383" s="1" t="s">
        <v>118</v>
      </c>
      <c r="L383" s="1" t="s">
        <v>103</v>
      </c>
      <c r="M383" s="20">
        <v>112200</v>
      </c>
      <c r="P383" s="20">
        <v>130800</v>
      </c>
      <c r="Q383" s="20">
        <v>2982600</v>
      </c>
      <c r="R383" s="20">
        <v>2472432</v>
      </c>
      <c r="AB383" s="20">
        <v>5698032</v>
      </c>
      <c r="AC383" s="20">
        <v>287160</v>
      </c>
      <c r="AG383" s="20">
        <v>1866240</v>
      </c>
      <c r="AH383" s="20">
        <v>3235200</v>
      </c>
      <c r="AR383" s="20">
        <v>5388600</v>
      </c>
      <c r="AS383" s="20">
        <v>218700</v>
      </c>
      <c r="AW383" s="20">
        <v>3396240</v>
      </c>
      <c r="AX383" s="20">
        <v>3493800</v>
      </c>
      <c r="BH383" s="28">
        <v>7108740</v>
      </c>
      <c r="BI383" s="28">
        <v>18195372</v>
      </c>
    </row>
    <row r="384" spans="1:61" hidden="1" x14ac:dyDescent="0.3">
      <c r="A384" s="1" t="s">
        <v>739</v>
      </c>
      <c r="B384" s="1" t="s">
        <v>224</v>
      </c>
      <c r="C384" s="1" t="s">
        <v>225</v>
      </c>
      <c r="D384" s="1" t="s">
        <v>226</v>
      </c>
      <c r="E384" s="1" t="s">
        <v>225</v>
      </c>
      <c r="F384" s="1" t="s">
        <v>226</v>
      </c>
      <c r="G384" s="1" t="s">
        <v>909</v>
      </c>
      <c r="H384" s="1" t="s">
        <v>910</v>
      </c>
      <c r="I384" s="1" t="s">
        <v>224</v>
      </c>
      <c r="J384" s="1" t="s">
        <v>229</v>
      </c>
      <c r="K384" s="1" t="s">
        <v>118</v>
      </c>
      <c r="L384" s="1" t="s">
        <v>103</v>
      </c>
      <c r="M384" s="20">
        <v>179520</v>
      </c>
      <c r="Q384" s="20">
        <v>2386080</v>
      </c>
      <c r="R384" s="20">
        <v>2570016</v>
      </c>
      <c r="AB384" s="20">
        <v>5135616</v>
      </c>
      <c r="AG384" s="20">
        <v>2660400</v>
      </c>
      <c r="AH384" s="20">
        <v>2238600</v>
      </c>
      <c r="AR384" s="20">
        <v>4899000</v>
      </c>
      <c r="AS384" s="20">
        <v>224400</v>
      </c>
      <c r="AW384" s="20">
        <v>3045240</v>
      </c>
      <c r="AX384" s="20">
        <v>2908200</v>
      </c>
      <c r="BH384" s="28">
        <v>6177840</v>
      </c>
      <c r="BI384" s="28">
        <v>16212456</v>
      </c>
    </row>
    <row r="385" spans="1:61" hidden="1" x14ac:dyDescent="0.3">
      <c r="A385" s="1" t="s">
        <v>739</v>
      </c>
      <c r="B385" s="1" t="s">
        <v>224</v>
      </c>
      <c r="C385" s="1" t="s">
        <v>225</v>
      </c>
      <c r="D385" s="1" t="s">
        <v>226</v>
      </c>
      <c r="E385" s="1" t="s">
        <v>225</v>
      </c>
      <c r="F385" s="1" t="s">
        <v>226</v>
      </c>
      <c r="G385" s="1" t="s">
        <v>911</v>
      </c>
      <c r="H385" s="1" t="s">
        <v>912</v>
      </c>
      <c r="I385" s="1" t="s">
        <v>224</v>
      </c>
      <c r="J385" s="1" t="s">
        <v>229</v>
      </c>
      <c r="K385" s="1" t="s">
        <v>118</v>
      </c>
      <c r="L385" s="1" t="s">
        <v>103</v>
      </c>
      <c r="M385" s="20">
        <v>793680</v>
      </c>
      <c r="P385" s="20">
        <v>261600</v>
      </c>
      <c r="Q385" s="20">
        <v>1259280</v>
      </c>
      <c r="R385" s="20">
        <v>3726816</v>
      </c>
      <c r="AB385" s="20">
        <v>6041376</v>
      </c>
      <c r="AC385" s="20">
        <v>1025316</v>
      </c>
      <c r="AF385" s="20">
        <v>130800</v>
      </c>
      <c r="AG385" s="20">
        <v>1259280</v>
      </c>
      <c r="AH385" s="20">
        <v>4544616</v>
      </c>
      <c r="AR385" s="20">
        <v>6960012</v>
      </c>
      <c r="AS385" s="20">
        <v>293496</v>
      </c>
      <c r="AT385" s="20">
        <v>432000</v>
      </c>
      <c r="AV385" s="20">
        <v>196192</v>
      </c>
      <c r="AW385" s="20">
        <v>1564560</v>
      </c>
      <c r="AX385" s="20">
        <v>4083600</v>
      </c>
      <c r="BH385" s="28">
        <v>6569848</v>
      </c>
      <c r="BI385" s="28">
        <v>19571236</v>
      </c>
    </row>
    <row r="386" spans="1:61" hidden="1" x14ac:dyDescent="0.3">
      <c r="A386" s="1" t="s">
        <v>739</v>
      </c>
      <c r="B386" s="1" t="s">
        <v>224</v>
      </c>
      <c r="C386" s="1" t="s">
        <v>225</v>
      </c>
      <c r="D386" s="1" t="s">
        <v>226</v>
      </c>
      <c r="E386" s="1" t="s">
        <v>225</v>
      </c>
      <c r="F386" s="1" t="s">
        <v>226</v>
      </c>
      <c r="G386" s="1" t="s">
        <v>913</v>
      </c>
      <c r="H386" s="1" t="s">
        <v>914</v>
      </c>
      <c r="I386" s="1" t="s">
        <v>224</v>
      </c>
      <c r="J386" s="1" t="s">
        <v>229</v>
      </c>
      <c r="K386" s="1" t="s">
        <v>118</v>
      </c>
      <c r="L386" s="1" t="s">
        <v>103</v>
      </c>
      <c r="M386" s="20">
        <v>281460</v>
      </c>
      <c r="Q386" s="20">
        <v>1450080</v>
      </c>
      <c r="R386" s="20">
        <v>2744016</v>
      </c>
      <c r="AB386" s="20">
        <v>4475556</v>
      </c>
      <c r="AC386" s="20">
        <v>281460</v>
      </c>
      <c r="AG386" s="20">
        <v>1068480</v>
      </c>
      <c r="AH386" s="20">
        <v>1204800</v>
      </c>
      <c r="AR386" s="20">
        <v>2554740</v>
      </c>
      <c r="AS386" s="20">
        <v>218700</v>
      </c>
      <c r="AT386" s="20">
        <v>288000</v>
      </c>
      <c r="AW386" s="20">
        <v>1526400</v>
      </c>
      <c r="AX386" s="20">
        <v>2332200</v>
      </c>
      <c r="BH386" s="28">
        <v>4365300</v>
      </c>
      <c r="BI386" s="28">
        <v>11395596</v>
      </c>
    </row>
    <row r="387" spans="1:61" hidden="1" x14ac:dyDescent="0.3">
      <c r="A387" s="1" t="s">
        <v>739</v>
      </c>
      <c r="B387" s="1" t="s">
        <v>224</v>
      </c>
      <c r="C387" s="1" t="s">
        <v>225</v>
      </c>
      <c r="D387" s="1" t="s">
        <v>226</v>
      </c>
      <c r="E387" s="1" t="s">
        <v>225</v>
      </c>
      <c r="F387" s="1" t="s">
        <v>226</v>
      </c>
      <c r="G387" s="1" t="s">
        <v>915</v>
      </c>
      <c r="H387" s="1" t="s">
        <v>916</v>
      </c>
      <c r="I387" s="1" t="s">
        <v>224</v>
      </c>
      <c r="J387" s="1" t="s">
        <v>229</v>
      </c>
      <c r="K387" s="1" t="s">
        <v>118</v>
      </c>
      <c r="L387" s="1" t="s">
        <v>103</v>
      </c>
      <c r="M387" s="20">
        <v>376920</v>
      </c>
      <c r="P387" s="20">
        <v>130800</v>
      </c>
      <c r="Q387" s="20">
        <v>1221120</v>
      </c>
      <c r="R387" s="20">
        <v>1485600</v>
      </c>
      <c r="AB387" s="20">
        <v>3214440</v>
      </c>
      <c r="AG387" s="20">
        <v>1564560</v>
      </c>
      <c r="AH387" s="20">
        <v>1755600</v>
      </c>
      <c r="AR387" s="20">
        <v>3320160</v>
      </c>
      <c r="AW387" s="20">
        <v>1717200</v>
      </c>
      <c r="AX387" s="20">
        <v>2046600</v>
      </c>
      <c r="BH387" s="28">
        <v>3763800</v>
      </c>
      <c r="BI387" s="28">
        <v>10298400</v>
      </c>
    </row>
    <row r="388" spans="1:61" hidden="1" x14ac:dyDescent="0.3">
      <c r="A388" s="1" t="s">
        <v>739</v>
      </c>
      <c r="B388" s="1" t="s">
        <v>224</v>
      </c>
      <c r="C388" s="1" t="s">
        <v>225</v>
      </c>
      <c r="D388" s="1" t="s">
        <v>226</v>
      </c>
      <c r="E388" s="1" t="s">
        <v>225</v>
      </c>
      <c r="F388" s="1" t="s">
        <v>226</v>
      </c>
      <c r="G388" s="1" t="s">
        <v>917</v>
      </c>
      <c r="H388" s="1" t="s">
        <v>918</v>
      </c>
      <c r="I388" s="1" t="s">
        <v>224</v>
      </c>
      <c r="J388" s="1" t="s">
        <v>229</v>
      </c>
      <c r="K388" s="1" t="s">
        <v>118</v>
      </c>
      <c r="L388" s="1" t="s">
        <v>103</v>
      </c>
      <c r="M388" s="20">
        <v>260160</v>
      </c>
      <c r="Q388" s="20">
        <v>1450080</v>
      </c>
      <c r="R388" s="20">
        <v>3964416</v>
      </c>
      <c r="AB388" s="20">
        <v>5674656</v>
      </c>
      <c r="AC388" s="20">
        <v>179520</v>
      </c>
      <c r="AF388" s="20">
        <v>130800</v>
      </c>
      <c r="AG388" s="20">
        <v>1755360</v>
      </c>
      <c r="AH388" s="20">
        <v>3858216</v>
      </c>
      <c r="AR388" s="20">
        <v>5923896</v>
      </c>
      <c r="AS388" s="20">
        <v>330900</v>
      </c>
      <c r="AT388" s="20">
        <v>144000</v>
      </c>
      <c r="AV388" s="20">
        <v>326992</v>
      </c>
      <c r="AW388" s="20">
        <v>1526400</v>
      </c>
      <c r="AX388" s="20">
        <v>3504000</v>
      </c>
      <c r="BH388" s="28">
        <v>5832292</v>
      </c>
      <c r="BI388" s="28">
        <v>17430844</v>
      </c>
    </row>
    <row r="389" spans="1:61" hidden="1" x14ac:dyDescent="0.3">
      <c r="A389" s="1" t="s">
        <v>739</v>
      </c>
      <c r="B389" s="1" t="s">
        <v>224</v>
      </c>
      <c r="C389" s="1" t="s">
        <v>225</v>
      </c>
      <c r="D389" s="1" t="s">
        <v>226</v>
      </c>
      <c r="E389" s="1" t="s">
        <v>225</v>
      </c>
      <c r="F389" s="1" t="s">
        <v>226</v>
      </c>
      <c r="G389" s="1" t="s">
        <v>919</v>
      </c>
      <c r="H389" s="1" t="s">
        <v>920</v>
      </c>
      <c r="I389" s="1" t="s">
        <v>224</v>
      </c>
      <c r="J389" s="1" t="s">
        <v>229</v>
      </c>
      <c r="K389" s="1" t="s">
        <v>118</v>
      </c>
      <c r="L389" s="1" t="s">
        <v>103</v>
      </c>
      <c r="M389" s="20">
        <v>218700</v>
      </c>
      <c r="P389" s="20">
        <v>130800</v>
      </c>
      <c r="Q389" s="20">
        <v>2209320</v>
      </c>
      <c r="R389" s="20">
        <v>1723200</v>
      </c>
      <c r="AB389" s="20">
        <v>4282020</v>
      </c>
      <c r="AC389" s="20">
        <v>308460</v>
      </c>
      <c r="AG389" s="20">
        <v>1702800</v>
      </c>
      <c r="AH389" s="20">
        <v>2597400</v>
      </c>
      <c r="AR389" s="20">
        <v>4608660</v>
      </c>
      <c r="AS389" s="20">
        <v>112200</v>
      </c>
      <c r="AT389" s="20">
        <v>144000</v>
      </c>
      <c r="AV389" s="20">
        <v>98096</v>
      </c>
      <c r="AW389" s="20">
        <v>2376000</v>
      </c>
      <c r="AX389" s="20">
        <v>2769600</v>
      </c>
      <c r="BH389" s="28">
        <v>5499896</v>
      </c>
      <c r="BI389" s="28">
        <v>14390576</v>
      </c>
    </row>
    <row r="390" spans="1:61" hidden="1" x14ac:dyDescent="0.3">
      <c r="A390" s="1" t="s">
        <v>739</v>
      </c>
      <c r="B390" s="1" t="s">
        <v>224</v>
      </c>
      <c r="C390" s="1" t="s">
        <v>225</v>
      </c>
      <c r="D390" s="1" t="s">
        <v>226</v>
      </c>
      <c r="E390" s="1" t="s">
        <v>225</v>
      </c>
      <c r="F390" s="1" t="s">
        <v>226</v>
      </c>
      <c r="G390" s="1" t="s">
        <v>921</v>
      </c>
      <c r="H390" s="1" t="s">
        <v>922</v>
      </c>
      <c r="I390" s="1" t="s">
        <v>224</v>
      </c>
      <c r="J390" s="1" t="s">
        <v>229</v>
      </c>
      <c r="K390" s="1" t="s">
        <v>118</v>
      </c>
      <c r="L390" s="1" t="s">
        <v>103</v>
      </c>
      <c r="M390" s="20">
        <v>891060</v>
      </c>
      <c r="P390" s="20">
        <v>130800</v>
      </c>
      <c r="Q390" s="20">
        <v>343440</v>
      </c>
      <c r="R390" s="20">
        <v>1124400</v>
      </c>
      <c r="AB390" s="20">
        <v>2489700</v>
      </c>
      <c r="AC390" s="20">
        <v>558000</v>
      </c>
      <c r="AG390" s="20">
        <v>152640</v>
      </c>
      <c r="AH390" s="20">
        <v>2364816</v>
      </c>
      <c r="AR390" s="20">
        <v>3075456</v>
      </c>
      <c r="AS390" s="20">
        <v>445500</v>
      </c>
      <c r="AT390" s="20">
        <v>144000</v>
      </c>
      <c r="AW390" s="20">
        <v>305280</v>
      </c>
      <c r="AX390" s="20">
        <v>1543200</v>
      </c>
      <c r="BH390" s="28">
        <v>2437980</v>
      </c>
      <c r="BI390" s="28">
        <v>8003136</v>
      </c>
    </row>
    <row r="391" spans="1:61" hidden="1" x14ac:dyDescent="0.3">
      <c r="A391" s="1" t="s">
        <v>739</v>
      </c>
      <c r="B391" s="1" t="s">
        <v>224</v>
      </c>
      <c r="C391" s="1" t="s">
        <v>225</v>
      </c>
      <c r="D391" s="1" t="s">
        <v>226</v>
      </c>
      <c r="E391" s="1" t="s">
        <v>225</v>
      </c>
      <c r="F391" s="1" t="s">
        <v>226</v>
      </c>
      <c r="G391" s="1" t="s">
        <v>923</v>
      </c>
      <c r="H391" s="1" t="s">
        <v>924</v>
      </c>
      <c r="I391" s="1" t="s">
        <v>224</v>
      </c>
      <c r="J391" s="1" t="s">
        <v>229</v>
      </c>
      <c r="K391" s="1" t="s">
        <v>118</v>
      </c>
      <c r="L391" s="1" t="s">
        <v>103</v>
      </c>
      <c r="M391" s="20">
        <v>1380600</v>
      </c>
      <c r="P391" s="20">
        <v>130800</v>
      </c>
      <c r="Q391" s="20">
        <v>2143080</v>
      </c>
      <c r="R391" s="20">
        <v>3732816</v>
      </c>
      <c r="AB391" s="20">
        <v>7387296</v>
      </c>
      <c r="AC391" s="20">
        <v>1668852</v>
      </c>
      <c r="AF391" s="20">
        <v>130800</v>
      </c>
      <c r="AG391" s="20">
        <v>2253960</v>
      </c>
      <c r="AH391" s="20">
        <v>1470000</v>
      </c>
      <c r="AR391" s="20">
        <v>5523612</v>
      </c>
      <c r="AS391" s="20">
        <v>1098900</v>
      </c>
      <c r="AT391" s="20">
        <v>144000</v>
      </c>
      <c r="AV391" s="20">
        <v>98096</v>
      </c>
      <c r="AW391" s="20">
        <v>2257920</v>
      </c>
      <c r="AX391" s="20">
        <v>2870400</v>
      </c>
      <c r="BH391" s="28">
        <v>6469316</v>
      </c>
      <c r="BI391" s="28">
        <v>19380224</v>
      </c>
    </row>
    <row r="392" spans="1:61" hidden="1" x14ac:dyDescent="0.3">
      <c r="A392" s="1" t="s">
        <v>739</v>
      </c>
      <c r="B392" s="1" t="s">
        <v>224</v>
      </c>
      <c r="C392" s="1" t="s">
        <v>225</v>
      </c>
      <c r="D392" s="1" t="s">
        <v>226</v>
      </c>
      <c r="E392" s="1" t="s">
        <v>225</v>
      </c>
      <c r="F392" s="1" t="s">
        <v>226</v>
      </c>
      <c r="G392" s="1" t="s">
        <v>925</v>
      </c>
      <c r="H392" s="1" t="s">
        <v>926</v>
      </c>
      <c r="I392" s="1" t="s">
        <v>224</v>
      </c>
      <c r="J392" s="1" t="s">
        <v>229</v>
      </c>
      <c r="K392" s="1" t="s">
        <v>118</v>
      </c>
      <c r="L392" s="1" t="s">
        <v>103</v>
      </c>
      <c r="M392" s="20">
        <v>89760</v>
      </c>
      <c r="Q392" s="20">
        <v>1450080</v>
      </c>
      <c r="R392" s="20">
        <v>2038800</v>
      </c>
      <c r="AB392" s="20">
        <v>3578640</v>
      </c>
      <c r="AC392" s="20">
        <v>308460</v>
      </c>
      <c r="AG392" s="20">
        <v>915840</v>
      </c>
      <c r="AH392" s="20">
        <v>1906200</v>
      </c>
      <c r="AR392" s="20">
        <v>3130500</v>
      </c>
      <c r="AT392" s="20">
        <v>288000</v>
      </c>
      <c r="AW392" s="20">
        <v>648720</v>
      </c>
      <c r="AX392" s="20">
        <v>2119200</v>
      </c>
      <c r="BH392" s="28">
        <v>3055920</v>
      </c>
      <c r="BI392" s="28">
        <v>9765060</v>
      </c>
    </row>
    <row r="393" spans="1:61" hidden="1" x14ac:dyDescent="0.3">
      <c r="A393" s="1" t="s">
        <v>739</v>
      </c>
      <c r="B393" s="1" t="s">
        <v>224</v>
      </c>
      <c r="C393" s="1" t="s">
        <v>225</v>
      </c>
      <c r="D393" s="1" t="s">
        <v>226</v>
      </c>
      <c r="E393" s="1" t="s">
        <v>225</v>
      </c>
      <c r="F393" s="1" t="s">
        <v>226</v>
      </c>
      <c r="G393" s="1" t="s">
        <v>927</v>
      </c>
      <c r="H393" s="1" t="s">
        <v>928</v>
      </c>
      <c r="I393" s="1" t="s">
        <v>224</v>
      </c>
      <c r="J393" s="1" t="s">
        <v>229</v>
      </c>
      <c r="K393" s="1" t="s">
        <v>118</v>
      </c>
      <c r="L393" s="1" t="s">
        <v>103</v>
      </c>
      <c r="M393" s="20">
        <v>360360</v>
      </c>
      <c r="P393" s="20">
        <v>261600</v>
      </c>
      <c r="Q393" s="20">
        <v>1221120</v>
      </c>
      <c r="R393" s="20">
        <v>1620000</v>
      </c>
      <c r="AB393" s="20">
        <v>3463080</v>
      </c>
      <c r="AC393" s="20">
        <v>1095552</v>
      </c>
      <c r="AG393" s="20">
        <v>1411920</v>
      </c>
      <c r="AH393" s="20">
        <v>3734016</v>
      </c>
      <c r="AR393" s="20">
        <v>6241488</v>
      </c>
      <c r="AS393" s="20">
        <v>218700</v>
      </c>
      <c r="AT393" s="20">
        <v>288000</v>
      </c>
      <c r="AV393" s="20">
        <v>196192</v>
      </c>
      <c r="AW393" s="20">
        <v>1335600</v>
      </c>
      <c r="AX393" s="20">
        <v>2908200</v>
      </c>
      <c r="BH393" s="28">
        <v>4946692</v>
      </c>
      <c r="BI393" s="28">
        <v>14651260</v>
      </c>
    </row>
    <row r="394" spans="1:61" hidden="1" x14ac:dyDescent="0.3">
      <c r="A394" s="1" t="s">
        <v>739</v>
      </c>
      <c r="B394" s="1" t="s">
        <v>224</v>
      </c>
      <c r="C394" s="1" t="s">
        <v>225</v>
      </c>
      <c r="D394" s="1" t="s">
        <v>226</v>
      </c>
      <c r="E394" s="1" t="s">
        <v>225</v>
      </c>
      <c r="F394" s="1" t="s">
        <v>226</v>
      </c>
      <c r="G394" s="1" t="s">
        <v>929</v>
      </c>
      <c r="H394" s="1" t="s">
        <v>930</v>
      </c>
      <c r="I394" s="1" t="s">
        <v>224</v>
      </c>
      <c r="J394" s="1" t="s">
        <v>229</v>
      </c>
      <c r="K394" s="1" t="s">
        <v>118</v>
      </c>
      <c r="L394" s="1" t="s">
        <v>103</v>
      </c>
      <c r="M394" s="20">
        <v>445500</v>
      </c>
      <c r="P394" s="20">
        <v>261600</v>
      </c>
      <c r="Q394" s="20">
        <v>2771640</v>
      </c>
      <c r="R394" s="20">
        <v>1298400</v>
      </c>
      <c r="AB394" s="20">
        <v>4777140</v>
      </c>
      <c r="AF394" s="20">
        <v>130800</v>
      </c>
      <c r="AG394" s="20">
        <v>3066120</v>
      </c>
      <c r="AH394" s="20">
        <v>919200</v>
      </c>
      <c r="AR394" s="20">
        <v>4116120</v>
      </c>
      <c r="AS394" s="20">
        <v>224400</v>
      </c>
      <c r="AW394" s="20">
        <v>2014560</v>
      </c>
      <c r="AX394" s="20">
        <v>285600</v>
      </c>
      <c r="BH394" s="28">
        <v>2524560</v>
      </c>
      <c r="BI394" s="28">
        <v>11417820</v>
      </c>
    </row>
    <row r="395" spans="1:61" hidden="1" x14ac:dyDescent="0.3">
      <c r="A395" s="1" t="s">
        <v>739</v>
      </c>
      <c r="B395" s="1" t="s">
        <v>224</v>
      </c>
      <c r="C395" s="1" t="s">
        <v>225</v>
      </c>
      <c r="D395" s="1" t="s">
        <v>226</v>
      </c>
      <c r="E395" s="1" t="s">
        <v>225</v>
      </c>
      <c r="F395" s="1" t="s">
        <v>226</v>
      </c>
      <c r="G395" s="1" t="s">
        <v>931</v>
      </c>
      <c r="H395" s="1" t="s">
        <v>932</v>
      </c>
      <c r="I395" s="1" t="s">
        <v>224</v>
      </c>
      <c r="J395" s="1" t="s">
        <v>229</v>
      </c>
      <c r="K395" s="1" t="s">
        <v>118</v>
      </c>
      <c r="L395" s="1" t="s">
        <v>103</v>
      </c>
      <c r="M395" s="20">
        <v>394800</v>
      </c>
      <c r="P395" s="20">
        <v>130800</v>
      </c>
      <c r="Q395" s="20">
        <v>1259280</v>
      </c>
      <c r="R395" s="20">
        <v>1875600</v>
      </c>
      <c r="AB395" s="20">
        <v>3660480</v>
      </c>
      <c r="AC395" s="20">
        <v>403920</v>
      </c>
      <c r="AG395" s="20">
        <v>1602720</v>
      </c>
      <c r="AH395" s="20">
        <v>2341416</v>
      </c>
      <c r="AR395" s="20">
        <v>4348056</v>
      </c>
      <c r="AT395" s="20">
        <v>144000</v>
      </c>
      <c r="AV395" s="20">
        <v>130800</v>
      </c>
      <c r="AW395" s="20">
        <v>1679040</v>
      </c>
      <c r="AX395" s="20">
        <v>1728000</v>
      </c>
      <c r="BH395" s="28">
        <v>3681840</v>
      </c>
      <c r="BI395" s="28">
        <v>11690376</v>
      </c>
    </row>
    <row r="396" spans="1:61" hidden="1" x14ac:dyDescent="0.3">
      <c r="A396" s="1" t="s">
        <v>739</v>
      </c>
      <c r="B396" s="1" t="s">
        <v>224</v>
      </c>
      <c r="C396" s="1" t="s">
        <v>225</v>
      </c>
      <c r="D396" s="1" t="s">
        <v>226</v>
      </c>
      <c r="E396" s="1" t="s">
        <v>225</v>
      </c>
      <c r="F396" s="1" t="s">
        <v>226</v>
      </c>
      <c r="G396" s="1" t="s">
        <v>933</v>
      </c>
      <c r="H396" s="1" t="s">
        <v>934</v>
      </c>
      <c r="I396" s="1" t="s">
        <v>224</v>
      </c>
      <c r="J396" s="1" t="s">
        <v>229</v>
      </c>
      <c r="K396" s="1" t="s">
        <v>118</v>
      </c>
      <c r="L396" s="1" t="s">
        <v>103</v>
      </c>
      <c r="M396" s="20">
        <v>1126980</v>
      </c>
      <c r="P396" s="20">
        <v>130800</v>
      </c>
      <c r="Q396" s="20">
        <v>2219400</v>
      </c>
      <c r="R396" s="20">
        <v>2289216</v>
      </c>
      <c r="AB396" s="20">
        <v>5766396</v>
      </c>
      <c r="AC396" s="20">
        <v>1010052</v>
      </c>
      <c r="AF396" s="20">
        <v>130800</v>
      </c>
      <c r="AG396" s="20">
        <v>2409840</v>
      </c>
      <c r="AH396" s="20">
        <v>2282616</v>
      </c>
      <c r="AR396" s="20">
        <v>5833308</v>
      </c>
      <c r="AS396" s="20">
        <v>112200</v>
      </c>
      <c r="AT396" s="20">
        <v>144000</v>
      </c>
      <c r="AV396" s="20">
        <v>392384</v>
      </c>
      <c r="AW396" s="20">
        <v>1970280</v>
      </c>
      <c r="AX396" s="20">
        <v>1960800</v>
      </c>
      <c r="BH396" s="28">
        <v>4579664</v>
      </c>
      <c r="BI396" s="28">
        <v>16179368</v>
      </c>
    </row>
    <row r="397" spans="1:61" hidden="1" x14ac:dyDescent="0.3">
      <c r="A397" s="1" t="s">
        <v>739</v>
      </c>
      <c r="B397" s="1" t="s">
        <v>224</v>
      </c>
      <c r="C397" s="1" t="s">
        <v>225</v>
      </c>
      <c r="D397" s="1" t="s">
        <v>226</v>
      </c>
      <c r="E397" s="1" t="s">
        <v>225</v>
      </c>
      <c r="F397" s="1" t="s">
        <v>226</v>
      </c>
      <c r="G397" s="1" t="s">
        <v>935</v>
      </c>
      <c r="H397" s="1" t="s">
        <v>936</v>
      </c>
      <c r="I397" s="1" t="s">
        <v>224</v>
      </c>
      <c r="J397" s="1" t="s">
        <v>229</v>
      </c>
      <c r="K397" s="1" t="s">
        <v>118</v>
      </c>
      <c r="L397" s="1" t="s">
        <v>103</v>
      </c>
      <c r="M397" s="20">
        <v>196260</v>
      </c>
      <c r="P397" s="20">
        <v>130800</v>
      </c>
      <c r="Q397" s="20">
        <v>1193040</v>
      </c>
      <c r="R397" s="20">
        <v>1713216</v>
      </c>
      <c r="AB397" s="20">
        <v>3233316</v>
      </c>
      <c r="AC397" s="20">
        <v>106500</v>
      </c>
      <c r="AF397" s="20">
        <v>130800</v>
      </c>
      <c r="AG397" s="20">
        <v>1130400</v>
      </c>
      <c r="AH397" s="20">
        <v>2524200</v>
      </c>
      <c r="AR397" s="20">
        <v>3891900</v>
      </c>
      <c r="AS397" s="20">
        <v>112200</v>
      </c>
      <c r="AT397" s="20">
        <v>144000</v>
      </c>
      <c r="AV397" s="20">
        <v>98096</v>
      </c>
      <c r="AW397" s="20">
        <v>950400</v>
      </c>
      <c r="AX397" s="20">
        <v>1708200</v>
      </c>
      <c r="BH397" s="28">
        <v>3012896</v>
      </c>
      <c r="BI397" s="28">
        <v>10138112</v>
      </c>
    </row>
    <row r="398" spans="1:61" hidden="1" x14ac:dyDescent="0.3">
      <c r="A398" s="1" t="s">
        <v>739</v>
      </c>
      <c r="B398" s="1" t="s">
        <v>224</v>
      </c>
      <c r="C398" s="1" t="s">
        <v>225</v>
      </c>
      <c r="D398" s="1" t="s">
        <v>226</v>
      </c>
      <c r="E398" s="1" t="s">
        <v>225</v>
      </c>
      <c r="F398" s="1" t="s">
        <v>226</v>
      </c>
      <c r="G398" s="1" t="s">
        <v>937</v>
      </c>
      <c r="H398" s="1" t="s">
        <v>938</v>
      </c>
      <c r="I398" s="1" t="s">
        <v>224</v>
      </c>
      <c r="J398" s="1" t="s">
        <v>229</v>
      </c>
      <c r="K398" s="1" t="s">
        <v>118</v>
      </c>
      <c r="L398" s="1" t="s">
        <v>103</v>
      </c>
      <c r="M398" s="20">
        <v>595620</v>
      </c>
      <c r="P398" s="20">
        <v>130800</v>
      </c>
      <c r="Q398" s="20">
        <v>2476440</v>
      </c>
      <c r="R398" s="20">
        <v>2121216</v>
      </c>
      <c r="AB398" s="20">
        <v>5324076</v>
      </c>
      <c r="AC398" s="20">
        <v>309600</v>
      </c>
      <c r="AF398" s="20">
        <v>130800</v>
      </c>
      <c r="AG398" s="20">
        <v>2813040</v>
      </c>
      <c r="AH398" s="20">
        <v>2265000</v>
      </c>
      <c r="AR398" s="20">
        <v>5518440</v>
      </c>
      <c r="AS398" s="20">
        <v>106500</v>
      </c>
      <c r="AT398" s="20">
        <v>144000</v>
      </c>
      <c r="AV398" s="20">
        <v>130800</v>
      </c>
      <c r="AW398" s="20">
        <v>2386440</v>
      </c>
      <c r="AX398" s="20">
        <v>2091000</v>
      </c>
      <c r="BH398" s="28">
        <v>4858740</v>
      </c>
      <c r="BI398" s="28">
        <v>15701256</v>
      </c>
    </row>
    <row r="399" spans="1:61" hidden="1" x14ac:dyDescent="0.3">
      <c r="A399" s="1" t="s">
        <v>739</v>
      </c>
      <c r="B399" s="1" t="s">
        <v>224</v>
      </c>
      <c r="C399" s="1" t="s">
        <v>225</v>
      </c>
      <c r="D399" s="1" t="s">
        <v>226</v>
      </c>
      <c r="E399" s="1" t="s">
        <v>225</v>
      </c>
      <c r="F399" s="1" t="s">
        <v>226</v>
      </c>
      <c r="G399" s="1" t="s">
        <v>939</v>
      </c>
      <c r="H399" s="1" t="s">
        <v>940</v>
      </c>
      <c r="I399" s="1" t="s">
        <v>224</v>
      </c>
      <c r="J399" s="1" t="s">
        <v>229</v>
      </c>
      <c r="K399" s="1" t="s">
        <v>118</v>
      </c>
      <c r="L399" s="1" t="s">
        <v>103</v>
      </c>
      <c r="M399" s="20">
        <v>999150</v>
      </c>
      <c r="P399" s="20">
        <v>130800</v>
      </c>
      <c r="Q399" s="20">
        <v>1245240</v>
      </c>
      <c r="R399" s="20">
        <v>2884032</v>
      </c>
      <c r="AB399" s="20">
        <v>5259222</v>
      </c>
      <c r="AC399" s="20">
        <v>1003500</v>
      </c>
      <c r="AG399" s="20">
        <v>1362960</v>
      </c>
      <c r="AH399" s="20">
        <v>2277600</v>
      </c>
      <c r="AR399" s="20">
        <v>4644060</v>
      </c>
      <c r="AS399" s="20">
        <v>592176</v>
      </c>
      <c r="AW399" s="20">
        <v>1779480</v>
      </c>
      <c r="AX399" s="20">
        <v>2502000</v>
      </c>
      <c r="BH399" s="28">
        <v>4873656</v>
      </c>
      <c r="BI399" s="28">
        <v>14776938</v>
      </c>
    </row>
    <row r="400" spans="1:61" hidden="1" x14ac:dyDescent="0.3">
      <c r="A400" s="1" t="s">
        <v>739</v>
      </c>
      <c r="B400" s="1" t="s">
        <v>224</v>
      </c>
      <c r="C400" s="1" t="s">
        <v>225</v>
      </c>
      <c r="D400" s="1" t="s">
        <v>226</v>
      </c>
      <c r="E400" s="1" t="s">
        <v>225</v>
      </c>
      <c r="F400" s="1" t="s">
        <v>226</v>
      </c>
      <c r="G400" s="1" t="s">
        <v>941</v>
      </c>
      <c r="H400" s="1" t="s">
        <v>942</v>
      </c>
      <c r="I400" s="1" t="s">
        <v>224</v>
      </c>
      <c r="J400" s="1" t="s">
        <v>229</v>
      </c>
      <c r="K400" s="1" t="s">
        <v>118</v>
      </c>
      <c r="L400" s="1" t="s">
        <v>103</v>
      </c>
      <c r="M400" s="20">
        <v>106500</v>
      </c>
      <c r="P400" s="20">
        <v>130800</v>
      </c>
      <c r="Q400" s="20">
        <v>1293480</v>
      </c>
      <c r="R400" s="20">
        <v>2218800</v>
      </c>
      <c r="AB400" s="20">
        <v>3749580</v>
      </c>
      <c r="AC400" s="20">
        <v>89760</v>
      </c>
      <c r="AF400" s="20">
        <v>130800</v>
      </c>
      <c r="AG400" s="20">
        <v>835920</v>
      </c>
      <c r="AH400" s="20">
        <v>3477600</v>
      </c>
      <c r="AR400" s="20">
        <v>4534080</v>
      </c>
      <c r="AS400" s="20">
        <v>218700</v>
      </c>
      <c r="AW400" s="20">
        <v>1394280</v>
      </c>
      <c r="AX400" s="20">
        <v>1873200</v>
      </c>
      <c r="BH400" s="28">
        <v>3486180</v>
      </c>
      <c r="BI400" s="28">
        <v>11769840</v>
      </c>
    </row>
    <row r="401" spans="1:61" hidden="1" x14ac:dyDescent="0.3">
      <c r="A401" s="1" t="s">
        <v>739</v>
      </c>
      <c r="B401" s="1" t="s">
        <v>224</v>
      </c>
      <c r="C401" s="1" t="s">
        <v>225</v>
      </c>
      <c r="D401" s="1" t="s">
        <v>226</v>
      </c>
      <c r="E401" s="1" t="s">
        <v>225</v>
      </c>
      <c r="F401" s="1" t="s">
        <v>226</v>
      </c>
      <c r="G401" s="1" t="s">
        <v>943</v>
      </c>
      <c r="H401" s="1" t="s">
        <v>944</v>
      </c>
      <c r="I401" s="1" t="s">
        <v>224</v>
      </c>
      <c r="J401" s="1" t="s">
        <v>229</v>
      </c>
      <c r="K401" s="1" t="s">
        <v>118</v>
      </c>
      <c r="L401" s="1" t="s">
        <v>103</v>
      </c>
      <c r="M401" s="20">
        <v>224400</v>
      </c>
      <c r="P401" s="20">
        <v>392400</v>
      </c>
      <c r="Q401" s="20">
        <v>1813680</v>
      </c>
      <c r="R401" s="20">
        <v>3837600</v>
      </c>
      <c r="AB401" s="20">
        <v>6268080</v>
      </c>
      <c r="AG401" s="20">
        <v>2015280</v>
      </c>
      <c r="AH401" s="20">
        <v>4040232</v>
      </c>
      <c r="AR401" s="20">
        <v>6055512</v>
      </c>
      <c r="AV401" s="20">
        <v>196192</v>
      </c>
      <c r="AW401" s="20">
        <v>2216160</v>
      </c>
      <c r="AX401" s="20">
        <v>4636200</v>
      </c>
      <c r="BH401" s="28">
        <v>7048552</v>
      </c>
      <c r="BI401" s="28">
        <v>19372144</v>
      </c>
    </row>
    <row r="402" spans="1:61" hidden="1" x14ac:dyDescent="0.3">
      <c r="A402" s="1" t="s">
        <v>739</v>
      </c>
      <c r="B402" s="1" t="s">
        <v>224</v>
      </c>
      <c r="C402" s="1" t="s">
        <v>225</v>
      </c>
      <c r="D402" s="1" t="s">
        <v>226</v>
      </c>
      <c r="E402" s="1" t="s">
        <v>225</v>
      </c>
      <c r="F402" s="1" t="s">
        <v>226</v>
      </c>
      <c r="G402" s="1" t="s">
        <v>945</v>
      </c>
      <c r="H402" s="1" t="s">
        <v>946</v>
      </c>
      <c r="I402" s="1" t="s">
        <v>224</v>
      </c>
      <c r="J402" s="1" t="s">
        <v>229</v>
      </c>
      <c r="K402" s="1" t="s">
        <v>118</v>
      </c>
      <c r="L402" s="1" t="s">
        <v>103</v>
      </c>
      <c r="M402" s="20">
        <v>224400</v>
      </c>
      <c r="P402" s="20">
        <v>130800</v>
      </c>
      <c r="Q402" s="20">
        <v>2404080</v>
      </c>
      <c r="R402" s="20">
        <v>1590000</v>
      </c>
      <c r="AB402" s="20">
        <v>4349280</v>
      </c>
      <c r="AC402" s="20">
        <v>510420</v>
      </c>
      <c r="AF402" s="20">
        <v>130800</v>
      </c>
      <c r="AG402" s="20">
        <v>2351520</v>
      </c>
      <c r="AH402" s="20">
        <v>1551216</v>
      </c>
      <c r="AR402" s="20">
        <v>4543956</v>
      </c>
      <c r="AS402" s="20">
        <v>224400</v>
      </c>
      <c r="AT402" s="20">
        <v>144000</v>
      </c>
      <c r="AV402" s="20">
        <v>98096</v>
      </c>
      <c r="AW402" s="20">
        <v>3569040</v>
      </c>
      <c r="AX402" s="20">
        <v>1327200</v>
      </c>
      <c r="BH402" s="28">
        <v>5362736</v>
      </c>
      <c r="BI402" s="28">
        <v>14255972</v>
      </c>
    </row>
    <row r="403" spans="1:61" hidden="1" x14ac:dyDescent="0.3">
      <c r="A403" s="1" t="s">
        <v>739</v>
      </c>
      <c r="B403" s="1" t="s">
        <v>224</v>
      </c>
      <c r="C403" s="1" t="s">
        <v>225</v>
      </c>
      <c r="D403" s="1" t="s">
        <v>226</v>
      </c>
      <c r="E403" s="1" t="s">
        <v>225</v>
      </c>
      <c r="F403" s="1" t="s">
        <v>226</v>
      </c>
      <c r="G403" s="1" t="s">
        <v>947</v>
      </c>
      <c r="H403" s="1" t="s">
        <v>948</v>
      </c>
      <c r="I403" s="1" t="s">
        <v>224</v>
      </c>
      <c r="J403" s="1" t="s">
        <v>229</v>
      </c>
      <c r="K403" s="1" t="s">
        <v>118</v>
      </c>
      <c r="L403" s="1" t="s">
        <v>103</v>
      </c>
      <c r="M403" s="20">
        <v>1724520</v>
      </c>
      <c r="Q403" s="20">
        <v>1699200</v>
      </c>
      <c r="R403" s="20">
        <v>1893216</v>
      </c>
      <c r="AB403" s="20">
        <v>5316936</v>
      </c>
      <c r="AC403" s="20">
        <v>1117692</v>
      </c>
      <c r="AG403" s="20">
        <v>1099440</v>
      </c>
      <c r="AH403" s="20">
        <v>1392600</v>
      </c>
      <c r="AR403" s="20">
        <v>3609732</v>
      </c>
      <c r="AS403" s="20">
        <v>1443600</v>
      </c>
      <c r="AW403" s="20">
        <v>1154880</v>
      </c>
      <c r="AX403" s="20">
        <v>2764800</v>
      </c>
      <c r="BH403" s="28">
        <v>5363280</v>
      </c>
      <c r="BI403" s="28">
        <v>14289948</v>
      </c>
    </row>
    <row r="404" spans="1:61" hidden="1" x14ac:dyDescent="0.3">
      <c r="A404" s="1" t="s">
        <v>739</v>
      </c>
      <c r="B404" s="1" t="s">
        <v>224</v>
      </c>
      <c r="C404" s="1" t="s">
        <v>225</v>
      </c>
      <c r="D404" s="1" t="s">
        <v>226</v>
      </c>
      <c r="E404" s="1" t="s">
        <v>225</v>
      </c>
      <c r="F404" s="1" t="s">
        <v>226</v>
      </c>
      <c r="G404" s="1" t="s">
        <v>949</v>
      </c>
      <c r="H404" s="1" t="s">
        <v>950</v>
      </c>
      <c r="I404" s="1" t="s">
        <v>224</v>
      </c>
      <c r="J404" s="1" t="s">
        <v>229</v>
      </c>
      <c r="K404" s="1" t="s">
        <v>118</v>
      </c>
      <c r="L404" s="1" t="s">
        <v>103</v>
      </c>
      <c r="M404" s="20">
        <v>201960</v>
      </c>
      <c r="P404" s="20">
        <v>130800</v>
      </c>
      <c r="Q404" s="20">
        <v>1259280</v>
      </c>
      <c r="R404" s="20">
        <v>1370016</v>
      </c>
      <c r="AB404" s="20">
        <v>2962056</v>
      </c>
      <c r="AC404" s="20">
        <v>201960</v>
      </c>
      <c r="AF404" s="20">
        <v>130800</v>
      </c>
      <c r="AG404" s="20">
        <v>1182960</v>
      </c>
      <c r="AH404" s="20">
        <v>2389200</v>
      </c>
      <c r="AR404" s="20">
        <v>3904920</v>
      </c>
      <c r="AS404" s="20">
        <v>224400</v>
      </c>
      <c r="AT404" s="20">
        <v>144000</v>
      </c>
      <c r="AV404" s="20">
        <v>98096</v>
      </c>
      <c r="AW404" s="20">
        <v>1755360</v>
      </c>
      <c r="AX404" s="20">
        <v>1670400</v>
      </c>
      <c r="BH404" s="28">
        <v>3892256</v>
      </c>
      <c r="BI404" s="28">
        <v>10759232</v>
      </c>
    </row>
    <row r="405" spans="1:61" hidden="1" x14ac:dyDescent="0.3">
      <c r="A405" s="1" t="s">
        <v>739</v>
      </c>
      <c r="B405" s="1" t="s">
        <v>224</v>
      </c>
      <c r="C405" s="1" t="s">
        <v>225</v>
      </c>
      <c r="D405" s="1" t="s">
        <v>226</v>
      </c>
      <c r="E405" s="1" t="s">
        <v>225</v>
      </c>
      <c r="F405" s="1" t="s">
        <v>226</v>
      </c>
      <c r="G405" s="1" t="s">
        <v>951</v>
      </c>
      <c r="H405" s="1" t="s">
        <v>952</v>
      </c>
      <c r="I405" s="1" t="s">
        <v>224</v>
      </c>
      <c r="J405" s="1" t="s">
        <v>229</v>
      </c>
      <c r="K405" s="1" t="s">
        <v>118</v>
      </c>
      <c r="L405" s="1" t="s">
        <v>103</v>
      </c>
      <c r="M405" s="20">
        <v>201960</v>
      </c>
      <c r="Q405" s="20">
        <v>2313720</v>
      </c>
      <c r="R405" s="20">
        <v>2107200</v>
      </c>
      <c r="AB405" s="20">
        <v>4622880</v>
      </c>
      <c r="AC405" s="20">
        <v>112200</v>
      </c>
      <c r="AG405" s="20">
        <v>1893600</v>
      </c>
      <c r="AH405" s="20">
        <v>1871016</v>
      </c>
      <c r="AR405" s="20">
        <v>3876816</v>
      </c>
      <c r="AS405" s="20">
        <v>330900</v>
      </c>
      <c r="AT405" s="20">
        <v>432000</v>
      </c>
      <c r="AW405" s="20">
        <v>2858040</v>
      </c>
      <c r="AX405" s="20">
        <v>1540200</v>
      </c>
      <c r="BH405" s="28">
        <v>5161140</v>
      </c>
      <c r="BI405" s="28">
        <v>13660836</v>
      </c>
    </row>
    <row r="406" spans="1:61" hidden="1" x14ac:dyDescent="0.3">
      <c r="A406" s="1" t="s">
        <v>739</v>
      </c>
      <c r="B406" s="1" t="s">
        <v>224</v>
      </c>
      <c r="C406" s="1" t="s">
        <v>225</v>
      </c>
      <c r="D406" s="1" t="s">
        <v>226</v>
      </c>
      <c r="E406" s="1" t="s">
        <v>225</v>
      </c>
      <c r="F406" s="1" t="s">
        <v>226</v>
      </c>
      <c r="G406" s="1" t="s">
        <v>953</v>
      </c>
      <c r="H406" s="1" t="s">
        <v>954</v>
      </c>
      <c r="I406" s="1" t="s">
        <v>224</v>
      </c>
      <c r="J406" s="1" t="s">
        <v>229</v>
      </c>
      <c r="K406" s="1" t="s">
        <v>118</v>
      </c>
      <c r="L406" s="1" t="s">
        <v>103</v>
      </c>
      <c r="M406" s="20">
        <v>112200</v>
      </c>
      <c r="Q406" s="20">
        <v>992160</v>
      </c>
      <c r="R406" s="20">
        <v>1410000</v>
      </c>
      <c r="AB406" s="20">
        <v>2514360</v>
      </c>
      <c r="AC406" s="20">
        <v>510420</v>
      </c>
      <c r="AF406" s="20">
        <v>130800</v>
      </c>
      <c r="AG406" s="20">
        <v>1401120</v>
      </c>
      <c r="AH406" s="20">
        <v>3380016</v>
      </c>
      <c r="AR406" s="20">
        <v>5422356</v>
      </c>
      <c r="AS406" s="20">
        <v>106500</v>
      </c>
      <c r="AT406" s="20">
        <v>144000</v>
      </c>
      <c r="AV406" s="20">
        <v>98096</v>
      </c>
      <c r="AW406" s="20">
        <v>1436040</v>
      </c>
      <c r="AX406" s="20">
        <v>1951200</v>
      </c>
      <c r="BH406" s="28">
        <v>3735836</v>
      </c>
      <c r="BI406" s="28">
        <v>11672552</v>
      </c>
    </row>
    <row r="407" spans="1:61" hidden="1" x14ac:dyDescent="0.3">
      <c r="A407" s="1" t="s">
        <v>739</v>
      </c>
      <c r="B407" s="1" t="s">
        <v>224</v>
      </c>
      <c r="C407" s="1" t="s">
        <v>225</v>
      </c>
      <c r="D407" s="1" t="s">
        <v>226</v>
      </c>
      <c r="E407" s="1" t="s">
        <v>225</v>
      </c>
      <c r="F407" s="1" t="s">
        <v>226</v>
      </c>
      <c r="G407" s="1" t="s">
        <v>955</v>
      </c>
      <c r="H407" s="1" t="s">
        <v>956</v>
      </c>
      <c r="I407" s="1" t="s">
        <v>224</v>
      </c>
      <c r="J407" s="1" t="s">
        <v>229</v>
      </c>
      <c r="K407" s="1" t="s">
        <v>118</v>
      </c>
      <c r="L407" s="1" t="s">
        <v>103</v>
      </c>
      <c r="M407" s="20">
        <v>224400</v>
      </c>
      <c r="P407" s="20">
        <v>392400</v>
      </c>
      <c r="Q407" s="20">
        <v>1640880</v>
      </c>
      <c r="R407" s="20">
        <v>1713216</v>
      </c>
      <c r="AB407" s="20">
        <v>3970896</v>
      </c>
      <c r="AC407" s="20">
        <v>224400</v>
      </c>
      <c r="AF407" s="20">
        <v>392400</v>
      </c>
      <c r="AG407" s="20">
        <v>1450080</v>
      </c>
      <c r="AH407" s="20">
        <v>2752800</v>
      </c>
      <c r="AR407" s="20">
        <v>4819680</v>
      </c>
      <c r="AS407" s="20">
        <v>224400</v>
      </c>
      <c r="AT407" s="20">
        <v>288000</v>
      </c>
      <c r="AV407" s="20">
        <v>98096</v>
      </c>
      <c r="AW407" s="20">
        <v>1831680</v>
      </c>
      <c r="AX407" s="20">
        <v>576000</v>
      </c>
      <c r="BH407" s="28">
        <v>3018176</v>
      </c>
      <c r="BI407" s="28">
        <v>11808752</v>
      </c>
    </row>
    <row r="408" spans="1:61" hidden="1" x14ac:dyDescent="0.3">
      <c r="A408" s="1" t="s">
        <v>739</v>
      </c>
      <c r="B408" s="1" t="s">
        <v>224</v>
      </c>
      <c r="C408" s="1" t="s">
        <v>225</v>
      </c>
      <c r="D408" s="1" t="s">
        <v>226</v>
      </c>
      <c r="E408" s="1" t="s">
        <v>225</v>
      </c>
      <c r="F408" s="1" t="s">
        <v>226</v>
      </c>
      <c r="G408" s="1" t="s">
        <v>957</v>
      </c>
      <c r="H408" s="1" t="s">
        <v>958</v>
      </c>
      <c r="I408" s="1" t="s">
        <v>224</v>
      </c>
      <c r="J408" s="1" t="s">
        <v>229</v>
      </c>
      <c r="K408" s="1" t="s">
        <v>118</v>
      </c>
      <c r="L408" s="1" t="s">
        <v>103</v>
      </c>
      <c r="M408" s="20">
        <v>170400</v>
      </c>
      <c r="Q408" s="20">
        <v>2365920</v>
      </c>
      <c r="AB408" s="20">
        <v>2536320</v>
      </c>
      <c r="AC408" s="20">
        <v>196260</v>
      </c>
      <c r="AG408" s="20">
        <v>2518560</v>
      </c>
      <c r="AR408" s="20">
        <v>2714820</v>
      </c>
      <c r="AS408" s="20">
        <v>218700</v>
      </c>
      <c r="AW408" s="20">
        <v>2709360</v>
      </c>
      <c r="AX408" s="20">
        <v>285600</v>
      </c>
      <c r="BH408" s="28">
        <v>3213660</v>
      </c>
      <c r="BI408" s="28">
        <v>8464800</v>
      </c>
    </row>
    <row r="409" spans="1:61" hidden="1" x14ac:dyDescent="0.3">
      <c r="A409" s="1" t="s">
        <v>739</v>
      </c>
      <c r="B409" s="1" t="s">
        <v>224</v>
      </c>
      <c r="C409" s="1" t="s">
        <v>225</v>
      </c>
      <c r="D409" s="1" t="s">
        <v>226</v>
      </c>
      <c r="E409" s="1" t="s">
        <v>225</v>
      </c>
      <c r="F409" s="1" t="s">
        <v>226</v>
      </c>
      <c r="G409" s="1" t="s">
        <v>959</v>
      </c>
      <c r="H409" s="1" t="s">
        <v>960</v>
      </c>
      <c r="I409" s="1" t="s">
        <v>224</v>
      </c>
      <c r="J409" s="1" t="s">
        <v>229</v>
      </c>
      <c r="K409" s="1" t="s">
        <v>118</v>
      </c>
      <c r="L409" s="1" t="s">
        <v>103</v>
      </c>
      <c r="P409" s="20">
        <v>130800</v>
      </c>
      <c r="Q409" s="20">
        <v>305280</v>
      </c>
      <c r="AB409" s="20">
        <v>436080</v>
      </c>
      <c r="BI409" s="28">
        <v>436080</v>
      </c>
    </row>
    <row r="410" spans="1:61" hidden="1" x14ac:dyDescent="0.3">
      <c r="A410" s="1" t="s">
        <v>739</v>
      </c>
      <c r="B410" s="1" t="s">
        <v>224</v>
      </c>
      <c r="C410" s="1" t="s">
        <v>225</v>
      </c>
      <c r="D410" s="1" t="s">
        <v>226</v>
      </c>
      <c r="E410" s="1" t="s">
        <v>225</v>
      </c>
      <c r="F410" s="1" t="s">
        <v>226</v>
      </c>
      <c r="G410" s="1" t="s">
        <v>961</v>
      </c>
      <c r="H410" s="1" t="s">
        <v>962</v>
      </c>
      <c r="I410" s="1" t="s">
        <v>224</v>
      </c>
      <c r="J410" s="1" t="s">
        <v>229</v>
      </c>
      <c r="K410" s="1" t="s">
        <v>118</v>
      </c>
      <c r="L410" s="1" t="s">
        <v>103</v>
      </c>
      <c r="M410" s="20">
        <v>376920</v>
      </c>
      <c r="Q410" s="20">
        <v>1602720</v>
      </c>
      <c r="R410" s="20">
        <v>2540016</v>
      </c>
      <c r="AB410" s="20">
        <v>4519656</v>
      </c>
      <c r="AC410" s="20">
        <v>399360</v>
      </c>
      <c r="AG410" s="20">
        <v>1984320</v>
      </c>
      <c r="AH410" s="20">
        <v>3555000</v>
      </c>
      <c r="AR410" s="20">
        <v>5938680</v>
      </c>
      <c r="AS410" s="20">
        <v>330900</v>
      </c>
      <c r="AT410" s="20">
        <v>288000</v>
      </c>
      <c r="AW410" s="20">
        <v>1984320</v>
      </c>
      <c r="AX410" s="20">
        <v>2248200</v>
      </c>
      <c r="BH410" s="28">
        <v>4851420</v>
      </c>
      <c r="BI410" s="28">
        <v>15309756</v>
      </c>
    </row>
    <row r="411" spans="1:61" hidden="1" x14ac:dyDescent="0.3">
      <c r="A411" s="1" t="s">
        <v>739</v>
      </c>
      <c r="B411" s="1" t="s">
        <v>224</v>
      </c>
      <c r="C411" s="1" t="s">
        <v>225</v>
      </c>
      <c r="D411" s="1" t="s">
        <v>226</v>
      </c>
      <c r="E411" s="1" t="s">
        <v>225</v>
      </c>
      <c r="F411" s="1" t="s">
        <v>226</v>
      </c>
      <c r="G411" s="1" t="s">
        <v>963</v>
      </c>
      <c r="H411" s="1" t="s">
        <v>964</v>
      </c>
      <c r="I411" s="1" t="s">
        <v>224</v>
      </c>
      <c r="J411" s="1" t="s">
        <v>229</v>
      </c>
      <c r="K411" s="1" t="s">
        <v>118</v>
      </c>
      <c r="L411" s="1" t="s">
        <v>103</v>
      </c>
      <c r="M411" s="20">
        <v>3170010</v>
      </c>
      <c r="P411" s="20">
        <v>130800</v>
      </c>
      <c r="Q411" s="20">
        <v>2313720</v>
      </c>
      <c r="R411" s="20">
        <v>5207616</v>
      </c>
      <c r="AB411" s="20">
        <v>10822146</v>
      </c>
      <c r="AC411" s="20">
        <v>1357992</v>
      </c>
      <c r="AG411" s="20">
        <v>2851200</v>
      </c>
      <c r="AH411" s="20">
        <v>5601816</v>
      </c>
      <c r="AR411" s="20">
        <v>9811008</v>
      </c>
      <c r="AS411" s="20">
        <v>1769100</v>
      </c>
      <c r="AT411" s="20">
        <v>288000</v>
      </c>
      <c r="AV411" s="20">
        <v>98096</v>
      </c>
      <c r="AW411" s="20">
        <v>2296080</v>
      </c>
      <c r="AX411" s="20">
        <v>5505600</v>
      </c>
      <c r="BH411" s="28">
        <v>9956876</v>
      </c>
      <c r="BI411" s="28">
        <v>30590030</v>
      </c>
    </row>
    <row r="412" spans="1:61" hidden="1" x14ac:dyDescent="0.3">
      <c r="A412" s="1" t="s">
        <v>739</v>
      </c>
      <c r="B412" s="1" t="s">
        <v>224</v>
      </c>
      <c r="C412" s="1" t="s">
        <v>225</v>
      </c>
      <c r="D412" s="1" t="s">
        <v>226</v>
      </c>
      <c r="E412" s="1" t="s">
        <v>225</v>
      </c>
      <c r="F412" s="1" t="s">
        <v>226</v>
      </c>
      <c r="G412" s="1" t="s">
        <v>965</v>
      </c>
      <c r="H412" s="1" t="s">
        <v>966</v>
      </c>
      <c r="I412" s="1" t="s">
        <v>224</v>
      </c>
      <c r="J412" s="1" t="s">
        <v>229</v>
      </c>
      <c r="K412" s="1" t="s">
        <v>118</v>
      </c>
      <c r="L412" s="1" t="s">
        <v>103</v>
      </c>
      <c r="M412" s="20">
        <v>287160</v>
      </c>
      <c r="P412" s="20">
        <v>130800</v>
      </c>
      <c r="Q412" s="20">
        <v>1106640</v>
      </c>
      <c r="R412" s="20">
        <v>1388016</v>
      </c>
      <c r="AB412" s="20">
        <v>2912616</v>
      </c>
      <c r="AC412" s="20">
        <v>196260</v>
      </c>
      <c r="AG412" s="20">
        <v>877680</v>
      </c>
      <c r="AH412" s="20">
        <v>2537016</v>
      </c>
      <c r="AR412" s="20">
        <v>3610956</v>
      </c>
      <c r="AS412" s="20">
        <v>330900</v>
      </c>
      <c r="AV412" s="20">
        <v>196192</v>
      </c>
      <c r="AW412" s="20">
        <v>1297440</v>
      </c>
      <c r="AX412" s="20">
        <v>1723200</v>
      </c>
      <c r="BH412" s="28">
        <v>3547732</v>
      </c>
      <c r="BI412" s="28">
        <v>10071304</v>
      </c>
    </row>
    <row r="413" spans="1:61" hidden="1" x14ac:dyDescent="0.3">
      <c r="A413" s="1" t="s">
        <v>739</v>
      </c>
      <c r="B413" s="1" t="s">
        <v>224</v>
      </c>
      <c r="C413" s="1" t="s">
        <v>225</v>
      </c>
      <c r="D413" s="1" t="s">
        <v>226</v>
      </c>
      <c r="E413" s="1" t="s">
        <v>225</v>
      </c>
      <c r="F413" s="1" t="s">
        <v>226</v>
      </c>
      <c r="G413" s="1" t="s">
        <v>967</v>
      </c>
      <c r="H413" s="1" t="s">
        <v>968</v>
      </c>
      <c r="I413" s="1" t="s">
        <v>224</v>
      </c>
      <c r="J413" s="1" t="s">
        <v>229</v>
      </c>
      <c r="K413" s="1" t="s">
        <v>118</v>
      </c>
      <c r="L413" s="1" t="s">
        <v>103</v>
      </c>
      <c r="P413" s="20">
        <v>654000</v>
      </c>
      <c r="Q413" s="20">
        <v>3205440</v>
      </c>
      <c r="R413" s="20">
        <v>4372416</v>
      </c>
      <c r="AB413" s="20">
        <v>8231856</v>
      </c>
      <c r="AF413" s="20">
        <v>261600</v>
      </c>
      <c r="AG413" s="20">
        <v>3052800</v>
      </c>
      <c r="AH413" s="20">
        <v>2354016</v>
      </c>
      <c r="AR413" s="20">
        <v>5668416</v>
      </c>
      <c r="AT413" s="20">
        <v>288000</v>
      </c>
      <c r="AV413" s="20">
        <v>294288</v>
      </c>
      <c r="AW413" s="20">
        <v>2518560</v>
      </c>
      <c r="AX413" s="20">
        <v>2830200</v>
      </c>
      <c r="BH413" s="28">
        <v>5931048</v>
      </c>
      <c r="BI413" s="28">
        <v>19831320</v>
      </c>
    </row>
    <row r="414" spans="1:61" hidden="1" x14ac:dyDescent="0.3">
      <c r="A414" s="1" t="s">
        <v>739</v>
      </c>
      <c r="B414" s="1" t="s">
        <v>224</v>
      </c>
      <c r="C414" s="1" t="s">
        <v>225</v>
      </c>
      <c r="D414" s="1" t="s">
        <v>226</v>
      </c>
      <c r="E414" s="1" t="s">
        <v>225</v>
      </c>
      <c r="F414" s="1" t="s">
        <v>226</v>
      </c>
      <c r="G414" s="1" t="s">
        <v>969</v>
      </c>
      <c r="H414" s="1" t="s">
        <v>970</v>
      </c>
      <c r="I414" s="1" t="s">
        <v>224</v>
      </c>
      <c r="J414" s="1" t="s">
        <v>229</v>
      </c>
      <c r="K414" s="1" t="s">
        <v>118</v>
      </c>
      <c r="L414" s="1" t="s">
        <v>103</v>
      </c>
      <c r="M414" s="20">
        <v>308460</v>
      </c>
      <c r="Q414" s="20">
        <v>1755360</v>
      </c>
      <c r="R414" s="20">
        <v>4113216</v>
      </c>
      <c r="AB414" s="20">
        <v>6177036</v>
      </c>
      <c r="AC414" s="20">
        <v>398220</v>
      </c>
      <c r="AG414" s="20">
        <v>1755360</v>
      </c>
      <c r="AH414" s="20">
        <v>2650416</v>
      </c>
      <c r="AR414" s="20">
        <v>4803996</v>
      </c>
      <c r="AS414" s="20">
        <v>1047300</v>
      </c>
      <c r="AT414" s="20">
        <v>144000</v>
      </c>
      <c r="AW414" s="20">
        <v>1679040</v>
      </c>
      <c r="AX414" s="20">
        <v>3319200</v>
      </c>
      <c r="BH414" s="28">
        <v>6189540</v>
      </c>
      <c r="BI414" s="28">
        <v>17170572</v>
      </c>
    </row>
    <row r="415" spans="1:61" hidden="1" x14ac:dyDescent="0.3">
      <c r="A415" s="1" t="s">
        <v>739</v>
      </c>
      <c r="B415" s="1" t="s">
        <v>224</v>
      </c>
      <c r="C415" s="1" t="s">
        <v>225</v>
      </c>
      <c r="D415" s="1" t="s">
        <v>226</v>
      </c>
      <c r="E415" s="1" t="s">
        <v>225</v>
      </c>
      <c r="F415" s="1" t="s">
        <v>226</v>
      </c>
      <c r="G415" s="1" t="s">
        <v>971</v>
      </c>
      <c r="H415" s="1" t="s">
        <v>972</v>
      </c>
      <c r="I415" s="1" t="s">
        <v>224</v>
      </c>
      <c r="J415" s="1" t="s">
        <v>229</v>
      </c>
      <c r="K415" s="1" t="s">
        <v>118</v>
      </c>
      <c r="L415" s="1" t="s">
        <v>103</v>
      </c>
      <c r="M415" s="20">
        <v>179520</v>
      </c>
      <c r="Q415" s="20">
        <v>1536480</v>
      </c>
      <c r="R415" s="20">
        <v>2155200</v>
      </c>
      <c r="AB415" s="20">
        <v>3871200</v>
      </c>
      <c r="AC415" s="20">
        <v>224400</v>
      </c>
      <c r="AG415" s="20">
        <v>835920</v>
      </c>
      <c r="AH415" s="20">
        <v>3656400</v>
      </c>
      <c r="AR415" s="20">
        <v>4716720</v>
      </c>
      <c r="AS415" s="20">
        <v>224400</v>
      </c>
      <c r="AT415" s="20">
        <v>144000</v>
      </c>
      <c r="AV415" s="20">
        <v>196192</v>
      </c>
      <c r="AW415" s="20">
        <v>1599120</v>
      </c>
      <c r="AX415" s="20">
        <v>2296200</v>
      </c>
      <c r="BH415" s="28">
        <v>4459912</v>
      </c>
      <c r="BI415" s="28">
        <v>13047832</v>
      </c>
    </row>
    <row r="416" spans="1:61" hidden="1" x14ac:dyDescent="0.3">
      <c r="A416" s="1" t="s">
        <v>739</v>
      </c>
      <c r="B416" s="1" t="s">
        <v>224</v>
      </c>
      <c r="C416" s="1" t="s">
        <v>225</v>
      </c>
      <c r="D416" s="1" t="s">
        <v>226</v>
      </c>
      <c r="E416" s="1" t="s">
        <v>225</v>
      </c>
      <c r="F416" s="1" t="s">
        <v>226</v>
      </c>
      <c r="G416" s="1" t="s">
        <v>973</v>
      </c>
      <c r="H416" s="1" t="s">
        <v>974</v>
      </c>
      <c r="I416" s="1" t="s">
        <v>224</v>
      </c>
      <c r="J416" s="1" t="s">
        <v>229</v>
      </c>
      <c r="K416" s="1" t="s">
        <v>118</v>
      </c>
      <c r="L416" s="1" t="s">
        <v>103</v>
      </c>
      <c r="M416" s="20">
        <v>393660</v>
      </c>
      <c r="Q416" s="20">
        <v>1640880</v>
      </c>
      <c r="R416" s="20">
        <v>3737616</v>
      </c>
      <c r="AB416" s="20">
        <v>5772156</v>
      </c>
      <c r="AC416" s="20">
        <v>595620</v>
      </c>
      <c r="AG416" s="20">
        <v>1373760</v>
      </c>
      <c r="AH416" s="20">
        <v>4527216</v>
      </c>
      <c r="AR416" s="20">
        <v>6496596</v>
      </c>
      <c r="AS416" s="20">
        <v>218700</v>
      </c>
      <c r="AT416" s="20">
        <v>144000</v>
      </c>
      <c r="AV416" s="20">
        <v>196192</v>
      </c>
      <c r="AW416" s="20">
        <v>1221120</v>
      </c>
      <c r="AX416" s="20">
        <v>2741400</v>
      </c>
      <c r="BH416" s="28">
        <v>4521412</v>
      </c>
      <c r="BI416" s="28">
        <v>16790164</v>
      </c>
    </row>
    <row r="417" spans="1:61" hidden="1" x14ac:dyDescent="0.3">
      <c r="A417" s="1" t="s">
        <v>739</v>
      </c>
      <c r="B417" s="1" t="s">
        <v>224</v>
      </c>
      <c r="C417" s="1" t="s">
        <v>225</v>
      </c>
      <c r="D417" s="1" t="s">
        <v>226</v>
      </c>
      <c r="E417" s="1" t="s">
        <v>225</v>
      </c>
      <c r="F417" s="1" t="s">
        <v>226</v>
      </c>
      <c r="G417" s="1" t="s">
        <v>975</v>
      </c>
      <c r="H417" s="1" t="s">
        <v>976</v>
      </c>
      <c r="I417" s="1" t="s">
        <v>224</v>
      </c>
      <c r="J417" s="1" t="s">
        <v>229</v>
      </c>
      <c r="K417" s="1" t="s">
        <v>118</v>
      </c>
      <c r="L417" s="1" t="s">
        <v>103</v>
      </c>
      <c r="M417" s="20">
        <v>1161960</v>
      </c>
      <c r="P417" s="20">
        <v>130800</v>
      </c>
      <c r="Q417" s="20">
        <v>1411920</v>
      </c>
      <c r="R417" s="20">
        <v>2043600</v>
      </c>
      <c r="AB417" s="20">
        <v>4748280</v>
      </c>
      <c r="AC417" s="20">
        <v>336600</v>
      </c>
      <c r="AG417" s="20">
        <v>2289600</v>
      </c>
      <c r="AH417" s="20">
        <v>3308616</v>
      </c>
      <c r="AR417" s="20">
        <v>5934816</v>
      </c>
      <c r="AS417" s="20">
        <v>822900</v>
      </c>
      <c r="AT417" s="20">
        <v>144000</v>
      </c>
      <c r="AV417" s="20">
        <v>326992</v>
      </c>
      <c r="AW417" s="20">
        <v>1793520</v>
      </c>
      <c r="AX417" s="20">
        <v>2241600</v>
      </c>
      <c r="BH417" s="28">
        <v>5329012</v>
      </c>
      <c r="BI417" s="28">
        <v>16012108</v>
      </c>
    </row>
    <row r="418" spans="1:61" hidden="1" x14ac:dyDescent="0.3">
      <c r="A418" s="1" t="s">
        <v>739</v>
      </c>
      <c r="B418" s="1" t="s">
        <v>224</v>
      </c>
      <c r="C418" s="1" t="s">
        <v>225</v>
      </c>
      <c r="D418" s="1" t="s">
        <v>226</v>
      </c>
      <c r="E418" s="1" t="s">
        <v>225</v>
      </c>
      <c r="F418" s="1" t="s">
        <v>226</v>
      </c>
      <c r="G418" s="1" t="s">
        <v>977</v>
      </c>
      <c r="H418" s="1" t="s">
        <v>978</v>
      </c>
      <c r="I418" s="1" t="s">
        <v>224</v>
      </c>
      <c r="J418" s="1" t="s">
        <v>229</v>
      </c>
      <c r="K418" s="1" t="s">
        <v>118</v>
      </c>
      <c r="L418" s="1" t="s">
        <v>103</v>
      </c>
      <c r="M418" s="20">
        <v>112200</v>
      </c>
      <c r="P418" s="20">
        <v>261600</v>
      </c>
      <c r="Q418" s="20">
        <v>2400120</v>
      </c>
      <c r="R418" s="20">
        <v>2009616</v>
      </c>
      <c r="AB418" s="20">
        <v>4783536</v>
      </c>
      <c r="AC418" s="20">
        <v>112200</v>
      </c>
      <c r="AF418" s="20">
        <v>130800</v>
      </c>
      <c r="AG418" s="20">
        <v>1626480</v>
      </c>
      <c r="AH418" s="20">
        <v>2012400</v>
      </c>
      <c r="AR418" s="20">
        <v>3881880</v>
      </c>
      <c r="AS418" s="20">
        <v>106500</v>
      </c>
      <c r="AW418" s="20">
        <v>2084760</v>
      </c>
      <c r="AX418" s="20">
        <v>1602600</v>
      </c>
      <c r="BH418" s="28">
        <v>3793860</v>
      </c>
      <c r="BI418" s="28">
        <v>12459276</v>
      </c>
    </row>
    <row r="419" spans="1:61" hidden="1" x14ac:dyDescent="0.3">
      <c r="A419" s="1" t="s">
        <v>739</v>
      </c>
      <c r="B419" s="1" t="s">
        <v>224</v>
      </c>
      <c r="C419" s="1" t="s">
        <v>225</v>
      </c>
      <c r="D419" s="1" t="s">
        <v>226</v>
      </c>
      <c r="E419" s="1" t="s">
        <v>225</v>
      </c>
      <c r="F419" s="1" t="s">
        <v>226</v>
      </c>
      <c r="G419" s="1" t="s">
        <v>979</v>
      </c>
      <c r="H419" s="1" t="s">
        <v>980</v>
      </c>
      <c r="I419" s="1" t="s">
        <v>224</v>
      </c>
      <c r="J419" s="1" t="s">
        <v>229</v>
      </c>
      <c r="K419" s="1" t="s">
        <v>118</v>
      </c>
      <c r="L419" s="1" t="s">
        <v>103</v>
      </c>
      <c r="M419" s="20">
        <v>218700</v>
      </c>
      <c r="Q419" s="20">
        <v>1207080</v>
      </c>
      <c r="R419" s="20">
        <v>1048800</v>
      </c>
      <c r="AB419" s="20">
        <v>2474580</v>
      </c>
      <c r="AC419" s="20">
        <v>218700</v>
      </c>
      <c r="AG419" s="20">
        <v>1512000</v>
      </c>
      <c r="AH419" s="20">
        <v>1871016</v>
      </c>
      <c r="AR419" s="20">
        <v>3601716</v>
      </c>
      <c r="AS419" s="20">
        <v>224400</v>
      </c>
      <c r="AT419" s="20">
        <v>144000</v>
      </c>
      <c r="AW419" s="20">
        <v>1321560</v>
      </c>
      <c r="AX419" s="20">
        <v>1780800</v>
      </c>
      <c r="BH419" s="28">
        <v>3470760</v>
      </c>
      <c r="BI419" s="28">
        <v>9547056</v>
      </c>
    </row>
    <row r="420" spans="1:61" hidden="1" x14ac:dyDescent="0.3">
      <c r="A420" s="1" t="s">
        <v>739</v>
      </c>
      <c r="B420" s="1" t="s">
        <v>224</v>
      </c>
      <c r="C420" s="1" t="s">
        <v>225</v>
      </c>
      <c r="D420" s="1" t="s">
        <v>226</v>
      </c>
      <c r="E420" s="1" t="s">
        <v>225</v>
      </c>
      <c r="F420" s="1" t="s">
        <v>226</v>
      </c>
      <c r="G420" s="1" t="s">
        <v>981</v>
      </c>
      <c r="H420" s="1" t="s">
        <v>982</v>
      </c>
      <c r="I420" s="1" t="s">
        <v>224</v>
      </c>
      <c r="J420" s="1" t="s">
        <v>229</v>
      </c>
      <c r="K420" s="1" t="s">
        <v>118</v>
      </c>
      <c r="L420" s="1" t="s">
        <v>103</v>
      </c>
      <c r="M420" s="20">
        <v>376920</v>
      </c>
      <c r="Q420" s="20">
        <v>1831680</v>
      </c>
      <c r="R420" s="20">
        <v>1998816</v>
      </c>
      <c r="AB420" s="20">
        <v>4207416</v>
      </c>
      <c r="AC420" s="20">
        <v>224400</v>
      </c>
      <c r="AG420" s="20">
        <v>2580480</v>
      </c>
      <c r="AH420" s="20">
        <v>2428200</v>
      </c>
      <c r="AR420" s="20">
        <v>5233080</v>
      </c>
      <c r="AS420" s="20">
        <v>431700</v>
      </c>
      <c r="AT420" s="20">
        <v>144000</v>
      </c>
      <c r="AV420" s="20">
        <v>228896</v>
      </c>
      <c r="AW420" s="20">
        <v>1994400</v>
      </c>
      <c r="AX420" s="20">
        <v>1818600</v>
      </c>
      <c r="BH420" s="28">
        <v>4617596</v>
      </c>
      <c r="BI420" s="28">
        <v>14058092</v>
      </c>
    </row>
    <row r="421" spans="1:61" hidden="1" x14ac:dyDescent="0.3">
      <c r="A421" s="1" t="s">
        <v>739</v>
      </c>
      <c r="B421" s="1" t="s">
        <v>224</v>
      </c>
      <c r="C421" s="1" t="s">
        <v>225</v>
      </c>
      <c r="D421" s="1" t="s">
        <v>226</v>
      </c>
      <c r="E421" s="1" t="s">
        <v>225</v>
      </c>
      <c r="F421" s="1" t="s">
        <v>226</v>
      </c>
      <c r="G421" s="1" t="s">
        <v>983</v>
      </c>
      <c r="H421" s="1" t="s">
        <v>984</v>
      </c>
      <c r="I421" s="1" t="s">
        <v>224</v>
      </c>
      <c r="J421" s="1" t="s">
        <v>229</v>
      </c>
      <c r="K421" s="1" t="s">
        <v>118</v>
      </c>
      <c r="L421" s="1" t="s">
        <v>103</v>
      </c>
      <c r="M421" s="20">
        <v>399360</v>
      </c>
      <c r="Q421" s="20">
        <v>1411920</v>
      </c>
      <c r="R421" s="20">
        <v>2342016</v>
      </c>
      <c r="AB421" s="20">
        <v>4153296</v>
      </c>
      <c r="AC421" s="20">
        <v>309600</v>
      </c>
      <c r="AG421" s="20">
        <v>1297440</v>
      </c>
      <c r="AH421" s="20">
        <v>2808816</v>
      </c>
      <c r="AR421" s="20">
        <v>4415856</v>
      </c>
      <c r="AS421" s="20">
        <v>112200</v>
      </c>
      <c r="AT421" s="20">
        <v>144000</v>
      </c>
      <c r="AW421" s="20">
        <v>1335600</v>
      </c>
      <c r="AX421" s="20">
        <v>2459400</v>
      </c>
      <c r="BH421" s="28">
        <v>4051200</v>
      </c>
      <c r="BI421" s="28">
        <v>12620352</v>
      </c>
    </row>
    <row r="422" spans="1:61" hidden="1" x14ac:dyDescent="0.3">
      <c r="A422" s="1" t="s">
        <v>739</v>
      </c>
      <c r="B422" s="1" t="s">
        <v>224</v>
      </c>
      <c r="C422" s="1" t="s">
        <v>225</v>
      </c>
      <c r="D422" s="1" t="s">
        <v>226</v>
      </c>
      <c r="E422" s="1" t="s">
        <v>225</v>
      </c>
      <c r="F422" s="1" t="s">
        <v>226</v>
      </c>
      <c r="G422" s="1" t="s">
        <v>985</v>
      </c>
      <c r="H422" s="1" t="s">
        <v>986</v>
      </c>
      <c r="I422" s="1" t="s">
        <v>224</v>
      </c>
      <c r="J422" s="1" t="s">
        <v>229</v>
      </c>
      <c r="K422" s="1" t="s">
        <v>118</v>
      </c>
      <c r="L422" s="1" t="s">
        <v>103</v>
      </c>
      <c r="M422" s="20">
        <v>1872120</v>
      </c>
      <c r="Q422" s="20">
        <v>1450080</v>
      </c>
      <c r="R422" s="20">
        <v>1962816</v>
      </c>
      <c r="AB422" s="20">
        <v>5285016</v>
      </c>
      <c r="AC422" s="20">
        <v>405696</v>
      </c>
      <c r="AG422" s="20">
        <v>1450080</v>
      </c>
      <c r="AH422" s="20">
        <v>1490400</v>
      </c>
      <c r="AR422" s="20">
        <v>3346176</v>
      </c>
      <c r="AS422" s="20">
        <v>218700</v>
      </c>
      <c r="AV422" s="20">
        <v>228896</v>
      </c>
      <c r="AW422" s="20">
        <v>1450080</v>
      </c>
      <c r="AX422" s="20">
        <v>2066400</v>
      </c>
      <c r="BH422" s="28">
        <v>3964076</v>
      </c>
      <c r="BI422" s="28">
        <v>12595268</v>
      </c>
    </row>
    <row r="423" spans="1:61" hidden="1" x14ac:dyDescent="0.3">
      <c r="A423" s="1" t="s">
        <v>739</v>
      </c>
      <c r="B423" s="1" t="s">
        <v>224</v>
      </c>
      <c r="C423" s="1" t="s">
        <v>225</v>
      </c>
      <c r="D423" s="1" t="s">
        <v>226</v>
      </c>
      <c r="E423" s="1" t="s">
        <v>225</v>
      </c>
      <c r="F423" s="1" t="s">
        <v>226</v>
      </c>
      <c r="G423" s="1" t="s">
        <v>987</v>
      </c>
      <c r="H423" s="1" t="s">
        <v>988</v>
      </c>
      <c r="I423" s="1" t="s">
        <v>224</v>
      </c>
      <c r="J423" s="1" t="s">
        <v>229</v>
      </c>
      <c r="K423" s="1" t="s">
        <v>118</v>
      </c>
      <c r="L423" s="1" t="s">
        <v>103</v>
      </c>
      <c r="M423" s="20">
        <v>174960</v>
      </c>
      <c r="P423" s="20">
        <v>261600</v>
      </c>
      <c r="Q423" s="20">
        <v>2900160</v>
      </c>
      <c r="R423" s="20">
        <v>2847600</v>
      </c>
      <c r="AB423" s="20">
        <v>6184320</v>
      </c>
      <c r="AC423" s="20">
        <v>112200</v>
      </c>
      <c r="AF423" s="20">
        <v>130800</v>
      </c>
      <c r="AG423" s="20">
        <v>2022480</v>
      </c>
      <c r="AH423" s="20">
        <v>2098800</v>
      </c>
      <c r="AR423" s="20">
        <v>4364280</v>
      </c>
      <c r="AT423" s="20">
        <v>288000</v>
      </c>
      <c r="AW423" s="20">
        <v>1831680</v>
      </c>
      <c r="AX423" s="20">
        <v>1500000</v>
      </c>
      <c r="BH423" s="28">
        <v>3619680</v>
      </c>
      <c r="BI423" s="28">
        <v>14168280</v>
      </c>
    </row>
    <row r="424" spans="1:61" hidden="1" x14ac:dyDescent="0.3">
      <c r="A424" s="1" t="s">
        <v>739</v>
      </c>
      <c r="B424" s="1" t="s">
        <v>224</v>
      </c>
      <c r="C424" s="1" t="s">
        <v>225</v>
      </c>
      <c r="D424" s="1" t="s">
        <v>226</v>
      </c>
      <c r="E424" s="1" t="s">
        <v>225</v>
      </c>
      <c r="F424" s="1" t="s">
        <v>226</v>
      </c>
      <c r="G424" s="1" t="s">
        <v>989</v>
      </c>
      <c r="H424" s="1" t="s">
        <v>990</v>
      </c>
      <c r="I424" s="1" t="s">
        <v>224</v>
      </c>
      <c r="J424" s="1" t="s">
        <v>229</v>
      </c>
      <c r="K424" s="1" t="s">
        <v>118</v>
      </c>
      <c r="L424" s="1" t="s">
        <v>103</v>
      </c>
      <c r="P424" s="20">
        <v>130800</v>
      </c>
      <c r="Q424" s="20">
        <v>3038760</v>
      </c>
      <c r="R424" s="20">
        <v>5571216</v>
      </c>
      <c r="AB424" s="20">
        <v>8740776</v>
      </c>
      <c r="AC424" s="20">
        <v>112200</v>
      </c>
      <c r="AF424" s="20">
        <v>130800</v>
      </c>
      <c r="AG424" s="20">
        <v>2015280</v>
      </c>
      <c r="AH424" s="20">
        <v>4241400</v>
      </c>
      <c r="AR424" s="20">
        <v>6499680</v>
      </c>
      <c r="AS424" s="20">
        <v>112200</v>
      </c>
      <c r="AT424" s="20">
        <v>144000</v>
      </c>
      <c r="AV424" s="20">
        <v>196192</v>
      </c>
      <c r="AW424" s="20">
        <v>3264120</v>
      </c>
      <c r="AX424" s="20">
        <v>4873800</v>
      </c>
      <c r="BH424" s="28">
        <v>8590312</v>
      </c>
      <c r="BI424" s="28">
        <v>23830768</v>
      </c>
    </row>
    <row r="425" spans="1:61" hidden="1" x14ac:dyDescent="0.3">
      <c r="A425" s="1" t="s">
        <v>739</v>
      </c>
      <c r="B425" s="1" t="s">
        <v>224</v>
      </c>
      <c r="C425" s="1" t="s">
        <v>225</v>
      </c>
      <c r="D425" s="1" t="s">
        <v>226</v>
      </c>
      <c r="E425" s="1" t="s">
        <v>225</v>
      </c>
      <c r="F425" s="1" t="s">
        <v>226</v>
      </c>
      <c r="G425" s="1" t="s">
        <v>991</v>
      </c>
      <c r="H425" s="1" t="s">
        <v>992</v>
      </c>
      <c r="I425" s="1" t="s">
        <v>224</v>
      </c>
      <c r="J425" s="1" t="s">
        <v>229</v>
      </c>
      <c r="K425" s="1" t="s">
        <v>118</v>
      </c>
      <c r="L425" s="1" t="s">
        <v>103</v>
      </c>
      <c r="M425" s="20">
        <v>112200</v>
      </c>
      <c r="P425" s="20">
        <v>261600</v>
      </c>
      <c r="Q425" s="20">
        <v>1373760</v>
      </c>
      <c r="R425" s="20">
        <v>1427616</v>
      </c>
      <c r="AB425" s="20">
        <v>3175176</v>
      </c>
      <c r="AC425" s="20">
        <v>393660</v>
      </c>
      <c r="AF425" s="20">
        <v>130800</v>
      </c>
      <c r="AG425" s="20">
        <v>2289600</v>
      </c>
      <c r="AH425" s="20">
        <v>1833600</v>
      </c>
      <c r="AR425" s="20">
        <v>4647660</v>
      </c>
      <c r="AS425" s="20">
        <v>112200</v>
      </c>
      <c r="AT425" s="20">
        <v>144000</v>
      </c>
      <c r="AV425" s="20">
        <v>228896</v>
      </c>
      <c r="AW425" s="20">
        <v>1373760</v>
      </c>
      <c r="AX425" s="20">
        <v>3203400</v>
      </c>
      <c r="BH425" s="28">
        <v>5062256</v>
      </c>
      <c r="BI425" s="28">
        <v>12885092</v>
      </c>
    </row>
    <row r="426" spans="1:61" hidden="1" x14ac:dyDescent="0.3">
      <c r="A426" s="1" t="s">
        <v>739</v>
      </c>
      <c r="B426" s="1" t="s">
        <v>224</v>
      </c>
      <c r="C426" s="1" t="s">
        <v>225</v>
      </c>
      <c r="D426" s="1" t="s">
        <v>226</v>
      </c>
      <c r="E426" s="1" t="s">
        <v>225</v>
      </c>
      <c r="F426" s="1" t="s">
        <v>226</v>
      </c>
      <c r="G426" s="1" t="s">
        <v>993</v>
      </c>
      <c r="H426" s="1" t="s">
        <v>994</v>
      </c>
      <c r="I426" s="1" t="s">
        <v>224</v>
      </c>
      <c r="J426" s="1" t="s">
        <v>229</v>
      </c>
      <c r="K426" s="1" t="s">
        <v>118</v>
      </c>
      <c r="L426" s="1" t="s">
        <v>103</v>
      </c>
      <c r="P426" s="20">
        <v>261600</v>
      </c>
      <c r="Q426" s="20">
        <v>1689120</v>
      </c>
      <c r="R426" s="20">
        <v>2522016</v>
      </c>
      <c r="AB426" s="20">
        <v>4472736</v>
      </c>
      <c r="AC426" s="20">
        <v>201960</v>
      </c>
      <c r="AF426" s="20">
        <v>261600</v>
      </c>
      <c r="AG426" s="20">
        <v>2309760</v>
      </c>
      <c r="AH426" s="20">
        <v>2063616</v>
      </c>
      <c r="AR426" s="20">
        <v>4836936</v>
      </c>
      <c r="AS426" s="20">
        <v>112200</v>
      </c>
      <c r="AT426" s="20">
        <v>288000</v>
      </c>
      <c r="AV426" s="20">
        <v>196192</v>
      </c>
      <c r="AW426" s="20">
        <v>2202120</v>
      </c>
      <c r="AX426" s="20">
        <v>2982600</v>
      </c>
      <c r="BH426" s="28">
        <v>5781112</v>
      </c>
      <c r="BI426" s="28">
        <v>15090784</v>
      </c>
    </row>
    <row r="427" spans="1:61" hidden="1" x14ac:dyDescent="0.3">
      <c r="A427" s="1" t="s">
        <v>739</v>
      </c>
      <c r="B427" s="1" t="s">
        <v>224</v>
      </c>
      <c r="C427" s="1" t="s">
        <v>225</v>
      </c>
      <c r="D427" s="1" t="s">
        <v>226</v>
      </c>
      <c r="E427" s="1" t="s">
        <v>225</v>
      </c>
      <c r="F427" s="1" t="s">
        <v>226</v>
      </c>
      <c r="G427" s="1" t="s">
        <v>995</v>
      </c>
      <c r="H427" s="1" t="s">
        <v>996</v>
      </c>
      <c r="I427" s="1" t="s">
        <v>224</v>
      </c>
      <c r="J427" s="1" t="s">
        <v>229</v>
      </c>
      <c r="K427" s="1" t="s">
        <v>118</v>
      </c>
      <c r="L427" s="1" t="s">
        <v>103</v>
      </c>
      <c r="M427" s="20">
        <v>505860</v>
      </c>
      <c r="P427" s="20">
        <v>130800</v>
      </c>
      <c r="Q427" s="20">
        <v>2098800</v>
      </c>
      <c r="R427" s="20">
        <v>2598432</v>
      </c>
      <c r="AB427" s="20">
        <v>5333892</v>
      </c>
      <c r="AC427" s="20">
        <v>349920</v>
      </c>
      <c r="AF427" s="20">
        <v>261600</v>
      </c>
      <c r="AG427" s="20">
        <v>3360240</v>
      </c>
      <c r="AH427" s="20">
        <v>3864216</v>
      </c>
      <c r="AR427" s="20">
        <v>7835976</v>
      </c>
      <c r="AS427" s="20">
        <v>330900</v>
      </c>
      <c r="AT427" s="20">
        <v>288000</v>
      </c>
      <c r="AV427" s="20">
        <v>98096</v>
      </c>
      <c r="AW427" s="20">
        <v>3239640</v>
      </c>
      <c r="AX427" s="20">
        <v>3295800</v>
      </c>
      <c r="BH427" s="28">
        <v>7252436</v>
      </c>
      <c r="BI427" s="28">
        <v>20422304</v>
      </c>
    </row>
    <row r="428" spans="1:61" hidden="1" x14ac:dyDescent="0.3">
      <c r="A428" s="1" t="s">
        <v>739</v>
      </c>
      <c r="B428" s="1" t="s">
        <v>224</v>
      </c>
      <c r="C428" s="1" t="s">
        <v>225</v>
      </c>
      <c r="D428" s="1" t="s">
        <v>226</v>
      </c>
      <c r="E428" s="1" t="s">
        <v>225</v>
      </c>
      <c r="F428" s="1" t="s">
        <v>226</v>
      </c>
      <c r="G428" s="1" t="s">
        <v>997</v>
      </c>
      <c r="H428" s="1" t="s">
        <v>998</v>
      </c>
      <c r="I428" s="1" t="s">
        <v>224</v>
      </c>
      <c r="J428" s="1" t="s">
        <v>229</v>
      </c>
      <c r="K428" s="1" t="s">
        <v>118</v>
      </c>
      <c r="L428" s="1" t="s">
        <v>103</v>
      </c>
      <c r="M428" s="20">
        <v>744240</v>
      </c>
      <c r="P428" s="20">
        <v>261600</v>
      </c>
      <c r="Q428" s="20">
        <v>1675080</v>
      </c>
      <c r="R428" s="20">
        <v>4416432</v>
      </c>
      <c r="AB428" s="20">
        <v>7097352</v>
      </c>
      <c r="AC428" s="20">
        <v>957996</v>
      </c>
      <c r="AF428" s="20">
        <v>261600</v>
      </c>
      <c r="AG428" s="20">
        <v>1362960</v>
      </c>
      <c r="AH428" s="20">
        <v>6267816</v>
      </c>
      <c r="AR428" s="20">
        <v>8850372</v>
      </c>
      <c r="AS428" s="20">
        <v>541200</v>
      </c>
      <c r="AT428" s="20">
        <v>144000</v>
      </c>
      <c r="AV428" s="20">
        <v>228896</v>
      </c>
      <c r="AW428" s="20">
        <v>1047240</v>
      </c>
      <c r="AX428" s="20">
        <v>5342400</v>
      </c>
      <c r="BH428" s="28">
        <v>7303736</v>
      </c>
      <c r="BI428" s="28">
        <v>23251460</v>
      </c>
    </row>
    <row r="429" spans="1:61" hidden="1" x14ac:dyDescent="0.3">
      <c r="A429" s="1" t="s">
        <v>739</v>
      </c>
      <c r="B429" s="1" t="s">
        <v>224</v>
      </c>
      <c r="C429" s="1" t="s">
        <v>225</v>
      </c>
      <c r="D429" s="1" t="s">
        <v>226</v>
      </c>
      <c r="E429" s="1" t="s">
        <v>225</v>
      </c>
      <c r="F429" s="1" t="s">
        <v>226</v>
      </c>
      <c r="G429" s="1" t="s">
        <v>999</v>
      </c>
      <c r="H429" s="1" t="s">
        <v>1000</v>
      </c>
      <c r="I429" s="1" t="s">
        <v>224</v>
      </c>
      <c r="J429" s="1" t="s">
        <v>229</v>
      </c>
      <c r="K429" s="1" t="s">
        <v>118</v>
      </c>
      <c r="L429" s="1" t="s">
        <v>103</v>
      </c>
      <c r="M429" s="20">
        <v>1802730</v>
      </c>
      <c r="P429" s="20">
        <v>261600</v>
      </c>
      <c r="Q429" s="20">
        <v>2080800</v>
      </c>
      <c r="R429" s="20">
        <v>2358816</v>
      </c>
      <c r="AB429" s="20">
        <v>6503946</v>
      </c>
      <c r="AC429" s="20">
        <v>1252116</v>
      </c>
      <c r="AF429" s="20">
        <v>130800</v>
      </c>
      <c r="AG429" s="20">
        <v>3496320</v>
      </c>
      <c r="AH429" s="20">
        <v>2951400</v>
      </c>
      <c r="AR429" s="20">
        <v>7830636</v>
      </c>
      <c r="AS429" s="20">
        <v>270600</v>
      </c>
      <c r="AT429" s="20">
        <v>720000</v>
      </c>
      <c r="AV429" s="20">
        <v>98096</v>
      </c>
      <c r="AW429" s="20">
        <v>925920</v>
      </c>
      <c r="AX429" s="20">
        <v>1670400</v>
      </c>
      <c r="BH429" s="28">
        <v>3685016</v>
      </c>
      <c r="BI429" s="28">
        <v>18019598</v>
      </c>
    </row>
    <row r="430" spans="1:61" hidden="1" x14ac:dyDescent="0.3">
      <c r="A430" s="1" t="s">
        <v>739</v>
      </c>
      <c r="B430" s="1" t="s">
        <v>224</v>
      </c>
      <c r="C430" s="1" t="s">
        <v>225</v>
      </c>
      <c r="D430" s="1" t="s">
        <v>226</v>
      </c>
      <c r="E430" s="1" t="s">
        <v>225</v>
      </c>
      <c r="F430" s="1" t="s">
        <v>226</v>
      </c>
      <c r="G430" s="1" t="s">
        <v>1001</v>
      </c>
      <c r="H430" s="1" t="s">
        <v>1002</v>
      </c>
      <c r="I430" s="1" t="s">
        <v>224</v>
      </c>
      <c r="J430" s="1" t="s">
        <v>229</v>
      </c>
      <c r="K430" s="1" t="s">
        <v>118</v>
      </c>
      <c r="L430" s="1" t="s">
        <v>103</v>
      </c>
      <c r="M430" s="20">
        <v>558000</v>
      </c>
      <c r="P430" s="20">
        <v>130800</v>
      </c>
      <c r="Q430" s="20">
        <v>915840</v>
      </c>
      <c r="R430" s="20">
        <v>1160016</v>
      </c>
      <c r="AB430" s="20">
        <v>2764656</v>
      </c>
      <c r="AC430" s="20">
        <v>517896</v>
      </c>
      <c r="AF430" s="20">
        <v>130800</v>
      </c>
      <c r="AG430" s="20">
        <v>1411920</v>
      </c>
      <c r="AH430" s="20">
        <v>1473816</v>
      </c>
      <c r="AR430" s="20">
        <v>3534432</v>
      </c>
      <c r="AS430" s="20">
        <v>112200</v>
      </c>
      <c r="AT430" s="20">
        <v>144000</v>
      </c>
      <c r="AV430" s="20">
        <v>196192</v>
      </c>
      <c r="AW430" s="20">
        <v>1869840</v>
      </c>
      <c r="AX430" s="20">
        <v>2769600</v>
      </c>
      <c r="BH430" s="28">
        <v>5091832</v>
      </c>
      <c r="BI430" s="28">
        <v>11390920</v>
      </c>
    </row>
    <row r="431" spans="1:61" hidden="1" x14ac:dyDescent="0.3">
      <c r="A431" s="1" t="s">
        <v>739</v>
      </c>
      <c r="B431" s="1" t="s">
        <v>224</v>
      </c>
      <c r="C431" s="1" t="s">
        <v>225</v>
      </c>
      <c r="D431" s="1" t="s">
        <v>226</v>
      </c>
      <c r="E431" s="1" t="s">
        <v>225</v>
      </c>
      <c r="F431" s="1" t="s">
        <v>226</v>
      </c>
      <c r="G431" s="1" t="s">
        <v>1003</v>
      </c>
      <c r="H431" s="1" t="s">
        <v>1004</v>
      </c>
      <c r="I431" s="1" t="s">
        <v>224</v>
      </c>
      <c r="J431" s="1" t="s">
        <v>229</v>
      </c>
      <c r="K431" s="1" t="s">
        <v>118</v>
      </c>
      <c r="L431" s="1" t="s">
        <v>103</v>
      </c>
      <c r="P431" s="20">
        <v>392400</v>
      </c>
      <c r="Q431" s="20">
        <v>572400</v>
      </c>
      <c r="R431" s="20">
        <v>3528000</v>
      </c>
      <c r="AB431" s="20">
        <v>4492800</v>
      </c>
      <c r="AF431" s="20">
        <v>392400</v>
      </c>
      <c r="AG431" s="20">
        <v>343440</v>
      </c>
      <c r="AH431" s="20">
        <v>3841200</v>
      </c>
      <c r="AR431" s="20">
        <v>4577040</v>
      </c>
      <c r="AT431" s="20">
        <v>432000</v>
      </c>
      <c r="AV431" s="20">
        <v>294288</v>
      </c>
      <c r="AW431" s="20">
        <v>725040</v>
      </c>
      <c r="AX431" s="20">
        <v>3357600</v>
      </c>
      <c r="BH431" s="28">
        <v>4808928</v>
      </c>
      <c r="BI431" s="28">
        <v>13878768</v>
      </c>
    </row>
    <row r="432" spans="1:61" hidden="1" x14ac:dyDescent="0.3">
      <c r="A432" s="1" t="s">
        <v>739</v>
      </c>
      <c r="B432" s="1" t="s">
        <v>224</v>
      </c>
      <c r="C432" s="1" t="s">
        <v>225</v>
      </c>
      <c r="D432" s="1" t="s">
        <v>226</v>
      </c>
      <c r="E432" s="1" t="s">
        <v>225</v>
      </c>
      <c r="F432" s="1" t="s">
        <v>226</v>
      </c>
      <c r="G432" s="1" t="s">
        <v>1005</v>
      </c>
      <c r="H432" s="1" t="s">
        <v>1006</v>
      </c>
      <c r="I432" s="1" t="s">
        <v>224</v>
      </c>
      <c r="J432" s="1" t="s">
        <v>229</v>
      </c>
      <c r="K432" s="1" t="s">
        <v>118</v>
      </c>
      <c r="L432" s="1" t="s">
        <v>103</v>
      </c>
      <c r="M432" s="20">
        <v>865650</v>
      </c>
      <c r="Q432" s="20">
        <v>763200</v>
      </c>
      <c r="R432" s="20">
        <v>1124400</v>
      </c>
      <c r="AB432" s="20">
        <v>2753250</v>
      </c>
      <c r="AC432" s="20">
        <v>732660</v>
      </c>
      <c r="AG432" s="20">
        <v>915840</v>
      </c>
      <c r="AH432" s="20">
        <v>2610432</v>
      </c>
      <c r="AR432" s="20">
        <v>4258932</v>
      </c>
      <c r="AS432" s="20">
        <v>213000</v>
      </c>
      <c r="AT432" s="20">
        <v>144000</v>
      </c>
      <c r="AW432" s="20">
        <v>381600</v>
      </c>
      <c r="AX432" s="20">
        <v>1490400</v>
      </c>
      <c r="BH432" s="28">
        <v>2229000</v>
      </c>
      <c r="BI432" s="28">
        <v>9241182</v>
      </c>
    </row>
    <row r="433" spans="1:61" hidden="1" x14ac:dyDescent="0.3">
      <c r="A433" s="1" t="s">
        <v>739</v>
      </c>
      <c r="B433" s="1" t="s">
        <v>224</v>
      </c>
      <c r="C433" s="1" t="s">
        <v>225</v>
      </c>
      <c r="D433" s="1" t="s">
        <v>226</v>
      </c>
      <c r="E433" s="1" t="s">
        <v>225</v>
      </c>
      <c r="F433" s="1" t="s">
        <v>226</v>
      </c>
      <c r="G433" s="1" t="s">
        <v>1007</v>
      </c>
      <c r="H433" s="1" t="s">
        <v>1008</v>
      </c>
      <c r="I433" s="1" t="s">
        <v>224</v>
      </c>
      <c r="J433" s="1" t="s">
        <v>229</v>
      </c>
      <c r="K433" s="1" t="s">
        <v>118</v>
      </c>
      <c r="L433" s="1" t="s">
        <v>103</v>
      </c>
      <c r="M433" s="20">
        <v>759660</v>
      </c>
      <c r="P433" s="20">
        <v>261600</v>
      </c>
      <c r="Q433" s="20">
        <v>1040400</v>
      </c>
      <c r="R433" s="20">
        <v>2523216</v>
      </c>
      <c r="AB433" s="20">
        <v>4584876</v>
      </c>
      <c r="AC433" s="20">
        <v>530700</v>
      </c>
      <c r="AG433" s="20">
        <v>1290240</v>
      </c>
      <c r="AH433" s="20">
        <v>2806800</v>
      </c>
      <c r="AR433" s="20">
        <v>4627740</v>
      </c>
      <c r="AS433" s="20">
        <v>776400</v>
      </c>
      <c r="AV433" s="20">
        <v>326992</v>
      </c>
      <c r="AW433" s="20">
        <v>1307520</v>
      </c>
      <c r="AX433" s="20">
        <v>2386800</v>
      </c>
      <c r="BH433" s="28">
        <v>4797712</v>
      </c>
      <c r="BI433" s="28">
        <v>14010328</v>
      </c>
    </row>
    <row r="434" spans="1:61" hidden="1" x14ac:dyDescent="0.3">
      <c r="A434" s="1" t="s">
        <v>739</v>
      </c>
      <c r="B434" s="1" t="s">
        <v>224</v>
      </c>
      <c r="C434" s="1" t="s">
        <v>225</v>
      </c>
      <c r="D434" s="1" t="s">
        <v>226</v>
      </c>
      <c r="E434" s="1" t="s">
        <v>225</v>
      </c>
      <c r="F434" s="1" t="s">
        <v>226</v>
      </c>
      <c r="G434" s="1" t="s">
        <v>1009</v>
      </c>
      <c r="H434" s="1" t="s">
        <v>1010</v>
      </c>
      <c r="I434" s="1" t="s">
        <v>224</v>
      </c>
      <c r="J434" s="1" t="s">
        <v>229</v>
      </c>
      <c r="K434" s="1" t="s">
        <v>118</v>
      </c>
      <c r="L434" s="1" t="s">
        <v>103</v>
      </c>
      <c r="M434" s="20">
        <v>1051350</v>
      </c>
      <c r="P434" s="20">
        <v>130800</v>
      </c>
      <c r="Q434" s="20">
        <v>2195280</v>
      </c>
      <c r="R434" s="20">
        <v>4347600</v>
      </c>
      <c r="AB434" s="20">
        <v>7725030</v>
      </c>
      <c r="AC434" s="20">
        <v>828756</v>
      </c>
      <c r="AF434" s="20">
        <v>130800</v>
      </c>
      <c r="AG434" s="20">
        <v>2164320</v>
      </c>
      <c r="AH434" s="20">
        <v>3763200</v>
      </c>
      <c r="AR434" s="20">
        <v>6887076</v>
      </c>
      <c r="AS434" s="20">
        <v>787980</v>
      </c>
      <c r="AT434" s="20">
        <v>144000</v>
      </c>
      <c r="AV434" s="20">
        <v>326992</v>
      </c>
      <c r="AW434" s="20">
        <v>1723680</v>
      </c>
      <c r="AX434" s="20">
        <v>3040200</v>
      </c>
      <c r="BH434" s="28">
        <v>6022852</v>
      </c>
      <c r="BI434" s="28">
        <v>20634958</v>
      </c>
    </row>
    <row r="435" spans="1:61" hidden="1" x14ac:dyDescent="0.3">
      <c r="A435" s="1" t="s">
        <v>739</v>
      </c>
      <c r="B435" s="1" t="s">
        <v>224</v>
      </c>
      <c r="C435" s="1" t="s">
        <v>225</v>
      </c>
      <c r="D435" s="1" t="s">
        <v>226</v>
      </c>
      <c r="E435" s="1" t="s">
        <v>225</v>
      </c>
      <c r="F435" s="1" t="s">
        <v>226</v>
      </c>
      <c r="G435" s="1" t="s">
        <v>1011</v>
      </c>
      <c r="H435" s="1" t="s">
        <v>1012</v>
      </c>
      <c r="I435" s="1" t="s">
        <v>224</v>
      </c>
      <c r="J435" s="1" t="s">
        <v>229</v>
      </c>
      <c r="K435" s="1" t="s">
        <v>118</v>
      </c>
      <c r="L435" s="1" t="s">
        <v>103</v>
      </c>
      <c r="M435" s="20">
        <v>197400</v>
      </c>
      <c r="P435" s="20">
        <v>130800</v>
      </c>
      <c r="Q435" s="20">
        <v>2108880</v>
      </c>
      <c r="R435" s="20">
        <v>2684400</v>
      </c>
      <c r="AB435" s="20">
        <v>5121480</v>
      </c>
      <c r="AC435" s="20">
        <v>224400</v>
      </c>
      <c r="AF435" s="20">
        <v>130800</v>
      </c>
      <c r="AG435" s="20">
        <v>1522800</v>
      </c>
      <c r="AH435" s="20">
        <v>3920616</v>
      </c>
      <c r="AR435" s="20">
        <v>5798616</v>
      </c>
      <c r="AS435" s="20">
        <v>218700</v>
      </c>
      <c r="AT435" s="20">
        <v>288000</v>
      </c>
      <c r="AW435" s="20">
        <v>1831680</v>
      </c>
      <c r="AX435" s="20">
        <v>2584800</v>
      </c>
      <c r="BH435" s="28">
        <v>4923180</v>
      </c>
      <c r="BI435" s="28">
        <v>15843276</v>
      </c>
    </row>
    <row r="436" spans="1:61" hidden="1" x14ac:dyDescent="0.3">
      <c r="A436" s="1" t="s">
        <v>739</v>
      </c>
      <c r="B436" s="1" t="s">
        <v>224</v>
      </c>
      <c r="C436" s="1" t="s">
        <v>225</v>
      </c>
      <c r="D436" s="1" t="s">
        <v>226</v>
      </c>
      <c r="E436" s="1" t="s">
        <v>225</v>
      </c>
      <c r="F436" s="1" t="s">
        <v>226</v>
      </c>
      <c r="G436" s="1" t="s">
        <v>1013</v>
      </c>
      <c r="H436" s="1" t="s">
        <v>1014</v>
      </c>
      <c r="I436" s="1" t="s">
        <v>224</v>
      </c>
      <c r="J436" s="1" t="s">
        <v>229</v>
      </c>
      <c r="K436" s="1" t="s">
        <v>118</v>
      </c>
      <c r="L436" s="1" t="s">
        <v>103</v>
      </c>
      <c r="M436" s="20">
        <v>218700</v>
      </c>
      <c r="Q436" s="20">
        <v>496080</v>
      </c>
      <c r="R436" s="20">
        <v>1257600</v>
      </c>
      <c r="AB436" s="20">
        <v>1972380</v>
      </c>
      <c r="AC436" s="20">
        <v>330900</v>
      </c>
      <c r="AG436" s="20">
        <v>725040</v>
      </c>
      <c r="AH436" s="20">
        <v>821616</v>
      </c>
      <c r="AR436" s="20">
        <v>1877556</v>
      </c>
      <c r="AS436" s="20">
        <v>106500</v>
      </c>
      <c r="AW436" s="20">
        <v>648720</v>
      </c>
      <c r="AX436" s="20">
        <v>1204800</v>
      </c>
      <c r="BH436" s="28">
        <v>1960020</v>
      </c>
      <c r="BI436" s="28">
        <v>5809956</v>
      </c>
    </row>
    <row r="437" spans="1:61" hidden="1" x14ac:dyDescent="0.3">
      <c r="A437" s="1" t="s">
        <v>739</v>
      </c>
      <c r="B437" s="1" t="s">
        <v>224</v>
      </c>
      <c r="C437" s="1" t="s">
        <v>225</v>
      </c>
      <c r="D437" s="1" t="s">
        <v>226</v>
      </c>
      <c r="E437" s="1" t="s">
        <v>225</v>
      </c>
      <c r="F437" s="1" t="s">
        <v>226</v>
      </c>
      <c r="G437" s="1" t="s">
        <v>1015</v>
      </c>
      <c r="H437" s="1" t="s">
        <v>1016</v>
      </c>
      <c r="I437" s="1" t="s">
        <v>224</v>
      </c>
      <c r="J437" s="1" t="s">
        <v>229</v>
      </c>
      <c r="K437" s="1" t="s">
        <v>118</v>
      </c>
      <c r="L437" s="1" t="s">
        <v>103</v>
      </c>
      <c r="M437" s="20">
        <v>1183260</v>
      </c>
      <c r="Q437" s="20">
        <v>2209320</v>
      </c>
      <c r="R437" s="20">
        <v>7130016</v>
      </c>
      <c r="AB437" s="20">
        <v>10522596</v>
      </c>
      <c r="AC437" s="20">
        <v>937548</v>
      </c>
      <c r="AF437" s="20">
        <v>392400</v>
      </c>
      <c r="AG437" s="20">
        <v>1664640</v>
      </c>
      <c r="AH437" s="20">
        <v>9052032</v>
      </c>
      <c r="AR437" s="20">
        <v>12046620</v>
      </c>
      <c r="AS437" s="20">
        <v>935100</v>
      </c>
      <c r="AT437" s="20">
        <v>288000</v>
      </c>
      <c r="AV437" s="20">
        <v>326992</v>
      </c>
      <c r="AW437" s="20">
        <v>2070720</v>
      </c>
      <c r="AX437" s="20">
        <v>10409400</v>
      </c>
      <c r="BH437" s="28">
        <v>14030212</v>
      </c>
      <c r="BI437" s="28">
        <v>36599428</v>
      </c>
    </row>
    <row r="438" spans="1:61" hidden="1" x14ac:dyDescent="0.3">
      <c r="A438" s="1" t="s">
        <v>739</v>
      </c>
      <c r="B438" s="1" t="s">
        <v>224</v>
      </c>
      <c r="C438" s="1" t="s">
        <v>225</v>
      </c>
      <c r="D438" s="1" t="s">
        <v>226</v>
      </c>
      <c r="E438" s="1" t="s">
        <v>225</v>
      </c>
      <c r="F438" s="1" t="s">
        <v>226</v>
      </c>
      <c r="G438" s="1" t="s">
        <v>1017</v>
      </c>
      <c r="H438" s="1" t="s">
        <v>1018</v>
      </c>
      <c r="I438" s="1" t="s">
        <v>224</v>
      </c>
      <c r="J438" s="1" t="s">
        <v>229</v>
      </c>
      <c r="K438" s="1" t="s">
        <v>118</v>
      </c>
      <c r="L438" s="1" t="s">
        <v>103</v>
      </c>
      <c r="M438" s="20">
        <v>1386300</v>
      </c>
      <c r="P438" s="20">
        <v>130800</v>
      </c>
      <c r="Q438" s="20">
        <v>2247480</v>
      </c>
      <c r="AB438" s="20">
        <v>3764580</v>
      </c>
      <c r="AC438" s="20">
        <v>891516</v>
      </c>
      <c r="AF438" s="20">
        <v>130800</v>
      </c>
      <c r="AG438" s="20">
        <v>711000</v>
      </c>
      <c r="AR438" s="20">
        <v>1733316</v>
      </c>
      <c r="BI438" s="28">
        <v>5497896</v>
      </c>
    </row>
    <row r="439" spans="1:61" hidden="1" x14ac:dyDescent="0.3">
      <c r="A439" s="1" t="s">
        <v>739</v>
      </c>
      <c r="B439" s="1" t="s">
        <v>224</v>
      </c>
      <c r="C439" s="1" t="s">
        <v>225</v>
      </c>
      <c r="D439" s="1" t="s">
        <v>226</v>
      </c>
      <c r="E439" s="1" t="s">
        <v>225</v>
      </c>
      <c r="F439" s="1" t="s">
        <v>226</v>
      </c>
      <c r="G439" s="1" t="s">
        <v>1019</v>
      </c>
      <c r="H439" s="1" t="s">
        <v>1020</v>
      </c>
      <c r="I439" s="1" t="s">
        <v>224</v>
      </c>
      <c r="J439" s="1" t="s">
        <v>229</v>
      </c>
      <c r="K439" s="1" t="s">
        <v>118</v>
      </c>
      <c r="L439" s="1" t="s">
        <v>103</v>
      </c>
      <c r="M439" s="20">
        <v>174960</v>
      </c>
      <c r="P439" s="20">
        <v>130800</v>
      </c>
      <c r="Q439" s="20">
        <v>1231200</v>
      </c>
      <c r="R439" s="20">
        <v>571200</v>
      </c>
      <c r="AB439" s="20">
        <v>2108160</v>
      </c>
      <c r="AG439" s="20">
        <v>454320</v>
      </c>
      <c r="AH439" s="20">
        <v>1093200</v>
      </c>
      <c r="AR439" s="20">
        <v>1547520</v>
      </c>
      <c r="BI439" s="28">
        <v>3655680</v>
      </c>
    </row>
    <row r="440" spans="1:61" hidden="1" x14ac:dyDescent="0.3">
      <c r="A440" s="1" t="s">
        <v>739</v>
      </c>
      <c r="B440" s="1" t="s">
        <v>224</v>
      </c>
      <c r="C440" s="1" t="s">
        <v>225</v>
      </c>
      <c r="D440" s="1" t="s">
        <v>226</v>
      </c>
      <c r="E440" s="1" t="s">
        <v>225</v>
      </c>
      <c r="F440" s="1" t="s">
        <v>226</v>
      </c>
      <c r="G440" s="1" t="s">
        <v>1021</v>
      </c>
      <c r="H440" s="1" t="s">
        <v>1022</v>
      </c>
      <c r="I440" s="1" t="s">
        <v>224</v>
      </c>
      <c r="J440" s="1" t="s">
        <v>229</v>
      </c>
      <c r="K440" s="1" t="s">
        <v>118</v>
      </c>
      <c r="L440" s="1" t="s">
        <v>103</v>
      </c>
      <c r="M440" s="20">
        <v>707820</v>
      </c>
      <c r="P440" s="20">
        <v>654000</v>
      </c>
      <c r="Q440" s="20">
        <v>2327760</v>
      </c>
      <c r="R440" s="20">
        <v>5278800</v>
      </c>
      <c r="AB440" s="20">
        <v>8968380</v>
      </c>
      <c r="AC440" s="20">
        <v>1111740</v>
      </c>
      <c r="AF440" s="20">
        <v>523200</v>
      </c>
      <c r="AG440" s="20">
        <v>2480400</v>
      </c>
      <c r="AH440" s="20">
        <v>7412832</v>
      </c>
      <c r="AR440" s="20">
        <v>11528172</v>
      </c>
      <c r="AS440" s="20">
        <v>437400</v>
      </c>
      <c r="AT440" s="20">
        <v>144000</v>
      </c>
      <c r="AV440" s="20">
        <v>425088</v>
      </c>
      <c r="AW440" s="20">
        <v>2556720</v>
      </c>
      <c r="AX440" s="20">
        <v>7016400</v>
      </c>
      <c r="BH440" s="28">
        <v>10579608</v>
      </c>
      <c r="BI440" s="28">
        <v>31076160</v>
      </c>
    </row>
    <row r="441" spans="1:61" hidden="1" x14ac:dyDescent="0.3">
      <c r="A441" s="1" t="s">
        <v>739</v>
      </c>
      <c r="B441" s="1" t="s">
        <v>224</v>
      </c>
      <c r="C441" s="1" t="s">
        <v>225</v>
      </c>
      <c r="D441" s="1" t="s">
        <v>226</v>
      </c>
      <c r="E441" s="1" t="s">
        <v>225</v>
      </c>
      <c r="F441" s="1" t="s">
        <v>226</v>
      </c>
      <c r="G441" s="1" t="s">
        <v>1023</v>
      </c>
      <c r="H441" s="1" t="s">
        <v>1024</v>
      </c>
      <c r="I441" s="1" t="s">
        <v>224</v>
      </c>
      <c r="J441" s="1" t="s">
        <v>229</v>
      </c>
      <c r="K441" s="1" t="s">
        <v>118</v>
      </c>
      <c r="L441" s="1" t="s">
        <v>103</v>
      </c>
      <c r="M441" s="20">
        <v>398220</v>
      </c>
      <c r="P441" s="20">
        <v>130800</v>
      </c>
      <c r="Q441" s="20">
        <v>2175120</v>
      </c>
      <c r="R441" s="20">
        <v>669600</v>
      </c>
      <c r="AB441" s="20">
        <v>3373740</v>
      </c>
      <c r="AC441" s="20">
        <v>558000</v>
      </c>
      <c r="AF441" s="20">
        <v>130800</v>
      </c>
      <c r="AG441" s="20">
        <v>2556720</v>
      </c>
      <c r="AH441" s="20">
        <v>1214400</v>
      </c>
      <c r="AR441" s="20">
        <v>4459920</v>
      </c>
      <c r="AS441" s="20">
        <v>224400</v>
      </c>
      <c r="AT441" s="20">
        <v>144000</v>
      </c>
      <c r="AV441" s="20">
        <v>196192</v>
      </c>
      <c r="AW441" s="20">
        <v>1144800</v>
      </c>
      <c r="AX441" s="20">
        <v>290400</v>
      </c>
      <c r="BH441" s="28">
        <v>1999792</v>
      </c>
      <c r="BI441" s="28">
        <v>9833452</v>
      </c>
    </row>
    <row r="442" spans="1:61" hidden="1" x14ac:dyDescent="0.3">
      <c r="A442" s="1" t="s">
        <v>739</v>
      </c>
      <c r="B442" s="1" t="s">
        <v>224</v>
      </c>
      <c r="C442" s="1" t="s">
        <v>225</v>
      </c>
      <c r="D442" s="1" t="s">
        <v>226</v>
      </c>
      <c r="E442" s="1" t="s">
        <v>225</v>
      </c>
      <c r="F442" s="1" t="s">
        <v>226</v>
      </c>
      <c r="G442" s="1" t="s">
        <v>1025</v>
      </c>
      <c r="H442" s="1" t="s">
        <v>1026</v>
      </c>
      <c r="I442" s="1" t="s">
        <v>224</v>
      </c>
      <c r="J442" s="1" t="s">
        <v>229</v>
      </c>
      <c r="K442" s="1" t="s">
        <v>118</v>
      </c>
      <c r="L442" s="1" t="s">
        <v>103</v>
      </c>
      <c r="M442" s="20">
        <v>197400</v>
      </c>
      <c r="P442" s="20">
        <v>130800</v>
      </c>
      <c r="Q442" s="20">
        <v>2251440</v>
      </c>
      <c r="R442" s="20">
        <v>1340016</v>
      </c>
      <c r="AB442" s="20">
        <v>3919656</v>
      </c>
      <c r="AC442" s="20">
        <v>330900</v>
      </c>
      <c r="AG442" s="20">
        <v>2289600</v>
      </c>
      <c r="AH442" s="20">
        <v>2446800</v>
      </c>
      <c r="AR442" s="20">
        <v>5067300</v>
      </c>
      <c r="AS442" s="20">
        <v>437400</v>
      </c>
      <c r="AT442" s="20">
        <v>288000</v>
      </c>
      <c r="AW442" s="20">
        <v>2365920</v>
      </c>
      <c r="AX442" s="20">
        <v>1365000</v>
      </c>
      <c r="BH442" s="28">
        <v>4456320</v>
      </c>
      <c r="BI442" s="28">
        <v>13443276</v>
      </c>
    </row>
    <row r="443" spans="1:61" hidden="1" x14ac:dyDescent="0.3">
      <c r="A443" s="1" t="s">
        <v>739</v>
      </c>
      <c r="B443" s="1" t="s">
        <v>224</v>
      </c>
      <c r="C443" s="1" t="s">
        <v>225</v>
      </c>
      <c r="D443" s="1" t="s">
        <v>226</v>
      </c>
      <c r="E443" s="1" t="s">
        <v>225</v>
      </c>
      <c r="F443" s="1" t="s">
        <v>226</v>
      </c>
      <c r="G443" s="1" t="s">
        <v>1027</v>
      </c>
      <c r="H443" s="1" t="s">
        <v>1028</v>
      </c>
      <c r="I443" s="1" t="s">
        <v>224</v>
      </c>
      <c r="J443" s="1" t="s">
        <v>229</v>
      </c>
      <c r="K443" s="1" t="s">
        <v>118</v>
      </c>
      <c r="L443" s="1" t="s">
        <v>103</v>
      </c>
      <c r="M443" s="20">
        <v>112200</v>
      </c>
      <c r="P443" s="20">
        <v>130800</v>
      </c>
      <c r="Q443" s="20">
        <v>1512360</v>
      </c>
      <c r="R443" s="20">
        <v>2706816</v>
      </c>
      <c r="AB443" s="20">
        <v>4462176</v>
      </c>
      <c r="AC443" s="20">
        <v>308460</v>
      </c>
      <c r="AF443" s="20">
        <v>130800</v>
      </c>
      <c r="AG443" s="20">
        <v>2254320</v>
      </c>
      <c r="AH443" s="20">
        <v>4221816</v>
      </c>
      <c r="AR443" s="20">
        <v>6915396</v>
      </c>
      <c r="AS443" s="20">
        <v>218700</v>
      </c>
      <c r="AT443" s="20">
        <v>288000</v>
      </c>
      <c r="AV443" s="20">
        <v>196192</v>
      </c>
      <c r="AW443" s="20">
        <v>1900440</v>
      </c>
      <c r="AX443" s="20">
        <v>2667000</v>
      </c>
      <c r="BH443" s="28">
        <v>5270332</v>
      </c>
      <c r="BI443" s="28">
        <v>16647904</v>
      </c>
    </row>
    <row r="444" spans="1:61" hidden="1" x14ac:dyDescent="0.3">
      <c r="A444" s="1" t="s">
        <v>739</v>
      </c>
      <c r="B444" s="1" t="s">
        <v>224</v>
      </c>
      <c r="C444" s="1" t="s">
        <v>225</v>
      </c>
      <c r="D444" s="1" t="s">
        <v>226</v>
      </c>
      <c r="E444" s="1" t="s">
        <v>225</v>
      </c>
      <c r="F444" s="1" t="s">
        <v>226</v>
      </c>
      <c r="G444" s="1" t="s">
        <v>1029</v>
      </c>
      <c r="H444" s="1" t="s">
        <v>1030</v>
      </c>
      <c r="I444" s="1" t="s">
        <v>224</v>
      </c>
      <c r="J444" s="1" t="s">
        <v>229</v>
      </c>
      <c r="K444" s="1" t="s">
        <v>118</v>
      </c>
      <c r="L444" s="1" t="s">
        <v>103</v>
      </c>
      <c r="M444" s="20">
        <v>1449270</v>
      </c>
      <c r="P444" s="20">
        <v>261600</v>
      </c>
      <c r="Q444" s="20">
        <v>1068480</v>
      </c>
      <c r="R444" s="20">
        <v>1619616</v>
      </c>
      <c r="AB444" s="20">
        <v>4398966</v>
      </c>
      <c r="AC444" s="20">
        <v>2022192</v>
      </c>
      <c r="AF444" s="20">
        <v>130800</v>
      </c>
      <c r="AG444" s="20">
        <v>2136960</v>
      </c>
      <c r="AH444" s="20">
        <v>2428200</v>
      </c>
      <c r="AR444" s="20">
        <v>6718152</v>
      </c>
      <c r="AS444" s="20">
        <v>1340100</v>
      </c>
      <c r="AT444" s="20">
        <v>144000</v>
      </c>
      <c r="AV444" s="20">
        <v>359696</v>
      </c>
      <c r="AW444" s="20">
        <v>1144800</v>
      </c>
      <c r="AX444" s="20">
        <v>2173800</v>
      </c>
      <c r="BH444" s="28">
        <v>5162396</v>
      </c>
      <c r="BI444" s="28">
        <v>16279514</v>
      </c>
    </row>
    <row r="445" spans="1:61" hidden="1" x14ac:dyDescent="0.3">
      <c r="A445" s="1" t="s">
        <v>739</v>
      </c>
      <c r="B445" s="1" t="s">
        <v>224</v>
      </c>
      <c r="C445" s="1" t="s">
        <v>225</v>
      </c>
      <c r="D445" s="1" t="s">
        <v>226</v>
      </c>
      <c r="E445" s="1" t="s">
        <v>225</v>
      </c>
      <c r="F445" s="1" t="s">
        <v>226</v>
      </c>
      <c r="G445" s="1" t="s">
        <v>1031</v>
      </c>
      <c r="H445" s="1" t="s">
        <v>1032</v>
      </c>
      <c r="I445" s="1" t="s">
        <v>224</v>
      </c>
      <c r="J445" s="1" t="s">
        <v>229</v>
      </c>
      <c r="K445" s="1" t="s">
        <v>118</v>
      </c>
      <c r="L445" s="1" t="s">
        <v>103</v>
      </c>
      <c r="M445" s="20">
        <v>179520</v>
      </c>
      <c r="Q445" s="20">
        <v>2404080</v>
      </c>
      <c r="R445" s="20">
        <v>2744016</v>
      </c>
      <c r="AB445" s="20">
        <v>5327616</v>
      </c>
      <c r="AC445" s="20">
        <v>393660</v>
      </c>
      <c r="AF445" s="20">
        <v>130800</v>
      </c>
      <c r="AG445" s="20">
        <v>2862000</v>
      </c>
      <c r="AH445" s="20">
        <v>3728016</v>
      </c>
      <c r="AR445" s="20">
        <v>7114476</v>
      </c>
      <c r="AS445" s="20">
        <v>667500</v>
      </c>
      <c r="AT445" s="20">
        <v>432000</v>
      </c>
      <c r="AV445" s="20">
        <v>392384</v>
      </c>
      <c r="AW445" s="20">
        <v>2213280</v>
      </c>
      <c r="AX445" s="20">
        <v>4345800</v>
      </c>
      <c r="BH445" s="28">
        <v>8050964</v>
      </c>
      <c r="BI445" s="28">
        <v>20493056</v>
      </c>
    </row>
    <row r="446" spans="1:61" hidden="1" x14ac:dyDescent="0.3">
      <c r="A446" s="1" t="s">
        <v>739</v>
      </c>
      <c r="B446" s="1" t="s">
        <v>224</v>
      </c>
      <c r="C446" s="1" t="s">
        <v>225</v>
      </c>
      <c r="D446" s="1" t="s">
        <v>226</v>
      </c>
      <c r="E446" s="1" t="s">
        <v>225</v>
      </c>
      <c r="F446" s="1" t="s">
        <v>226</v>
      </c>
      <c r="G446" s="1" t="s">
        <v>1033</v>
      </c>
      <c r="H446" s="1" t="s">
        <v>1034</v>
      </c>
      <c r="I446" s="1" t="s">
        <v>224</v>
      </c>
      <c r="J446" s="1" t="s">
        <v>229</v>
      </c>
      <c r="K446" s="1" t="s">
        <v>118</v>
      </c>
      <c r="L446" s="1" t="s">
        <v>103</v>
      </c>
      <c r="M446" s="20">
        <v>1380600</v>
      </c>
      <c r="Q446" s="20">
        <v>1918080</v>
      </c>
      <c r="R446" s="20">
        <v>3405600</v>
      </c>
      <c r="AB446" s="20">
        <v>6704280</v>
      </c>
      <c r="AC446" s="20">
        <v>2278452</v>
      </c>
      <c r="AG446" s="20">
        <v>2298960</v>
      </c>
      <c r="AH446" s="20">
        <v>4455600</v>
      </c>
      <c r="AR446" s="20">
        <v>9033012</v>
      </c>
      <c r="AS446" s="20">
        <v>934800</v>
      </c>
      <c r="AT446" s="20">
        <v>144000</v>
      </c>
      <c r="AV446" s="20">
        <v>196192</v>
      </c>
      <c r="AW446" s="20">
        <v>1307520</v>
      </c>
      <c r="AX446" s="20">
        <v>3789600</v>
      </c>
      <c r="BH446" s="28">
        <v>6372112</v>
      </c>
      <c r="BI446" s="28">
        <v>22109404</v>
      </c>
    </row>
    <row r="447" spans="1:61" hidden="1" x14ac:dyDescent="0.3">
      <c r="A447" s="1" t="s">
        <v>739</v>
      </c>
      <c r="B447" s="1" t="s">
        <v>224</v>
      </c>
      <c r="C447" s="1" t="s">
        <v>225</v>
      </c>
      <c r="D447" s="1" t="s">
        <v>226</v>
      </c>
      <c r="E447" s="1" t="s">
        <v>225</v>
      </c>
      <c r="F447" s="1" t="s">
        <v>226</v>
      </c>
      <c r="G447" s="1" t="s">
        <v>1035</v>
      </c>
      <c r="H447" s="1" t="s">
        <v>1036</v>
      </c>
      <c r="I447" s="1" t="s">
        <v>224</v>
      </c>
      <c r="J447" s="1" t="s">
        <v>229</v>
      </c>
      <c r="K447" s="1" t="s">
        <v>118</v>
      </c>
      <c r="L447" s="1" t="s">
        <v>103</v>
      </c>
      <c r="M447" s="20">
        <v>878880</v>
      </c>
      <c r="Q447" s="20">
        <v>2753640</v>
      </c>
      <c r="R447" s="20">
        <v>5262000</v>
      </c>
      <c r="AB447" s="20">
        <v>8894520</v>
      </c>
      <c r="AC447" s="20">
        <v>671052</v>
      </c>
      <c r="AF447" s="20">
        <v>392400</v>
      </c>
      <c r="AG447" s="20">
        <v>3054960</v>
      </c>
      <c r="AH447" s="20">
        <v>4280400</v>
      </c>
      <c r="AR447" s="20">
        <v>8398812</v>
      </c>
      <c r="AS447" s="20">
        <v>828600</v>
      </c>
      <c r="AT447" s="20">
        <v>576000</v>
      </c>
      <c r="AV447" s="20">
        <v>326992</v>
      </c>
      <c r="AW447" s="20">
        <v>2476440</v>
      </c>
      <c r="AX447" s="20">
        <v>5593800</v>
      </c>
      <c r="BH447" s="28">
        <v>9801832</v>
      </c>
      <c r="BI447" s="28">
        <v>27095164</v>
      </c>
    </row>
    <row r="448" spans="1:61" hidden="1" x14ac:dyDescent="0.3">
      <c r="A448" s="1" t="s">
        <v>739</v>
      </c>
      <c r="B448" s="1" t="s">
        <v>224</v>
      </c>
      <c r="C448" s="1" t="s">
        <v>225</v>
      </c>
      <c r="D448" s="1" t="s">
        <v>226</v>
      </c>
      <c r="E448" s="1" t="s">
        <v>225</v>
      </c>
      <c r="F448" s="1" t="s">
        <v>226</v>
      </c>
      <c r="G448" s="1" t="s">
        <v>1037</v>
      </c>
      <c r="H448" s="1" t="s">
        <v>1038</v>
      </c>
      <c r="I448" s="1" t="s">
        <v>224</v>
      </c>
      <c r="J448" s="1" t="s">
        <v>229</v>
      </c>
      <c r="K448" s="1" t="s">
        <v>118</v>
      </c>
      <c r="L448" s="1" t="s">
        <v>103</v>
      </c>
      <c r="M448" s="20">
        <v>1582110</v>
      </c>
      <c r="P448" s="20">
        <v>261600</v>
      </c>
      <c r="Q448" s="20">
        <v>1879920</v>
      </c>
      <c r="R448" s="20">
        <v>1886400</v>
      </c>
      <c r="AB448" s="20">
        <v>5610030</v>
      </c>
      <c r="AC448" s="20">
        <v>1567752</v>
      </c>
      <c r="AF448" s="20">
        <v>130800</v>
      </c>
      <c r="AG448" s="20">
        <v>2316960</v>
      </c>
      <c r="AH448" s="20">
        <v>1281216</v>
      </c>
      <c r="AR448" s="20">
        <v>5296728</v>
      </c>
      <c r="AS448" s="20">
        <v>935100</v>
      </c>
      <c r="AW448" s="20">
        <v>2781720</v>
      </c>
      <c r="AX448" s="20">
        <v>1543200</v>
      </c>
      <c r="BH448" s="28">
        <v>5260020</v>
      </c>
      <c r="BI448" s="28">
        <v>16166778</v>
      </c>
    </row>
    <row r="449" spans="1:61" hidden="1" x14ac:dyDescent="0.3">
      <c r="A449" s="1" t="s">
        <v>739</v>
      </c>
      <c r="B449" s="1" t="s">
        <v>224</v>
      </c>
      <c r="C449" s="1" t="s">
        <v>225</v>
      </c>
      <c r="D449" s="1" t="s">
        <v>226</v>
      </c>
      <c r="E449" s="1" t="s">
        <v>225</v>
      </c>
      <c r="F449" s="1" t="s">
        <v>226</v>
      </c>
      <c r="G449" s="1" t="s">
        <v>1039</v>
      </c>
      <c r="H449" s="1" t="s">
        <v>1040</v>
      </c>
      <c r="I449" s="1" t="s">
        <v>224</v>
      </c>
      <c r="J449" s="1" t="s">
        <v>229</v>
      </c>
      <c r="K449" s="1" t="s">
        <v>118</v>
      </c>
      <c r="L449" s="1" t="s">
        <v>103</v>
      </c>
      <c r="M449" s="20">
        <v>489120</v>
      </c>
      <c r="Q449" s="20">
        <v>2285640</v>
      </c>
      <c r="R449" s="20">
        <v>5859648</v>
      </c>
      <c r="AB449" s="20">
        <v>8634408</v>
      </c>
      <c r="AC449" s="20">
        <v>218700</v>
      </c>
      <c r="AG449" s="20">
        <v>1512000</v>
      </c>
      <c r="AH449" s="20">
        <v>3975600</v>
      </c>
      <c r="AR449" s="20">
        <v>5706300</v>
      </c>
      <c r="AV449" s="20">
        <v>98096</v>
      </c>
      <c r="AW449" s="20">
        <v>1033200</v>
      </c>
      <c r="AX449" s="20">
        <v>4317600</v>
      </c>
      <c r="BH449" s="28">
        <v>5448896</v>
      </c>
      <c r="BI449" s="28">
        <v>19789604</v>
      </c>
    </row>
    <row r="450" spans="1:61" hidden="1" x14ac:dyDescent="0.3">
      <c r="A450" s="1" t="s">
        <v>739</v>
      </c>
      <c r="B450" s="1" t="s">
        <v>224</v>
      </c>
      <c r="C450" s="1" t="s">
        <v>225</v>
      </c>
      <c r="D450" s="1" t="s">
        <v>226</v>
      </c>
      <c r="E450" s="1" t="s">
        <v>225</v>
      </c>
      <c r="F450" s="1" t="s">
        <v>226</v>
      </c>
      <c r="G450" s="1" t="s">
        <v>1041</v>
      </c>
      <c r="H450" s="1" t="s">
        <v>1042</v>
      </c>
      <c r="I450" s="1" t="s">
        <v>224</v>
      </c>
      <c r="J450" s="1" t="s">
        <v>229</v>
      </c>
      <c r="K450" s="1" t="s">
        <v>118</v>
      </c>
      <c r="L450" s="1" t="s">
        <v>103</v>
      </c>
      <c r="M450" s="20">
        <v>197400</v>
      </c>
      <c r="P450" s="20">
        <v>261600</v>
      </c>
      <c r="Q450" s="20">
        <v>915840</v>
      </c>
      <c r="R450" s="20">
        <v>1334016</v>
      </c>
      <c r="AB450" s="20">
        <v>2708856</v>
      </c>
      <c r="AC450" s="20">
        <v>308460</v>
      </c>
      <c r="AF450" s="20">
        <v>130800</v>
      </c>
      <c r="AG450" s="20">
        <v>1221120</v>
      </c>
      <c r="AH450" s="20">
        <v>1204800</v>
      </c>
      <c r="AR450" s="20">
        <v>2865180</v>
      </c>
      <c r="AT450" s="20">
        <v>144000</v>
      </c>
      <c r="AV450" s="20">
        <v>98096</v>
      </c>
      <c r="AW450" s="20">
        <v>686880</v>
      </c>
      <c r="AX450" s="20">
        <v>2394600</v>
      </c>
      <c r="BH450" s="28">
        <v>3323576</v>
      </c>
      <c r="BI450" s="28">
        <v>8897612</v>
      </c>
    </row>
    <row r="451" spans="1:61" hidden="1" x14ac:dyDescent="0.3">
      <c r="A451" s="1" t="s">
        <v>739</v>
      </c>
      <c r="B451" s="1" t="s">
        <v>224</v>
      </c>
      <c r="C451" s="1" t="s">
        <v>225</v>
      </c>
      <c r="D451" s="1" t="s">
        <v>226</v>
      </c>
      <c r="E451" s="1" t="s">
        <v>225</v>
      </c>
      <c r="F451" s="1" t="s">
        <v>226</v>
      </c>
      <c r="G451" s="1" t="s">
        <v>1043</v>
      </c>
      <c r="H451" s="1" t="s">
        <v>1044</v>
      </c>
      <c r="I451" s="1" t="s">
        <v>224</v>
      </c>
      <c r="J451" s="1" t="s">
        <v>229</v>
      </c>
      <c r="K451" s="1" t="s">
        <v>118</v>
      </c>
      <c r="L451" s="1" t="s">
        <v>103</v>
      </c>
      <c r="M451" s="20">
        <v>112200</v>
      </c>
      <c r="P451" s="20">
        <v>261600</v>
      </c>
      <c r="Q451" s="20">
        <v>1498320</v>
      </c>
      <c r="R451" s="20">
        <v>2578800</v>
      </c>
      <c r="AB451" s="20">
        <v>4450920</v>
      </c>
      <c r="AC451" s="20">
        <v>330900</v>
      </c>
      <c r="AF451" s="20">
        <v>130800</v>
      </c>
      <c r="AG451" s="20">
        <v>1862640</v>
      </c>
      <c r="AH451" s="20">
        <v>1736016</v>
      </c>
      <c r="AR451" s="20">
        <v>4060356</v>
      </c>
      <c r="AS451" s="20">
        <v>218700</v>
      </c>
      <c r="AT451" s="20">
        <v>144000</v>
      </c>
      <c r="AW451" s="20">
        <v>1030320</v>
      </c>
      <c r="AX451" s="20">
        <v>1963800</v>
      </c>
      <c r="BH451" s="28">
        <v>3356820</v>
      </c>
      <c r="BI451" s="28">
        <v>11868096</v>
      </c>
    </row>
    <row r="452" spans="1:61" hidden="1" x14ac:dyDescent="0.3">
      <c r="A452" s="1" t="s">
        <v>739</v>
      </c>
      <c r="B452" s="1" t="s">
        <v>224</v>
      </c>
      <c r="C452" s="1" t="s">
        <v>225</v>
      </c>
      <c r="D452" s="1" t="s">
        <v>226</v>
      </c>
      <c r="E452" s="1" t="s">
        <v>225</v>
      </c>
      <c r="F452" s="1" t="s">
        <v>226</v>
      </c>
      <c r="G452" s="1" t="s">
        <v>1045</v>
      </c>
      <c r="H452" s="1" t="s">
        <v>1046</v>
      </c>
      <c r="I452" s="1" t="s">
        <v>224</v>
      </c>
      <c r="J452" s="1" t="s">
        <v>229</v>
      </c>
      <c r="K452" s="1" t="s">
        <v>118</v>
      </c>
      <c r="L452" s="1" t="s">
        <v>103</v>
      </c>
      <c r="P452" s="20">
        <v>392400</v>
      </c>
      <c r="Q452" s="20">
        <v>2223360</v>
      </c>
      <c r="R452" s="20">
        <v>1775616</v>
      </c>
      <c r="AB452" s="20">
        <v>4391376</v>
      </c>
      <c r="AC452" s="20">
        <v>201960</v>
      </c>
      <c r="AG452" s="20">
        <v>2209680</v>
      </c>
      <c r="AH452" s="20">
        <v>1803216</v>
      </c>
      <c r="AR452" s="20">
        <v>4214856</v>
      </c>
      <c r="AS452" s="20">
        <v>0</v>
      </c>
      <c r="AT452" s="20">
        <v>288000</v>
      </c>
      <c r="AW452" s="20">
        <v>801360</v>
      </c>
      <c r="AX452" s="20">
        <v>1993800</v>
      </c>
      <c r="BH452" s="28">
        <v>3083160</v>
      </c>
      <c r="BI452" s="28">
        <v>11689392</v>
      </c>
    </row>
    <row r="453" spans="1:61" hidden="1" x14ac:dyDescent="0.3">
      <c r="A453" s="1" t="s">
        <v>739</v>
      </c>
      <c r="B453" s="1" t="s">
        <v>224</v>
      </c>
      <c r="C453" s="1" t="s">
        <v>225</v>
      </c>
      <c r="D453" s="1" t="s">
        <v>226</v>
      </c>
      <c r="E453" s="1" t="s">
        <v>225</v>
      </c>
      <c r="F453" s="1" t="s">
        <v>226</v>
      </c>
      <c r="G453" s="1" t="s">
        <v>1047</v>
      </c>
      <c r="H453" s="1" t="s">
        <v>1048</v>
      </c>
      <c r="I453" s="1" t="s">
        <v>224</v>
      </c>
      <c r="J453" s="1" t="s">
        <v>229</v>
      </c>
      <c r="K453" s="1" t="s">
        <v>118</v>
      </c>
      <c r="L453" s="1" t="s">
        <v>103</v>
      </c>
      <c r="M453" s="20">
        <v>282600</v>
      </c>
      <c r="P453" s="20">
        <v>261600</v>
      </c>
      <c r="Q453" s="20">
        <v>1755360</v>
      </c>
      <c r="R453" s="20">
        <v>4856400</v>
      </c>
      <c r="AB453" s="20">
        <v>7155960</v>
      </c>
      <c r="AF453" s="20">
        <v>392400</v>
      </c>
      <c r="AG453" s="20">
        <v>686880</v>
      </c>
      <c r="AH453" s="20">
        <v>2085000</v>
      </c>
      <c r="AR453" s="20">
        <v>3164280</v>
      </c>
      <c r="AS453" s="20">
        <v>106500</v>
      </c>
      <c r="AT453" s="20">
        <v>576000</v>
      </c>
      <c r="AV453" s="20">
        <v>294288</v>
      </c>
      <c r="AW453" s="20">
        <v>496080</v>
      </c>
      <c r="AX453" s="20">
        <v>2521800</v>
      </c>
      <c r="BH453" s="28">
        <v>3994668</v>
      </c>
      <c r="BI453" s="28">
        <v>14314908</v>
      </c>
    </row>
    <row r="454" spans="1:61" hidden="1" x14ac:dyDescent="0.3">
      <c r="A454" s="1" t="s">
        <v>739</v>
      </c>
      <c r="B454" s="1" t="s">
        <v>224</v>
      </c>
      <c r="C454" s="1" t="s">
        <v>225</v>
      </c>
      <c r="D454" s="1" t="s">
        <v>226</v>
      </c>
      <c r="E454" s="1" t="s">
        <v>225</v>
      </c>
      <c r="F454" s="1" t="s">
        <v>226</v>
      </c>
      <c r="G454" s="1" t="s">
        <v>1049</v>
      </c>
      <c r="H454" s="1" t="s">
        <v>1050</v>
      </c>
      <c r="I454" s="1" t="s">
        <v>224</v>
      </c>
      <c r="J454" s="1" t="s">
        <v>229</v>
      </c>
      <c r="K454" s="1" t="s">
        <v>118</v>
      </c>
      <c r="L454" s="1" t="s">
        <v>103</v>
      </c>
      <c r="M454" s="20">
        <v>1439490</v>
      </c>
      <c r="P454" s="20">
        <v>130800</v>
      </c>
      <c r="Q454" s="20">
        <v>1893960</v>
      </c>
      <c r="R454" s="20">
        <v>1724016</v>
      </c>
      <c r="AB454" s="20">
        <v>5188266</v>
      </c>
      <c r="AC454" s="20">
        <v>806616</v>
      </c>
      <c r="AF454" s="20">
        <v>392400</v>
      </c>
      <c r="AG454" s="20">
        <v>1702800</v>
      </c>
      <c r="AH454" s="20">
        <v>2063616</v>
      </c>
      <c r="AR454" s="20">
        <v>4965432</v>
      </c>
      <c r="AS454" s="20">
        <v>934800</v>
      </c>
      <c r="AT454" s="20">
        <v>288000</v>
      </c>
      <c r="AV454" s="20">
        <v>98096</v>
      </c>
      <c r="AW454" s="20">
        <v>1665000</v>
      </c>
      <c r="AX454" s="20">
        <v>2802600</v>
      </c>
      <c r="BH454" s="28">
        <v>5788496</v>
      </c>
      <c r="BI454" s="28">
        <v>15942194</v>
      </c>
    </row>
    <row r="455" spans="1:61" hidden="1" x14ac:dyDescent="0.3">
      <c r="A455" s="1" t="s">
        <v>739</v>
      </c>
      <c r="B455" s="1" t="s">
        <v>224</v>
      </c>
      <c r="C455" s="1" t="s">
        <v>225</v>
      </c>
      <c r="D455" s="1" t="s">
        <v>226</v>
      </c>
      <c r="E455" s="1" t="s">
        <v>225</v>
      </c>
      <c r="F455" s="1" t="s">
        <v>226</v>
      </c>
      <c r="G455" s="1" t="s">
        <v>1051</v>
      </c>
      <c r="H455" s="1" t="s">
        <v>1052</v>
      </c>
      <c r="I455" s="1" t="s">
        <v>224</v>
      </c>
      <c r="J455" s="1" t="s">
        <v>229</v>
      </c>
      <c r="K455" s="1" t="s">
        <v>118</v>
      </c>
      <c r="L455" s="1" t="s">
        <v>103</v>
      </c>
      <c r="P455" s="20">
        <v>130800</v>
      </c>
      <c r="Q455" s="20">
        <v>1411920</v>
      </c>
      <c r="R455" s="20">
        <v>1879200</v>
      </c>
      <c r="AB455" s="20">
        <v>3421920</v>
      </c>
      <c r="AC455" s="20">
        <v>371220</v>
      </c>
      <c r="AF455" s="20">
        <v>130800</v>
      </c>
      <c r="AG455" s="20">
        <v>1966320</v>
      </c>
      <c r="AH455" s="20">
        <v>1054200</v>
      </c>
      <c r="AR455" s="20">
        <v>3522540</v>
      </c>
      <c r="AT455" s="20">
        <v>144000</v>
      </c>
      <c r="AV455" s="20">
        <v>196192</v>
      </c>
      <c r="AW455" s="20">
        <v>1321560</v>
      </c>
      <c r="AX455" s="20">
        <v>1723200</v>
      </c>
      <c r="BH455" s="28">
        <v>3384952</v>
      </c>
      <c r="BI455" s="28">
        <v>10329412</v>
      </c>
    </row>
    <row r="456" spans="1:61" hidden="1" x14ac:dyDescent="0.3">
      <c r="A456" s="1" t="s">
        <v>739</v>
      </c>
      <c r="B456" s="1" t="s">
        <v>224</v>
      </c>
      <c r="C456" s="1" t="s">
        <v>225</v>
      </c>
      <c r="D456" s="1" t="s">
        <v>226</v>
      </c>
      <c r="E456" s="1" t="s">
        <v>225</v>
      </c>
      <c r="F456" s="1" t="s">
        <v>226</v>
      </c>
      <c r="G456" s="1" t="s">
        <v>1053</v>
      </c>
      <c r="H456" s="1" t="s">
        <v>1054</v>
      </c>
      <c r="I456" s="1" t="s">
        <v>224</v>
      </c>
      <c r="J456" s="1" t="s">
        <v>229</v>
      </c>
      <c r="K456" s="1" t="s">
        <v>118</v>
      </c>
      <c r="L456" s="1" t="s">
        <v>103</v>
      </c>
      <c r="M456" s="20">
        <v>174960</v>
      </c>
      <c r="P456" s="20">
        <v>130800</v>
      </c>
      <c r="Q456" s="20">
        <v>3583080</v>
      </c>
      <c r="R456" s="20">
        <v>1484400</v>
      </c>
      <c r="AB456" s="20">
        <v>5373240</v>
      </c>
      <c r="AC456" s="20">
        <v>106500</v>
      </c>
      <c r="AF456" s="20">
        <v>261600</v>
      </c>
      <c r="AG456" s="20">
        <v>2466000</v>
      </c>
      <c r="AH456" s="20">
        <v>1736016</v>
      </c>
      <c r="AR456" s="20">
        <v>4570116</v>
      </c>
      <c r="AS456" s="20">
        <v>224400</v>
      </c>
      <c r="AV456" s="20">
        <v>98096</v>
      </c>
      <c r="AW456" s="20">
        <v>2563200</v>
      </c>
      <c r="AX456" s="20">
        <v>1602600</v>
      </c>
      <c r="BH456" s="28">
        <v>4488296</v>
      </c>
      <c r="BI456" s="28">
        <v>14431652</v>
      </c>
    </row>
    <row r="457" spans="1:61" hidden="1" x14ac:dyDescent="0.3">
      <c r="A457" s="1" t="s">
        <v>739</v>
      </c>
      <c r="B457" s="1" t="s">
        <v>224</v>
      </c>
      <c r="C457" s="1" t="s">
        <v>225</v>
      </c>
      <c r="D457" s="1" t="s">
        <v>226</v>
      </c>
      <c r="E457" s="1" t="s">
        <v>225</v>
      </c>
      <c r="F457" s="1" t="s">
        <v>226</v>
      </c>
      <c r="G457" s="1" t="s">
        <v>1055</v>
      </c>
      <c r="H457" s="1" t="s">
        <v>1056</v>
      </c>
      <c r="I457" s="1" t="s">
        <v>224</v>
      </c>
      <c r="J457" s="1" t="s">
        <v>229</v>
      </c>
      <c r="K457" s="1" t="s">
        <v>118</v>
      </c>
      <c r="L457" s="1" t="s">
        <v>103</v>
      </c>
      <c r="M457" s="20">
        <v>913500</v>
      </c>
      <c r="P457" s="20">
        <v>130800</v>
      </c>
      <c r="Q457" s="20">
        <v>1182960</v>
      </c>
      <c r="R457" s="20">
        <v>1764000</v>
      </c>
      <c r="AB457" s="20">
        <v>3991260</v>
      </c>
      <c r="AC457" s="20">
        <v>1674552</v>
      </c>
      <c r="AG457" s="20">
        <v>2226600</v>
      </c>
      <c r="AH457" s="20">
        <v>2808816</v>
      </c>
      <c r="AR457" s="20">
        <v>6709968</v>
      </c>
      <c r="AS457" s="20">
        <v>2517336</v>
      </c>
      <c r="AT457" s="20">
        <v>144000</v>
      </c>
      <c r="AV457" s="20">
        <v>326992</v>
      </c>
      <c r="AW457" s="20">
        <v>1626840</v>
      </c>
      <c r="AX457" s="20">
        <v>2130000</v>
      </c>
      <c r="BH457" s="28">
        <v>6745168</v>
      </c>
      <c r="BI457" s="28">
        <v>17446396</v>
      </c>
    </row>
    <row r="458" spans="1:61" hidden="1" x14ac:dyDescent="0.3">
      <c r="A458" s="1" t="s">
        <v>739</v>
      </c>
      <c r="B458" s="1" t="s">
        <v>224</v>
      </c>
      <c r="C458" s="1" t="s">
        <v>225</v>
      </c>
      <c r="D458" s="1" t="s">
        <v>226</v>
      </c>
      <c r="E458" s="1" t="s">
        <v>225</v>
      </c>
      <c r="F458" s="1" t="s">
        <v>226</v>
      </c>
      <c r="G458" s="1" t="s">
        <v>1057</v>
      </c>
      <c r="H458" s="1" t="s">
        <v>1058</v>
      </c>
      <c r="I458" s="1" t="s">
        <v>224</v>
      </c>
      <c r="J458" s="1" t="s">
        <v>229</v>
      </c>
      <c r="K458" s="1" t="s">
        <v>118</v>
      </c>
      <c r="L458" s="1" t="s">
        <v>103</v>
      </c>
      <c r="P458" s="20">
        <v>130800</v>
      </c>
      <c r="Q458" s="20">
        <v>1182960</v>
      </c>
      <c r="R458" s="20">
        <v>1370016</v>
      </c>
      <c r="AB458" s="20">
        <v>2683776</v>
      </c>
      <c r="AF458" s="20">
        <v>130800</v>
      </c>
      <c r="AG458" s="20">
        <v>1553760</v>
      </c>
      <c r="AH458" s="20">
        <v>711000</v>
      </c>
      <c r="AR458" s="20">
        <v>2395560</v>
      </c>
      <c r="AT458" s="20">
        <v>144000</v>
      </c>
      <c r="AV458" s="20">
        <v>98096</v>
      </c>
      <c r="AW458" s="20">
        <v>1255680</v>
      </c>
      <c r="AX458" s="20">
        <v>861600</v>
      </c>
      <c r="BH458" s="28">
        <v>2359376</v>
      </c>
      <c r="BI458" s="28">
        <v>7438712</v>
      </c>
    </row>
    <row r="459" spans="1:61" hidden="1" x14ac:dyDescent="0.3">
      <c r="A459" s="1" t="s">
        <v>739</v>
      </c>
      <c r="B459" s="1" t="s">
        <v>224</v>
      </c>
      <c r="C459" s="1" t="s">
        <v>225</v>
      </c>
      <c r="D459" s="1" t="s">
        <v>226</v>
      </c>
      <c r="E459" s="1" t="s">
        <v>225</v>
      </c>
      <c r="F459" s="1" t="s">
        <v>226</v>
      </c>
      <c r="G459" s="1" t="s">
        <v>1059</v>
      </c>
      <c r="H459" s="1" t="s">
        <v>1060</v>
      </c>
      <c r="I459" s="1" t="s">
        <v>224</v>
      </c>
      <c r="J459" s="1" t="s">
        <v>229</v>
      </c>
      <c r="K459" s="1" t="s">
        <v>118</v>
      </c>
      <c r="L459" s="1" t="s">
        <v>103</v>
      </c>
      <c r="M459" s="20">
        <v>170400</v>
      </c>
      <c r="P459" s="20">
        <v>130800</v>
      </c>
      <c r="Q459" s="20">
        <v>1980360</v>
      </c>
      <c r="R459" s="20">
        <v>990000</v>
      </c>
      <c r="AB459" s="20">
        <v>3271560</v>
      </c>
      <c r="AC459" s="20">
        <v>314160</v>
      </c>
      <c r="AF459" s="20">
        <v>130800</v>
      </c>
      <c r="AG459" s="20">
        <v>2868120</v>
      </c>
      <c r="AH459" s="20">
        <v>2180016</v>
      </c>
      <c r="AR459" s="20">
        <v>5493096</v>
      </c>
      <c r="AV459" s="20">
        <v>196192</v>
      </c>
      <c r="AW459" s="20">
        <v>1727280</v>
      </c>
      <c r="AX459" s="20">
        <v>1099200</v>
      </c>
      <c r="BH459" s="28">
        <v>3022672</v>
      </c>
      <c r="BI459" s="28">
        <v>11787328</v>
      </c>
    </row>
    <row r="460" spans="1:61" hidden="1" x14ac:dyDescent="0.3">
      <c r="A460" s="1" t="s">
        <v>739</v>
      </c>
      <c r="B460" s="1" t="s">
        <v>224</v>
      </c>
      <c r="C460" s="1" t="s">
        <v>225</v>
      </c>
      <c r="D460" s="1" t="s">
        <v>226</v>
      </c>
      <c r="E460" s="1" t="s">
        <v>225</v>
      </c>
      <c r="F460" s="1" t="s">
        <v>226</v>
      </c>
      <c r="G460" s="1" t="s">
        <v>1061</v>
      </c>
      <c r="H460" s="1" t="s">
        <v>1062</v>
      </c>
      <c r="I460" s="1" t="s">
        <v>224</v>
      </c>
      <c r="J460" s="1" t="s">
        <v>229</v>
      </c>
      <c r="K460" s="1" t="s">
        <v>118</v>
      </c>
      <c r="L460" s="1" t="s">
        <v>103</v>
      </c>
      <c r="M460" s="20">
        <v>372360</v>
      </c>
      <c r="P460" s="20">
        <v>130800</v>
      </c>
      <c r="Q460" s="20">
        <v>863640</v>
      </c>
      <c r="R460" s="20">
        <v>2498400</v>
      </c>
      <c r="AB460" s="20">
        <v>3865200</v>
      </c>
      <c r="AC460" s="20">
        <v>393660</v>
      </c>
      <c r="AF460" s="20">
        <v>130800</v>
      </c>
      <c r="AG460" s="20">
        <v>1893600</v>
      </c>
      <c r="AH460" s="20">
        <v>5468616</v>
      </c>
      <c r="AR460" s="20">
        <v>7886676</v>
      </c>
      <c r="AS460" s="20">
        <v>106500</v>
      </c>
      <c r="AT460" s="20">
        <v>144000</v>
      </c>
      <c r="AV460" s="20">
        <v>228896</v>
      </c>
      <c r="AW460" s="20">
        <v>1255320</v>
      </c>
      <c r="AX460" s="20">
        <v>3591600</v>
      </c>
      <c r="BH460" s="28">
        <v>5326316</v>
      </c>
      <c r="BI460" s="28">
        <v>17078192</v>
      </c>
    </row>
    <row r="461" spans="1:61" hidden="1" x14ac:dyDescent="0.3">
      <c r="A461" s="1" t="s">
        <v>739</v>
      </c>
      <c r="B461" s="1" t="s">
        <v>224</v>
      </c>
      <c r="C461" s="1" t="s">
        <v>225</v>
      </c>
      <c r="D461" s="1" t="s">
        <v>226</v>
      </c>
      <c r="E461" s="1" t="s">
        <v>225</v>
      </c>
      <c r="F461" s="1" t="s">
        <v>226</v>
      </c>
      <c r="G461" s="1" t="s">
        <v>1063</v>
      </c>
      <c r="H461" s="1" t="s">
        <v>1064</v>
      </c>
      <c r="I461" s="1" t="s">
        <v>224</v>
      </c>
      <c r="J461" s="1" t="s">
        <v>229</v>
      </c>
      <c r="K461" s="1" t="s">
        <v>118</v>
      </c>
      <c r="L461" s="1" t="s">
        <v>103</v>
      </c>
      <c r="M461" s="20">
        <v>201960</v>
      </c>
      <c r="P461" s="20">
        <v>130800</v>
      </c>
      <c r="Q461" s="20">
        <v>1345680</v>
      </c>
      <c r="R461" s="20">
        <v>2287200</v>
      </c>
      <c r="AB461" s="20">
        <v>3965640</v>
      </c>
      <c r="AC461" s="20">
        <v>218700</v>
      </c>
      <c r="AG461" s="20">
        <v>786960</v>
      </c>
      <c r="AH461" s="20">
        <v>2615232</v>
      </c>
      <c r="AR461" s="20">
        <v>3620892</v>
      </c>
      <c r="AT461" s="20">
        <v>432000</v>
      </c>
      <c r="AW461" s="20">
        <v>1265760</v>
      </c>
      <c r="AX461" s="20">
        <v>3304800</v>
      </c>
      <c r="BH461" s="28">
        <v>5002560</v>
      </c>
      <c r="BI461" s="28">
        <v>12589092</v>
      </c>
    </row>
    <row r="462" spans="1:61" hidden="1" x14ac:dyDescent="0.3">
      <c r="A462" s="1" t="s">
        <v>739</v>
      </c>
      <c r="B462" s="1" t="s">
        <v>224</v>
      </c>
      <c r="C462" s="1" t="s">
        <v>225</v>
      </c>
      <c r="D462" s="1" t="s">
        <v>226</v>
      </c>
      <c r="E462" s="1" t="s">
        <v>225</v>
      </c>
      <c r="F462" s="1" t="s">
        <v>226</v>
      </c>
      <c r="G462" s="1" t="s">
        <v>1065</v>
      </c>
      <c r="H462" s="1" t="s">
        <v>1066</v>
      </c>
      <c r="I462" s="1" t="s">
        <v>224</v>
      </c>
      <c r="J462" s="1" t="s">
        <v>229</v>
      </c>
      <c r="K462" s="1" t="s">
        <v>118</v>
      </c>
      <c r="L462" s="1" t="s">
        <v>103</v>
      </c>
      <c r="Q462" s="20">
        <v>1016280</v>
      </c>
      <c r="R462" s="20">
        <v>1544016</v>
      </c>
      <c r="AB462" s="20">
        <v>2560296</v>
      </c>
      <c r="AC462" s="20">
        <v>287160</v>
      </c>
      <c r="AF462" s="20">
        <v>130800</v>
      </c>
      <c r="AG462" s="20">
        <v>984960</v>
      </c>
      <c r="AH462" s="20">
        <v>2538816</v>
      </c>
      <c r="AR462" s="20">
        <v>3941736</v>
      </c>
      <c r="AS462" s="20">
        <v>106500</v>
      </c>
      <c r="AT462" s="20">
        <v>144000</v>
      </c>
      <c r="AW462" s="20">
        <v>496080</v>
      </c>
      <c r="AX462" s="20">
        <v>1776000</v>
      </c>
      <c r="BH462" s="28">
        <v>2522580</v>
      </c>
      <c r="BI462" s="28">
        <v>9024612</v>
      </c>
    </row>
    <row r="463" spans="1:61" hidden="1" x14ac:dyDescent="0.3">
      <c r="A463" s="1" t="s">
        <v>739</v>
      </c>
      <c r="B463" s="1" t="s">
        <v>224</v>
      </c>
      <c r="C463" s="1" t="s">
        <v>225</v>
      </c>
      <c r="D463" s="1" t="s">
        <v>226</v>
      </c>
      <c r="E463" s="1" t="s">
        <v>225</v>
      </c>
      <c r="F463" s="1" t="s">
        <v>226</v>
      </c>
      <c r="G463" s="1" t="s">
        <v>1067</v>
      </c>
      <c r="H463" s="1" t="s">
        <v>1068</v>
      </c>
      <c r="I463" s="1" t="s">
        <v>224</v>
      </c>
      <c r="J463" s="1" t="s">
        <v>229</v>
      </c>
      <c r="K463" s="1" t="s">
        <v>118</v>
      </c>
      <c r="L463" s="1" t="s">
        <v>103</v>
      </c>
      <c r="M463" s="20">
        <v>620760</v>
      </c>
      <c r="P463" s="20">
        <v>261600</v>
      </c>
      <c r="Q463" s="20">
        <v>1574640</v>
      </c>
      <c r="R463" s="20">
        <v>2230416</v>
      </c>
      <c r="AB463" s="20">
        <v>4687416</v>
      </c>
      <c r="AC463" s="20">
        <v>579516</v>
      </c>
      <c r="AG463" s="20">
        <v>1481040</v>
      </c>
      <c r="AH463" s="20">
        <v>1894416</v>
      </c>
      <c r="AR463" s="20">
        <v>3954972</v>
      </c>
      <c r="AT463" s="20">
        <v>144000</v>
      </c>
      <c r="AW463" s="20">
        <v>992160</v>
      </c>
      <c r="AX463" s="20">
        <v>2880000</v>
      </c>
      <c r="BH463" s="28">
        <v>4016160</v>
      </c>
      <c r="BI463" s="28">
        <v>12658548</v>
      </c>
    </row>
    <row r="464" spans="1:61" hidden="1" x14ac:dyDescent="0.3">
      <c r="A464" s="1" t="s">
        <v>739</v>
      </c>
      <c r="B464" s="1" t="s">
        <v>224</v>
      </c>
      <c r="C464" s="1" t="s">
        <v>225</v>
      </c>
      <c r="D464" s="1" t="s">
        <v>226</v>
      </c>
      <c r="E464" s="1" t="s">
        <v>225</v>
      </c>
      <c r="F464" s="1" t="s">
        <v>226</v>
      </c>
      <c r="G464" s="1" t="s">
        <v>1069</v>
      </c>
      <c r="H464" s="1" t="s">
        <v>1070</v>
      </c>
      <c r="I464" s="1" t="s">
        <v>224</v>
      </c>
      <c r="J464" s="1" t="s">
        <v>229</v>
      </c>
      <c r="K464" s="1" t="s">
        <v>118</v>
      </c>
      <c r="L464" s="1" t="s">
        <v>103</v>
      </c>
      <c r="M464" s="20">
        <v>179520</v>
      </c>
      <c r="Q464" s="20">
        <v>1755360</v>
      </c>
      <c r="R464" s="20">
        <v>1638000</v>
      </c>
      <c r="AB464" s="20">
        <v>3572880</v>
      </c>
      <c r="AC464" s="20">
        <v>281460</v>
      </c>
      <c r="AG464" s="20">
        <v>1099440</v>
      </c>
      <c r="AH464" s="20">
        <v>951816</v>
      </c>
      <c r="AR464" s="20">
        <v>2332716</v>
      </c>
      <c r="AS464" s="20">
        <v>330900</v>
      </c>
      <c r="AW464" s="20">
        <v>1144800</v>
      </c>
      <c r="AX464" s="20">
        <v>1612800</v>
      </c>
      <c r="BH464" s="28">
        <v>3088500</v>
      </c>
      <c r="BI464" s="28">
        <v>8994096</v>
      </c>
    </row>
    <row r="465" spans="1:61" hidden="1" x14ac:dyDescent="0.3">
      <c r="A465" s="1" t="s">
        <v>739</v>
      </c>
      <c r="B465" s="1" t="s">
        <v>224</v>
      </c>
      <c r="C465" s="1" t="s">
        <v>225</v>
      </c>
      <c r="D465" s="1" t="s">
        <v>226</v>
      </c>
      <c r="E465" s="1" t="s">
        <v>225</v>
      </c>
      <c r="F465" s="1" t="s">
        <v>226</v>
      </c>
      <c r="G465" s="1" t="s">
        <v>1071</v>
      </c>
      <c r="H465" s="1" t="s">
        <v>1072</v>
      </c>
      <c r="I465" s="1" t="s">
        <v>224</v>
      </c>
      <c r="J465" s="1" t="s">
        <v>229</v>
      </c>
      <c r="K465" s="1" t="s">
        <v>118</v>
      </c>
      <c r="L465" s="1" t="s">
        <v>103</v>
      </c>
      <c r="Q465" s="20">
        <v>1207080</v>
      </c>
      <c r="R465" s="20">
        <v>1397616</v>
      </c>
      <c r="AB465" s="20">
        <v>2604696</v>
      </c>
      <c r="AC465" s="20">
        <v>112200</v>
      </c>
      <c r="AG465" s="20">
        <v>1137600</v>
      </c>
      <c r="AH465" s="20">
        <v>1914600</v>
      </c>
      <c r="AR465" s="20">
        <v>3164400</v>
      </c>
      <c r="AW465" s="20">
        <v>1317960</v>
      </c>
      <c r="AX465" s="20">
        <v>1365000</v>
      </c>
      <c r="BH465" s="28">
        <v>2682960</v>
      </c>
      <c r="BI465" s="28">
        <v>8452056</v>
      </c>
    </row>
    <row r="466" spans="1:61" hidden="1" x14ac:dyDescent="0.3">
      <c r="A466" s="1" t="s">
        <v>739</v>
      </c>
      <c r="B466" s="1" t="s">
        <v>224</v>
      </c>
      <c r="C466" s="1" t="s">
        <v>225</v>
      </c>
      <c r="D466" s="1" t="s">
        <v>226</v>
      </c>
      <c r="E466" s="1" t="s">
        <v>225</v>
      </c>
      <c r="F466" s="1" t="s">
        <v>226</v>
      </c>
      <c r="G466" s="1" t="s">
        <v>1073</v>
      </c>
      <c r="H466" s="1" t="s">
        <v>1074</v>
      </c>
      <c r="I466" s="1" t="s">
        <v>224</v>
      </c>
      <c r="J466" s="1" t="s">
        <v>229</v>
      </c>
      <c r="K466" s="1" t="s">
        <v>118</v>
      </c>
      <c r="L466" s="1" t="s">
        <v>103</v>
      </c>
      <c r="M466" s="20">
        <v>89760</v>
      </c>
      <c r="Q466" s="20">
        <v>1703160</v>
      </c>
      <c r="R466" s="20">
        <v>2771616</v>
      </c>
      <c r="AB466" s="20">
        <v>4564536</v>
      </c>
      <c r="AC466" s="20">
        <v>218700</v>
      </c>
      <c r="AG466" s="20">
        <v>2889360</v>
      </c>
      <c r="AH466" s="20">
        <v>2893800</v>
      </c>
      <c r="AR466" s="20">
        <v>6001860</v>
      </c>
      <c r="AS466" s="20">
        <v>218700</v>
      </c>
      <c r="AT466" s="20">
        <v>288000</v>
      </c>
      <c r="AV466" s="20">
        <v>98096</v>
      </c>
      <c r="AW466" s="20">
        <v>2122920</v>
      </c>
      <c r="AX466" s="20">
        <v>3280800</v>
      </c>
      <c r="BH466" s="28">
        <v>6008516</v>
      </c>
      <c r="BI466" s="28">
        <v>16574912</v>
      </c>
    </row>
    <row r="467" spans="1:61" hidden="1" x14ac:dyDescent="0.3">
      <c r="A467" s="1" t="s">
        <v>739</v>
      </c>
      <c r="B467" s="1" t="s">
        <v>224</v>
      </c>
      <c r="C467" s="1" t="s">
        <v>225</v>
      </c>
      <c r="D467" s="1" t="s">
        <v>226</v>
      </c>
      <c r="E467" s="1" t="s">
        <v>225</v>
      </c>
      <c r="F467" s="1" t="s">
        <v>226</v>
      </c>
      <c r="G467" s="1" t="s">
        <v>1075</v>
      </c>
      <c r="H467" s="1" t="s">
        <v>1076</v>
      </c>
      <c r="I467" s="1" t="s">
        <v>224</v>
      </c>
      <c r="J467" s="1" t="s">
        <v>229</v>
      </c>
      <c r="K467" s="1" t="s">
        <v>118</v>
      </c>
      <c r="L467" s="1" t="s">
        <v>103</v>
      </c>
      <c r="M467" s="20">
        <v>303900</v>
      </c>
      <c r="P467" s="20">
        <v>261600</v>
      </c>
      <c r="Q467" s="20">
        <v>1068480</v>
      </c>
      <c r="R467" s="20">
        <v>2342016</v>
      </c>
      <c r="AB467" s="20">
        <v>3975996</v>
      </c>
      <c r="AC467" s="20">
        <v>308460</v>
      </c>
      <c r="AF467" s="20">
        <v>130800</v>
      </c>
      <c r="AG467" s="20">
        <v>1946160</v>
      </c>
      <c r="AH467" s="20">
        <v>1857000</v>
      </c>
      <c r="AR467" s="20">
        <v>4242420</v>
      </c>
      <c r="AT467" s="20">
        <v>144000</v>
      </c>
      <c r="AV467" s="20">
        <v>196192</v>
      </c>
      <c r="AW467" s="20">
        <v>839520</v>
      </c>
      <c r="AX467" s="20">
        <v>1945800</v>
      </c>
      <c r="BH467" s="28">
        <v>3125512</v>
      </c>
      <c r="BI467" s="28">
        <v>11343928</v>
      </c>
    </row>
    <row r="468" spans="1:61" hidden="1" x14ac:dyDescent="0.3">
      <c r="A468" s="1" t="s">
        <v>739</v>
      </c>
      <c r="B468" s="1" t="s">
        <v>224</v>
      </c>
      <c r="C468" s="1" t="s">
        <v>225</v>
      </c>
      <c r="D468" s="1" t="s">
        <v>226</v>
      </c>
      <c r="E468" s="1" t="s">
        <v>225</v>
      </c>
      <c r="F468" s="1" t="s">
        <v>226</v>
      </c>
      <c r="G468" s="1" t="s">
        <v>1077</v>
      </c>
      <c r="H468" s="1" t="s">
        <v>1078</v>
      </c>
      <c r="I468" s="1" t="s">
        <v>224</v>
      </c>
      <c r="J468" s="1" t="s">
        <v>229</v>
      </c>
      <c r="K468" s="1" t="s">
        <v>118</v>
      </c>
      <c r="L468" s="1" t="s">
        <v>103</v>
      </c>
      <c r="M468" s="20">
        <v>957720</v>
      </c>
      <c r="Q468" s="20">
        <v>2080800</v>
      </c>
      <c r="R468" s="20">
        <v>2923200</v>
      </c>
      <c r="AB468" s="20">
        <v>5961720</v>
      </c>
      <c r="AC468" s="20">
        <v>179520</v>
      </c>
      <c r="AG468" s="20">
        <v>1775520</v>
      </c>
      <c r="AH468" s="20">
        <v>2523216</v>
      </c>
      <c r="AR468" s="20">
        <v>4478256</v>
      </c>
      <c r="AS468" s="20">
        <v>270600</v>
      </c>
      <c r="AT468" s="20">
        <v>144000</v>
      </c>
      <c r="AV468" s="20">
        <v>196192</v>
      </c>
      <c r="AW468" s="20">
        <v>1536480</v>
      </c>
      <c r="AX468" s="20">
        <v>2855400</v>
      </c>
      <c r="BH468" s="28">
        <v>5002672</v>
      </c>
      <c r="BI468" s="28">
        <v>15442648</v>
      </c>
    </row>
    <row r="469" spans="1:61" hidden="1" x14ac:dyDescent="0.3">
      <c r="A469" s="1" t="s">
        <v>739</v>
      </c>
      <c r="B469" s="1" t="s">
        <v>224</v>
      </c>
      <c r="C469" s="1" t="s">
        <v>225</v>
      </c>
      <c r="D469" s="1" t="s">
        <v>226</v>
      </c>
      <c r="E469" s="1" t="s">
        <v>225</v>
      </c>
      <c r="F469" s="1" t="s">
        <v>226</v>
      </c>
      <c r="G469" s="1" t="s">
        <v>1079</v>
      </c>
      <c r="H469" s="1" t="s">
        <v>1080</v>
      </c>
      <c r="I469" s="1" t="s">
        <v>224</v>
      </c>
      <c r="J469" s="1" t="s">
        <v>229</v>
      </c>
      <c r="K469" s="1" t="s">
        <v>118</v>
      </c>
      <c r="L469" s="1" t="s">
        <v>103</v>
      </c>
      <c r="M469" s="20">
        <v>1796100</v>
      </c>
      <c r="P469" s="20">
        <v>130800</v>
      </c>
      <c r="Q469" s="20">
        <v>1689120</v>
      </c>
      <c r="R469" s="20">
        <v>1887216</v>
      </c>
      <c r="AB469" s="20">
        <v>5503236</v>
      </c>
      <c r="AC469" s="20">
        <v>330900</v>
      </c>
      <c r="AF469" s="20">
        <v>261600</v>
      </c>
      <c r="AG469" s="20">
        <v>1439280</v>
      </c>
      <c r="AH469" s="20">
        <v>2148600</v>
      </c>
      <c r="AR469" s="20">
        <v>4180380</v>
      </c>
      <c r="AS469" s="20">
        <v>709560</v>
      </c>
      <c r="AT469" s="20">
        <v>144000</v>
      </c>
      <c r="AV469" s="20">
        <v>98096</v>
      </c>
      <c r="AW469" s="20">
        <v>1956240</v>
      </c>
      <c r="AX469" s="20">
        <v>1998600</v>
      </c>
      <c r="BH469" s="28">
        <v>4906496</v>
      </c>
      <c r="BI469" s="28">
        <v>14590112</v>
      </c>
    </row>
    <row r="470" spans="1:61" hidden="1" x14ac:dyDescent="0.3">
      <c r="A470" s="1" t="s">
        <v>739</v>
      </c>
      <c r="B470" s="1" t="s">
        <v>224</v>
      </c>
      <c r="C470" s="1" t="s">
        <v>225</v>
      </c>
      <c r="D470" s="1" t="s">
        <v>226</v>
      </c>
      <c r="E470" s="1" t="s">
        <v>225</v>
      </c>
      <c r="F470" s="1" t="s">
        <v>226</v>
      </c>
      <c r="G470" s="1" t="s">
        <v>1081</v>
      </c>
      <c r="H470" s="1" t="s">
        <v>1082</v>
      </c>
      <c r="I470" s="1" t="s">
        <v>224</v>
      </c>
      <c r="J470" s="1" t="s">
        <v>229</v>
      </c>
      <c r="K470" s="1" t="s">
        <v>118</v>
      </c>
      <c r="L470" s="1" t="s">
        <v>103</v>
      </c>
      <c r="M470" s="20">
        <v>174960</v>
      </c>
      <c r="Q470" s="20">
        <v>2136960</v>
      </c>
      <c r="R470" s="20">
        <v>1753200</v>
      </c>
      <c r="AB470" s="20">
        <v>4065120</v>
      </c>
      <c r="AC470" s="20">
        <v>281460</v>
      </c>
      <c r="AF470" s="20">
        <v>130800</v>
      </c>
      <c r="AG470" s="20">
        <v>1984320</v>
      </c>
      <c r="AH470" s="20">
        <v>2007600</v>
      </c>
      <c r="AR470" s="20">
        <v>4404180</v>
      </c>
      <c r="AS470" s="20">
        <v>224400</v>
      </c>
      <c r="AV470" s="20">
        <v>98096</v>
      </c>
      <c r="AW470" s="20">
        <v>2098800</v>
      </c>
      <c r="AX470" s="20">
        <v>866400</v>
      </c>
      <c r="BH470" s="28">
        <v>3287696</v>
      </c>
      <c r="BI470" s="28">
        <v>11756996</v>
      </c>
    </row>
    <row r="471" spans="1:61" hidden="1" x14ac:dyDescent="0.3">
      <c r="A471" s="1" t="s">
        <v>739</v>
      </c>
      <c r="B471" s="1" t="s">
        <v>224</v>
      </c>
      <c r="C471" s="1" t="s">
        <v>225</v>
      </c>
      <c r="D471" s="1" t="s">
        <v>226</v>
      </c>
      <c r="E471" s="1" t="s">
        <v>225</v>
      </c>
      <c r="F471" s="1" t="s">
        <v>226</v>
      </c>
      <c r="G471" s="1" t="s">
        <v>1083</v>
      </c>
      <c r="H471" s="1" t="s">
        <v>1084</v>
      </c>
      <c r="I471" s="1" t="s">
        <v>224</v>
      </c>
      <c r="J471" s="1" t="s">
        <v>229</v>
      </c>
      <c r="K471" s="1" t="s">
        <v>118</v>
      </c>
      <c r="L471" s="1" t="s">
        <v>103</v>
      </c>
      <c r="M471" s="20">
        <v>260160</v>
      </c>
      <c r="P471" s="20">
        <v>261600</v>
      </c>
      <c r="Q471" s="20">
        <v>1827720</v>
      </c>
      <c r="R471" s="20">
        <v>2865216</v>
      </c>
      <c r="AB471" s="20">
        <v>5214696</v>
      </c>
      <c r="AG471" s="20">
        <v>1442880</v>
      </c>
      <c r="AH471" s="20">
        <v>2085000</v>
      </c>
      <c r="AR471" s="20">
        <v>3527880</v>
      </c>
      <c r="AS471" s="20">
        <v>224400</v>
      </c>
      <c r="AT471" s="20">
        <v>288000</v>
      </c>
      <c r="AW471" s="20">
        <v>1699560</v>
      </c>
      <c r="AX471" s="20">
        <v>2254200</v>
      </c>
      <c r="BH471" s="28">
        <v>4466160</v>
      </c>
      <c r="BI471" s="28">
        <v>13208736</v>
      </c>
    </row>
    <row r="472" spans="1:61" hidden="1" x14ac:dyDescent="0.3">
      <c r="A472" s="1" t="s">
        <v>739</v>
      </c>
      <c r="B472" s="1" t="s">
        <v>224</v>
      </c>
      <c r="C472" s="1" t="s">
        <v>225</v>
      </c>
      <c r="D472" s="1" t="s">
        <v>226</v>
      </c>
      <c r="E472" s="1" t="s">
        <v>225</v>
      </c>
      <c r="F472" s="1" t="s">
        <v>226</v>
      </c>
      <c r="G472" s="1" t="s">
        <v>1085</v>
      </c>
      <c r="H472" s="1" t="s">
        <v>1086</v>
      </c>
      <c r="I472" s="1" t="s">
        <v>224</v>
      </c>
      <c r="J472" s="1" t="s">
        <v>229</v>
      </c>
      <c r="K472" s="1" t="s">
        <v>118</v>
      </c>
      <c r="L472" s="1" t="s">
        <v>103</v>
      </c>
      <c r="M472" s="20">
        <v>414960</v>
      </c>
      <c r="P472" s="20">
        <v>130800</v>
      </c>
      <c r="Q472" s="20">
        <v>1068480</v>
      </c>
      <c r="R472" s="20">
        <v>4467216</v>
      </c>
      <c r="AB472" s="20">
        <v>6081456</v>
      </c>
      <c r="AC472" s="20">
        <v>330900</v>
      </c>
      <c r="AG472" s="20">
        <v>1755360</v>
      </c>
      <c r="AH472" s="20">
        <v>5586216</v>
      </c>
      <c r="AR472" s="20">
        <v>7672476</v>
      </c>
      <c r="AS472" s="20">
        <v>112200</v>
      </c>
      <c r="AT472" s="20">
        <v>144000</v>
      </c>
      <c r="AV472" s="20">
        <v>98096</v>
      </c>
      <c r="AW472" s="20">
        <v>1526400</v>
      </c>
      <c r="AX472" s="20">
        <v>5464800</v>
      </c>
      <c r="BH472" s="28">
        <v>7345496</v>
      </c>
      <c r="BI472" s="28">
        <v>21099428</v>
      </c>
    </row>
    <row r="473" spans="1:61" hidden="1" x14ac:dyDescent="0.3">
      <c r="A473" s="1" t="s">
        <v>739</v>
      </c>
      <c r="B473" s="1" t="s">
        <v>224</v>
      </c>
      <c r="C473" s="1" t="s">
        <v>225</v>
      </c>
      <c r="D473" s="1" t="s">
        <v>226</v>
      </c>
      <c r="E473" s="1" t="s">
        <v>225</v>
      </c>
      <c r="F473" s="1" t="s">
        <v>226</v>
      </c>
      <c r="G473" s="1" t="s">
        <v>1087</v>
      </c>
      <c r="H473" s="1" t="s">
        <v>1088</v>
      </c>
      <c r="I473" s="1" t="s">
        <v>224</v>
      </c>
      <c r="J473" s="1" t="s">
        <v>229</v>
      </c>
      <c r="K473" s="1" t="s">
        <v>118</v>
      </c>
      <c r="L473" s="1" t="s">
        <v>103</v>
      </c>
      <c r="M473" s="20">
        <v>982410</v>
      </c>
      <c r="P473" s="20">
        <v>261600</v>
      </c>
      <c r="Q473" s="20">
        <v>863640</v>
      </c>
      <c r="R473" s="20">
        <v>6157632</v>
      </c>
      <c r="AB473" s="20">
        <v>8265282</v>
      </c>
      <c r="AC473" s="20">
        <v>1290360</v>
      </c>
      <c r="AF473" s="20">
        <v>392400</v>
      </c>
      <c r="AG473" s="20">
        <v>1009080</v>
      </c>
      <c r="AH473" s="20">
        <v>4950600</v>
      </c>
      <c r="AR473" s="20">
        <v>7642440</v>
      </c>
      <c r="AS473" s="20">
        <v>106500</v>
      </c>
      <c r="AT473" s="20">
        <v>864000</v>
      </c>
      <c r="AV473" s="20">
        <v>98096</v>
      </c>
      <c r="AW473" s="20">
        <v>1407960</v>
      </c>
      <c r="AX473" s="20">
        <v>5112000</v>
      </c>
      <c r="BH473" s="28">
        <v>7588556</v>
      </c>
      <c r="BI473" s="28">
        <v>23496278</v>
      </c>
    </row>
    <row r="474" spans="1:61" hidden="1" x14ac:dyDescent="0.3">
      <c r="A474" s="1" t="s">
        <v>739</v>
      </c>
      <c r="B474" s="1" t="s">
        <v>224</v>
      </c>
      <c r="C474" s="1" t="s">
        <v>225</v>
      </c>
      <c r="D474" s="1" t="s">
        <v>226</v>
      </c>
      <c r="E474" s="1" t="s">
        <v>225</v>
      </c>
      <c r="F474" s="1" t="s">
        <v>226</v>
      </c>
      <c r="G474" s="1" t="s">
        <v>1089</v>
      </c>
      <c r="H474" s="1" t="s">
        <v>1090</v>
      </c>
      <c r="I474" s="1" t="s">
        <v>224</v>
      </c>
      <c r="J474" s="1" t="s">
        <v>229</v>
      </c>
      <c r="K474" s="1" t="s">
        <v>118</v>
      </c>
      <c r="L474" s="1" t="s">
        <v>103</v>
      </c>
      <c r="P474" s="20">
        <v>130800</v>
      </c>
      <c r="Q474" s="20">
        <v>1092600</v>
      </c>
      <c r="R474" s="20">
        <v>1298400</v>
      </c>
      <c r="AB474" s="20">
        <v>2521800</v>
      </c>
      <c r="AF474" s="20">
        <v>130800</v>
      </c>
      <c r="AG474" s="20">
        <v>950400</v>
      </c>
      <c r="AH474" s="20">
        <v>919200</v>
      </c>
      <c r="AR474" s="20">
        <v>2000400</v>
      </c>
      <c r="AT474" s="20">
        <v>120000</v>
      </c>
      <c r="AV474" s="20">
        <v>196192</v>
      </c>
      <c r="AW474" s="20">
        <v>482040</v>
      </c>
      <c r="AX474" s="20">
        <v>1204800</v>
      </c>
      <c r="BH474" s="28">
        <v>2003032</v>
      </c>
      <c r="BI474" s="28">
        <v>6525232</v>
      </c>
    </row>
    <row r="475" spans="1:61" hidden="1" x14ac:dyDescent="0.3">
      <c r="A475" s="1" t="s">
        <v>739</v>
      </c>
      <c r="B475" s="1" t="s">
        <v>224</v>
      </c>
      <c r="C475" s="1" t="s">
        <v>225</v>
      </c>
      <c r="D475" s="1" t="s">
        <v>226</v>
      </c>
      <c r="E475" s="1" t="s">
        <v>225</v>
      </c>
      <c r="F475" s="1" t="s">
        <v>226</v>
      </c>
      <c r="G475" s="1" t="s">
        <v>1091</v>
      </c>
      <c r="H475" s="1" t="s">
        <v>1092</v>
      </c>
      <c r="I475" s="1" t="s">
        <v>224</v>
      </c>
      <c r="J475" s="1" t="s">
        <v>229</v>
      </c>
      <c r="K475" s="1" t="s">
        <v>118</v>
      </c>
      <c r="L475" s="1" t="s">
        <v>103</v>
      </c>
      <c r="M475" s="20">
        <v>1745010</v>
      </c>
      <c r="Q475" s="20">
        <v>1040400</v>
      </c>
      <c r="R475" s="20">
        <v>3027600</v>
      </c>
      <c r="AB475" s="20">
        <v>5813010</v>
      </c>
      <c r="AC475" s="20">
        <v>839796</v>
      </c>
      <c r="AG475" s="20">
        <v>2215800</v>
      </c>
      <c r="AH475" s="20">
        <v>2967216</v>
      </c>
      <c r="AR475" s="20">
        <v>6022812</v>
      </c>
      <c r="AS475" s="20">
        <v>2035476</v>
      </c>
      <c r="AW475" s="20">
        <v>1422000</v>
      </c>
      <c r="AX475" s="20">
        <v>3463800</v>
      </c>
      <c r="BH475" s="28">
        <v>6921276</v>
      </c>
      <c r="BI475" s="28">
        <v>18757098</v>
      </c>
    </row>
    <row r="476" spans="1:61" hidden="1" x14ac:dyDescent="0.3">
      <c r="A476" s="1" t="s">
        <v>739</v>
      </c>
      <c r="B476" s="1" t="s">
        <v>224</v>
      </c>
      <c r="C476" s="1" t="s">
        <v>225</v>
      </c>
      <c r="D476" s="1" t="s">
        <v>226</v>
      </c>
      <c r="E476" s="1" t="s">
        <v>225</v>
      </c>
      <c r="F476" s="1" t="s">
        <v>226</v>
      </c>
      <c r="G476" s="1" t="s">
        <v>1093</v>
      </c>
      <c r="H476" s="1" t="s">
        <v>1094</v>
      </c>
      <c r="I476" s="1" t="s">
        <v>224</v>
      </c>
      <c r="J476" s="1" t="s">
        <v>229</v>
      </c>
      <c r="K476" s="1" t="s">
        <v>118</v>
      </c>
      <c r="L476" s="1" t="s">
        <v>103</v>
      </c>
      <c r="P476" s="20">
        <v>130800</v>
      </c>
      <c r="Q476" s="20">
        <v>3129120</v>
      </c>
      <c r="R476" s="20">
        <v>1258416</v>
      </c>
      <c r="AB476" s="20">
        <v>4518336</v>
      </c>
      <c r="AG476" s="20">
        <v>1717200</v>
      </c>
      <c r="AH476" s="20">
        <v>2360016</v>
      </c>
      <c r="AR476" s="20">
        <v>4077216</v>
      </c>
      <c r="AW476" s="20">
        <v>2098800</v>
      </c>
      <c r="AX476" s="20">
        <v>1771200</v>
      </c>
      <c r="BH476" s="28">
        <v>3870000</v>
      </c>
      <c r="BI476" s="28">
        <v>12465552</v>
      </c>
    </row>
    <row r="477" spans="1:61" hidden="1" x14ac:dyDescent="0.3">
      <c r="A477" s="1" t="s">
        <v>739</v>
      </c>
      <c r="B477" s="1" t="s">
        <v>224</v>
      </c>
      <c r="C477" s="1" t="s">
        <v>225</v>
      </c>
      <c r="D477" s="1" t="s">
        <v>226</v>
      </c>
      <c r="E477" s="1" t="s">
        <v>225</v>
      </c>
      <c r="F477" s="1" t="s">
        <v>226</v>
      </c>
      <c r="G477" s="1" t="s">
        <v>1095</v>
      </c>
      <c r="H477" s="1" t="s">
        <v>1096</v>
      </c>
      <c r="I477" s="1" t="s">
        <v>224</v>
      </c>
      <c r="J477" s="1" t="s">
        <v>229</v>
      </c>
      <c r="K477" s="1" t="s">
        <v>118</v>
      </c>
      <c r="L477" s="1" t="s">
        <v>103</v>
      </c>
      <c r="M477" s="20">
        <v>276900</v>
      </c>
      <c r="P477" s="20">
        <v>130800</v>
      </c>
      <c r="Q477" s="20">
        <v>1755360</v>
      </c>
      <c r="R477" s="20">
        <v>3970416</v>
      </c>
      <c r="AB477" s="20">
        <v>6133476</v>
      </c>
      <c r="AC477" s="20">
        <v>527160</v>
      </c>
      <c r="AG477" s="20">
        <v>1411920</v>
      </c>
      <c r="AH477" s="20">
        <v>3874800</v>
      </c>
      <c r="AR477" s="20">
        <v>5813880</v>
      </c>
      <c r="AS477" s="20">
        <v>106500</v>
      </c>
      <c r="AT477" s="20">
        <v>144000</v>
      </c>
      <c r="AV477" s="20">
        <v>196192</v>
      </c>
      <c r="AW477" s="20">
        <v>534240</v>
      </c>
      <c r="AX477" s="20">
        <v>2647200</v>
      </c>
      <c r="BH477" s="28">
        <v>3628132</v>
      </c>
      <c r="BI477" s="28">
        <v>15575488</v>
      </c>
    </row>
    <row r="478" spans="1:61" hidden="1" x14ac:dyDescent="0.3">
      <c r="A478" s="1" t="s">
        <v>739</v>
      </c>
      <c r="B478" s="1" t="s">
        <v>224</v>
      </c>
      <c r="C478" s="1" t="s">
        <v>225</v>
      </c>
      <c r="D478" s="1" t="s">
        <v>226</v>
      </c>
      <c r="E478" s="1" t="s">
        <v>225</v>
      </c>
      <c r="F478" s="1" t="s">
        <v>226</v>
      </c>
      <c r="G478" s="1" t="s">
        <v>1097</v>
      </c>
      <c r="H478" s="1" t="s">
        <v>1098</v>
      </c>
      <c r="I478" s="1" t="s">
        <v>224</v>
      </c>
      <c r="J478" s="1" t="s">
        <v>229</v>
      </c>
      <c r="K478" s="1" t="s">
        <v>118</v>
      </c>
      <c r="L478" s="1" t="s">
        <v>103</v>
      </c>
      <c r="M478" s="20">
        <v>89760</v>
      </c>
      <c r="Q478" s="20">
        <v>1259280</v>
      </c>
      <c r="AB478" s="20">
        <v>1349040</v>
      </c>
      <c r="AC478" s="20">
        <v>308460</v>
      </c>
      <c r="AG478" s="20">
        <v>1984320</v>
      </c>
      <c r="AR478" s="20">
        <v>2292780</v>
      </c>
      <c r="AS478" s="20">
        <v>218700</v>
      </c>
      <c r="AW478" s="20">
        <v>1297440</v>
      </c>
      <c r="AX478" s="20">
        <v>633600</v>
      </c>
      <c r="BH478" s="28">
        <v>2149740</v>
      </c>
      <c r="BI478" s="28">
        <v>5791560</v>
      </c>
    </row>
    <row r="479" spans="1:61" hidden="1" x14ac:dyDescent="0.3">
      <c r="A479" s="1" t="s">
        <v>739</v>
      </c>
      <c r="B479" s="1" t="s">
        <v>224</v>
      </c>
      <c r="C479" s="1" t="s">
        <v>225</v>
      </c>
      <c r="D479" s="1" t="s">
        <v>226</v>
      </c>
      <c r="E479" s="1" t="s">
        <v>225</v>
      </c>
      <c r="F479" s="1" t="s">
        <v>226</v>
      </c>
      <c r="G479" s="1" t="s">
        <v>1099</v>
      </c>
      <c r="H479" s="1" t="s">
        <v>1100</v>
      </c>
      <c r="I479" s="1" t="s">
        <v>224</v>
      </c>
      <c r="J479" s="1" t="s">
        <v>229</v>
      </c>
      <c r="K479" s="1" t="s">
        <v>118</v>
      </c>
      <c r="L479" s="1" t="s">
        <v>103</v>
      </c>
      <c r="P479" s="20">
        <v>130800</v>
      </c>
      <c r="Q479" s="20">
        <v>2594880</v>
      </c>
      <c r="R479" s="20">
        <v>1550016</v>
      </c>
      <c r="AB479" s="20">
        <v>4275696</v>
      </c>
      <c r="AF479" s="20">
        <v>261600</v>
      </c>
      <c r="AG479" s="20">
        <v>2976480</v>
      </c>
      <c r="AH479" s="20">
        <v>2198616</v>
      </c>
      <c r="AR479" s="20">
        <v>5436696</v>
      </c>
      <c r="AT479" s="20">
        <v>144000</v>
      </c>
      <c r="AV479" s="20">
        <v>228896</v>
      </c>
      <c r="AW479" s="20">
        <v>2327760</v>
      </c>
      <c r="AX479" s="20">
        <v>3040200</v>
      </c>
      <c r="BH479" s="28">
        <v>5740856</v>
      </c>
      <c r="BI479" s="28">
        <v>15453248</v>
      </c>
    </row>
    <row r="480" spans="1:61" hidden="1" x14ac:dyDescent="0.3">
      <c r="A480" s="1" t="s">
        <v>739</v>
      </c>
      <c r="B480" s="1" t="s">
        <v>224</v>
      </c>
      <c r="C480" s="1" t="s">
        <v>225</v>
      </c>
      <c r="D480" s="1" t="s">
        <v>226</v>
      </c>
      <c r="E480" s="1" t="s">
        <v>225</v>
      </c>
      <c r="F480" s="1" t="s">
        <v>226</v>
      </c>
      <c r="G480" s="1" t="s">
        <v>1101</v>
      </c>
      <c r="H480" s="1" t="s">
        <v>1102</v>
      </c>
      <c r="I480" s="1" t="s">
        <v>224</v>
      </c>
      <c r="J480" s="1" t="s">
        <v>229</v>
      </c>
      <c r="K480" s="1" t="s">
        <v>118</v>
      </c>
      <c r="L480" s="1" t="s">
        <v>103</v>
      </c>
      <c r="P480" s="20">
        <v>130800</v>
      </c>
      <c r="Q480" s="20">
        <v>763200</v>
      </c>
      <c r="R480" s="20">
        <v>2230416</v>
      </c>
      <c r="AB480" s="20">
        <v>3124416</v>
      </c>
      <c r="AF480" s="20">
        <v>130800</v>
      </c>
      <c r="AG480" s="20">
        <v>1411920</v>
      </c>
      <c r="AH480" s="20">
        <v>3400416</v>
      </c>
      <c r="AR480" s="20">
        <v>4943136</v>
      </c>
      <c r="AT480" s="20">
        <v>144000</v>
      </c>
      <c r="AV480" s="20">
        <v>196192</v>
      </c>
      <c r="AW480" s="20">
        <v>1030320</v>
      </c>
      <c r="AX480" s="20">
        <v>2066400</v>
      </c>
      <c r="BH480" s="28">
        <v>3436912</v>
      </c>
      <c r="BI480" s="28">
        <v>11504464</v>
      </c>
    </row>
    <row r="481" spans="1:61" hidden="1" x14ac:dyDescent="0.3">
      <c r="A481" s="1" t="s">
        <v>739</v>
      </c>
      <c r="B481" s="1" t="s">
        <v>224</v>
      </c>
      <c r="C481" s="1" t="s">
        <v>225</v>
      </c>
      <c r="D481" s="1" t="s">
        <v>226</v>
      </c>
      <c r="E481" s="1" t="s">
        <v>225</v>
      </c>
      <c r="F481" s="1" t="s">
        <v>226</v>
      </c>
      <c r="G481" s="1" t="s">
        <v>1103</v>
      </c>
      <c r="H481" s="1" t="s">
        <v>1104</v>
      </c>
      <c r="I481" s="1" t="s">
        <v>224</v>
      </c>
      <c r="J481" s="1" t="s">
        <v>229</v>
      </c>
      <c r="K481" s="1" t="s">
        <v>118</v>
      </c>
      <c r="L481" s="1" t="s">
        <v>103</v>
      </c>
      <c r="M481" s="20">
        <v>197400</v>
      </c>
      <c r="P481" s="20">
        <v>261600</v>
      </c>
      <c r="Q481" s="20">
        <v>1984320</v>
      </c>
      <c r="R481" s="20">
        <v>2248416</v>
      </c>
      <c r="AB481" s="20">
        <v>4691736</v>
      </c>
      <c r="AC481" s="20">
        <v>426360</v>
      </c>
      <c r="AF481" s="20">
        <v>392400</v>
      </c>
      <c r="AG481" s="20">
        <v>1755360</v>
      </c>
      <c r="AH481" s="20">
        <v>2510400</v>
      </c>
      <c r="AR481" s="20">
        <v>5084520</v>
      </c>
      <c r="AS481" s="20">
        <v>106500</v>
      </c>
      <c r="AV481" s="20">
        <v>326992</v>
      </c>
      <c r="AW481" s="20">
        <v>1373760</v>
      </c>
      <c r="AX481" s="20">
        <v>1728000</v>
      </c>
      <c r="BH481" s="28">
        <v>3535252</v>
      </c>
      <c r="BI481" s="28">
        <v>13311508</v>
      </c>
    </row>
    <row r="482" spans="1:61" hidden="1" x14ac:dyDescent="0.3">
      <c r="A482" s="1" t="s">
        <v>739</v>
      </c>
      <c r="B482" s="1" t="s">
        <v>224</v>
      </c>
      <c r="C482" s="1" t="s">
        <v>225</v>
      </c>
      <c r="D482" s="1" t="s">
        <v>226</v>
      </c>
      <c r="E482" s="1" t="s">
        <v>225</v>
      </c>
      <c r="F482" s="1" t="s">
        <v>226</v>
      </c>
      <c r="G482" s="1" t="s">
        <v>1105</v>
      </c>
      <c r="H482" s="1" t="s">
        <v>1106</v>
      </c>
      <c r="I482" s="1" t="s">
        <v>224</v>
      </c>
      <c r="J482" s="1" t="s">
        <v>229</v>
      </c>
      <c r="K482" s="1" t="s">
        <v>118</v>
      </c>
      <c r="L482" s="1" t="s">
        <v>103</v>
      </c>
      <c r="M482" s="20">
        <v>197400</v>
      </c>
      <c r="P482" s="20">
        <v>130800</v>
      </c>
      <c r="Q482" s="20">
        <v>1259280</v>
      </c>
      <c r="R482" s="20">
        <v>1304400</v>
      </c>
      <c r="AB482" s="20">
        <v>2891880</v>
      </c>
      <c r="AC482" s="20">
        <v>201960</v>
      </c>
      <c r="AF482" s="20">
        <v>130800</v>
      </c>
      <c r="AG482" s="20">
        <v>1755360</v>
      </c>
      <c r="AH482" s="20">
        <v>1759416</v>
      </c>
      <c r="AR482" s="20">
        <v>3847536</v>
      </c>
      <c r="AS482" s="20">
        <v>112200</v>
      </c>
      <c r="AT482" s="20">
        <v>144000</v>
      </c>
      <c r="AV482" s="20">
        <v>196192</v>
      </c>
      <c r="AW482" s="20">
        <v>992160</v>
      </c>
      <c r="AX482" s="20">
        <v>1670400</v>
      </c>
      <c r="BH482" s="28">
        <v>3114952</v>
      </c>
      <c r="BI482" s="28">
        <v>9854368</v>
      </c>
    </row>
    <row r="483" spans="1:61" hidden="1" x14ac:dyDescent="0.3">
      <c r="A483" s="1" t="s">
        <v>739</v>
      </c>
      <c r="B483" s="1" t="s">
        <v>224</v>
      </c>
      <c r="C483" s="1" t="s">
        <v>225</v>
      </c>
      <c r="D483" s="1" t="s">
        <v>226</v>
      </c>
      <c r="E483" s="1" t="s">
        <v>225</v>
      </c>
      <c r="F483" s="1" t="s">
        <v>226</v>
      </c>
      <c r="G483" s="1" t="s">
        <v>1107</v>
      </c>
      <c r="H483" s="1" t="s">
        <v>1108</v>
      </c>
      <c r="I483" s="1" t="s">
        <v>224</v>
      </c>
      <c r="J483" s="1" t="s">
        <v>229</v>
      </c>
      <c r="K483" s="1" t="s">
        <v>118</v>
      </c>
      <c r="L483" s="1" t="s">
        <v>103</v>
      </c>
      <c r="M483" s="20">
        <v>224400</v>
      </c>
      <c r="P483" s="20">
        <v>130800</v>
      </c>
      <c r="Q483" s="20">
        <v>1640880</v>
      </c>
      <c r="R483" s="20">
        <v>1655616</v>
      </c>
      <c r="AB483" s="20">
        <v>3651696</v>
      </c>
      <c r="AC483" s="20">
        <v>174960</v>
      </c>
      <c r="AG483" s="20">
        <v>1068480</v>
      </c>
      <c r="AH483" s="20">
        <v>576000</v>
      </c>
      <c r="AR483" s="20">
        <v>1819440</v>
      </c>
      <c r="AW483" s="20">
        <v>1679040</v>
      </c>
      <c r="AX483" s="20">
        <v>789000</v>
      </c>
      <c r="BH483" s="28">
        <v>2468040</v>
      </c>
      <c r="BI483" s="28">
        <v>7939176</v>
      </c>
    </row>
    <row r="484" spans="1:61" hidden="1" x14ac:dyDescent="0.3">
      <c r="A484" s="1" t="s">
        <v>739</v>
      </c>
      <c r="B484" s="1" t="s">
        <v>224</v>
      </c>
      <c r="C484" s="1" t="s">
        <v>225</v>
      </c>
      <c r="D484" s="1" t="s">
        <v>226</v>
      </c>
      <c r="E484" s="1" t="s">
        <v>225</v>
      </c>
      <c r="F484" s="1" t="s">
        <v>226</v>
      </c>
      <c r="G484" s="1" t="s">
        <v>1109</v>
      </c>
      <c r="H484" s="1" t="s">
        <v>1110</v>
      </c>
      <c r="I484" s="1" t="s">
        <v>224</v>
      </c>
      <c r="J484" s="1" t="s">
        <v>229</v>
      </c>
      <c r="K484" s="1" t="s">
        <v>118</v>
      </c>
      <c r="L484" s="1" t="s">
        <v>103</v>
      </c>
      <c r="Q484" s="20">
        <v>190800</v>
      </c>
      <c r="R484" s="20">
        <v>1771200</v>
      </c>
      <c r="AB484" s="20">
        <v>1962000</v>
      </c>
      <c r="AG484" s="20">
        <v>915840</v>
      </c>
      <c r="AH484" s="20">
        <v>1490400</v>
      </c>
      <c r="AR484" s="20">
        <v>2406240</v>
      </c>
      <c r="AT484" s="20">
        <v>432000</v>
      </c>
      <c r="AW484" s="20">
        <v>496080</v>
      </c>
      <c r="AX484" s="20">
        <v>1490400</v>
      </c>
      <c r="BH484" s="28">
        <v>2418480</v>
      </c>
      <c r="BI484" s="28">
        <v>6786720</v>
      </c>
    </row>
    <row r="485" spans="1:61" hidden="1" x14ac:dyDescent="0.3">
      <c r="A485" s="1" t="s">
        <v>739</v>
      </c>
      <c r="B485" s="1" t="s">
        <v>224</v>
      </c>
      <c r="C485" s="1" t="s">
        <v>225</v>
      </c>
      <c r="D485" s="1" t="s">
        <v>226</v>
      </c>
      <c r="E485" s="1" t="s">
        <v>225</v>
      </c>
      <c r="F485" s="1" t="s">
        <v>226</v>
      </c>
      <c r="G485" s="1" t="s">
        <v>1111</v>
      </c>
      <c r="H485" s="1" t="s">
        <v>1112</v>
      </c>
      <c r="I485" s="1" t="s">
        <v>224</v>
      </c>
      <c r="J485" s="1" t="s">
        <v>229</v>
      </c>
      <c r="K485" s="1" t="s">
        <v>118</v>
      </c>
      <c r="L485" s="1" t="s">
        <v>103</v>
      </c>
      <c r="M485" s="20">
        <v>89760</v>
      </c>
      <c r="P485" s="20">
        <v>130800</v>
      </c>
      <c r="Q485" s="20">
        <v>1259280</v>
      </c>
      <c r="R485" s="20">
        <v>1805616</v>
      </c>
      <c r="AB485" s="20">
        <v>3285456</v>
      </c>
      <c r="AC485" s="20">
        <v>330900</v>
      </c>
      <c r="AF485" s="20">
        <v>261600</v>
      </c>
      <c r="AG485" s="20">
        <v>1640880</v>
      </c>
      <c r="AH485" s="20">
        <v>2420400</v>
      </c>
      <c r="AR485" s="20">
        <v>4653780</v>
      </c>
      <c r="AS485" s="20">
        <v>112200</v>
      </c>
      <c r="AT485" s="20">
        <v>144000</v>
      </c>
      <c r="AW485" s="20">
        <v>2060640</v>
      </c>
      <c r="AX485" s="20">
        <v>1985400</v>
      </c>
      <c r="BH485" s="28">
        <v>4302240</v>
      </c>
      <c r="BI485" s="28">
        <v>12241476</v>
      </c>
    </row>
    <row r="486" spans="1:61" hidden="1" x14ac:dyDescent="0.3">
      <c r="A486" s="1" t="s">
        <v>739</v>
      </c>
      <c r="B486" s="1" t="s">
        <v>224</v>
      </c>
      <c r="C486" s="1" t="s">
        <v>225</v>
      </c>
      <c r="D486" s="1" t="s">
        <v>226</v>
      </c>
      <c r="E486" s="1" t="s">
        <v>225</v>
      </c>
      <c r="F486" s="1" t="s">
        <v>226</v>
      </c>
      <c r="G486" s="1" t="s">
        <v>1113</v>
      </c>
      <c r="H486" s="1" t="s">
        <v>1114</v>
      </c>
      <c r="I486" s="1" t="s">
        <v>224</v>
      </c>
      <c r="J486" s="1" t="s">
        <v>229</v>
      </c>
      <c r="K486" s="1" t="s">
        <v>118</v>
      </c>
      <c r="L486" s="1" t="s">
        <v>103</v>
      </c>
      <c r="M486" s="20">
        <v>264720</v>
      </c>
      <c r="P486" s="20">
        <v>261600</v>
      </c>
      <c r="Q486" s="20">
        <v>1564560</v>
      </c>
      <c r="R486" s="20">
        <v>2678400</v>
      </c>
      <c r="AB486" s="20">
        <v>4769280</v>
      </c>
      <c r="AC486" s="20">
        <v>112200</v>
      </c>
      <c r="AG486" s="20">
        <v>1411920</v>
      </c>
      <c r="AH486" s="20">
        <v>1358400</v>
      </c>
      <c r="AR486" s="20">
        <v>2882520</v>
      </c>
      <c r="AS486" s="20">
        <v>218700</v>
      </c>
      <c r="AV486" s="20">
        <v>98096</v>
      </c>
      <c r="AW486" s="20">
        <v>1182960</v>
      </c>
      <c r="AX486" s="20">
        <v>2411400</v>
      </c>
      <c r="BH486" s="28">
        <v>3911156</v>
      </c>
      <c r="BI486" s="28">
        <v>11562956</v>
      </c>
    </row>
    <row r="487" spans="1:61" hidden="1" x14ac:dyDescent="0.3">
      <c r="A487" s="1" t="s">
        <v>739</v>
      </c>
      <c r="B487" s="1" t="s">
        <v>224</v>
      </c>
      <c r="C487" s="1" t="s">
        <v>225</v>
      </c>
      <c r="D487" s="1" t="s">
        <v>226</v>
      </c>
      <c r="E487" s="1" t="s">
        <v>225</v>
      </c>
      <c r="F487" s="1" t="s">
        <v>226</v>
      </c>
      <c r="G487" s="1" t="s">
        <v>1115</v>
      </c>
      <c r="H487" s="1" t="s">
        <v>1116</v>
      </c>
      <c r="I487" s="1" t="s">
        <v>224</v>
      </c>
      <c r="J487" s="1" t="s">
        <v>229</v>
      </c>
      <c r="K487" s="1" t="s">
        <v>118</v>
      </c>
      <c r="L487" s="1" t="s">
        <v>103</v>
      </c>
      <c r="P487" s="20">
        <v>392400</v>
      </c>
      <c r="Q487" s="20">
        <v>1488240</v>
      </c>
      <c r="R487" s="20">
        <v>1048416</v>
      </c>
      <c r="AB487" s="20">
        <v>2929056</v>
      </c>
      <c r="AF487" s="20">
        <v>130800</v>
      </c>
      <c r="AG487" s="20">
        <v>1221120</v>
      </c>
      <c r="AH487" s="20">
        <v>1416000</v>
      </c>
      <c r="AR487" s="20">
        <v>2767920</v>
      </c>
      <c r="AV487" s="20">
        <v>98096</v>
      </c>
      <c r="AW487" s="20">
        <v>1602720</v>
      </c>
      <c r="AX487" s="20">
        <v>1490400</v>
      </c>
      <c r="BH487" s="28">
        <v>3191216</v>
      </c>
      <c r="BI487" s="28">
        <v>8888192</v>
      </c>
    </row>
    <row r="488" spans="1:61" hidden="1" x14ac:dyDescent="0.3">
      <c r="A488" s="1" t="s">
        <v>739</v>
      </c>
      <c r="B488" s="1" t="s">
        <v>224</v>
      </c>
      <c r="C488" s="1" t="s">
        <v>225</v>
      </c>
      <c r="D488" s="1" t="s">
        <v>226</v>
      </c>
      <c r="E488" s="1" t="s">
        <v>225</v>
      </c>
      <c r="F488" s="1" t="s">
        <v>226</v>
      </c>
      <c r="G488" s="1" t="s">
        <v>1117</v>
      </c>
      <c r="H488" s="1" t="s">
        <v>1118</v>
      </c>
      <c r="I488" s="1" t="s">
        <v>224</v>
      </c>
      <c r="J488" s="1" t="s">
        <v>229</v>
      </c>
      <c r="K488" s="1" t="s">
        <v>118</v>
      </c>
      <c r="L488" s="1" t="s">
        <v>103</v>
      </c>
      <c r="M488" s="20">
        <v>197400</v>
      </c>
      <c r="Q488" s="20">
        <v>839520</v>
      </c>
      <c r="R488" s="20">
        <v>2178816</v>
      </c>
      <c r="AB488" s="20">
        <v>3215736</v>
      </c>
      <c r="AC488" s="20">
        <v>201960</v>
      </c>
      <c r="AG488" s="20">
        <v>1106640</v>
      </c>
      <c r="AH488" s="20">
        <v>2116416</v>
      </c>
      <c r="AR488" s="20">
        <v>3425016</v>
      </c>
      <c r="AS488" s="20">
        <v>112200</v>
      </c>
      <c r="AT488" s="20">
        <v>432000</v>
      </c>
      <c r="AW488" s="20">
        <v>1297440</v>
      </c>
      <c r="AX488" s="20">
        <v>4240200</v>
      </c>
      <c r="BH488" s="28">
        <v>6081840</v>
      </c>
      <c r="BI488" s="28">
        <v>12722592</v>
      </c>
    </row>
    <row r="489" spans="1:61" hidden="1" x14ac:dyDescent="0.3">
      <c r="A489" s="1" t="s">
        <v>739</v>
      </c>
      <c r="B489" s="1" t="s">
        <v>224</v>
      </c>
      <c r="C489" s="1" t="s">
        <v>225</v>
      </c>
      <c r="D489" s="1" t="s">
        <v>226</v>
      </c>
      <c r="E489" s="1" t="s">
        <v>225</v>
      </c>
      <c r="F489" s="1" t="s">
        <v>226</v>
      </c>
      <c r="G489" s="1" t="s">
        <v>1119</v>
      </c>
      <c r="H489" s="1" t="s">
        <v>1120</v>
      </c>
      <c r="I489" s="1" t="s">
        <v>224</v>
      </c>
      <c r="J489" s="1" t="s">
        <v>229</v>
      </c>
      <c r="K489" s="1" t="s">
        <v>118</v>
      </c>
      <c r="L489" s="1" t="s">
        <v>103</v>
      </c>
      <c r="P489" s="20">
        <v>130800</v>
      </c>
      <c r="Q489" s="20">
        <v>1526400</v>
      </c>
      <c r="R489" s="20">
        <v>2645616</v>
      </c>
      <c r="AB489" s="20">
        <v>4302816</v>
      </c>
      <c r="AF489" s="20">
        <v>261600</v>
      </c>
      <c r="AG489" s="20">
        <v>1717200</v>
      </c>
      <c r="AH489" s="20">
        <v>3837600</v>
      </c>
      <c r="AR489" s="20">
        <v>5816400</v>
      </c>
      <c r="AT489" s="20">
        <v>432000</v>
      </c>
      <c r="AV489" s="20">
        <v>392384</v>
      </c>
      <c r="AW489" s="20">
        <v>1030320</v>
      </c>
      <c r="AX489" s="20">
        <v>4727400</v>
      </c>
      <c r="BH489" s="28">
        <v>6582104</v>
      </c>
      <c r="BI489" s="28">
        <v>16701320</v>
      </c>
    </row>
    <row r="490" spans="1:61" hidden="1" x14ac:dyDescent="0.3">
      <c r="A490" s="1" t="s">
        <v>739</v>
      </c>
      <c r="B490" s="1" t="s">
        <v>224</v>
      </c>
      <c r="C490" s="1" t="s">
        <v>225</v>
      </c>
      <c r="D490" s="1" t="s">
        <v>226</v>
      </c>
      <c r="E490" s="1" t="s">
        <v>225</v>
      </c>
      <c r="F490" s="1" t="s">
        <v>226</v>
      </c>
      <c r="G490" s="1" t="s">
        <v>1121</v>
      </c>
      <c r="H490" s="1" t="s">
        <v>1122</v>
      </c>
      <c r="I490" s="1" t="s">
        <v>224</v>
      </c>
      <c r="J490" s="1" t="s">
        <v>229</v>
      </c>
      <c r="K490" s="1" t="s">
        <v>118</v>
      </c>
      <c r="L490" s="1" t="s">
        <v>103</v>
      </c>
      <c r="P490" s="20">
        <v>784800</v>
      </c>
      <c r="Q490" s="20">
        <v>2098800</v>
      </c>
      <c r="R490" s="20">
        <v>7988016</v>
      </c>
      <c r="AB490" s="20">
        <v>10871616</v>
      </c>
      <c r="AF490" s="20">
        <v>523200</v>
      </c>
      <c r="AG490" s="20">
        <v>2785680</v>
      </c>
      <c r="AH490" s="20">
        <v>8182416</v>
      </c>
      <c r="AR490" s="20">
        <v>11491296</v>
      </c>
      <c r="AT490" s="20">
        <v>432000</v>
      </c>
      <c r="AV490" s="20">
        <v>196192</v>
      </c>
      <c r="AW490" s="20">
        <v>2022480</v>
      </c>
      <c r="AX490" s="20">
        <v>7627800</v>
      </c>
      <c r="BH490" s="28">
        <v>10278472</v>
      </c>
      <c r="BI490" s="28">
        <v>32641384</v>
      </c>
    </row>
    <row r="491" spans="1:61" hidden="1" x14ac:dyDescent="0.3">
      <c r="A491" s="1" t="s">
        <v>739</v>
      </c>
      <c r="B491" s="1" t="s">
        <v>224</v>
      </c>
      <c r="C491" s="1" t="s">
        <v>225</v>
      </c>
      <c r="D491" s="1" t="s">
        <v>226</v>
      </c>
      <c r="E491" s="1" t="s">
        <v>225</v>
      </c>
      <c r="F491" s="1" t="s">
        <v>226</v>
      </c>
      <c r="G491" s="1" t="s">
        <v>1123</v>
      </c>
      <c r="H491" s="1" t="s">
        <v>1124</v>
      </c>
      <c r="I491" s="1" t="s">
        <v>224</v>
      </c>
      <c r="J491" s="1" t="s">
        <v>229</v>
      </c>
      <c r="K491" s="1" t="s">
        <v>118</v>
      </c>
      <c r="L491" s="1" t="s">
        <v>103</v>
      </c>
      <c r="Q491" s="20">
        <v>381600</v>
      </c>
      <c r="R491" s="20">
        <v>1332000</v>
      </c>
      <c r="AB491" s="20">
        <v>1713600</v>
      </c>
      <c r="AG491" s="20">
        <v>725040</v>
      </c>
      <c r="AH491" s="20">
        <v>1619616</v>
      </c>
      <c r="AR491" s="20">
        <v>2344656</v>
      </c>
      <c r="AT491" s="20">
        <v>144000</v>
      </c>
      <c r="AW491" s="20">
        <v>534240</v>
      </c>
      <c r="AX491" s="20">
        <v>470400</v>
      </c>
      <c r="BH491" s="28">
        <v>1148640</v>
      </c>
      <c r="BI491" s="28">
        <v>5206896</v>
      </c>
    </row>
    <row r="492" spans="1:61" hidden="1" x14ac:dyDescent="0.3">
      <c r="A492" s="1" t="s">
        <v>739</v>
      </c>
      <c r="B492" s="1" t="s">
        <v>224</v>
      </c>
      <c r="C492" s="1" t="s">
        <v>225</v>
      </c>
      <c r="D492" s="1" t="s">
        <v>226</v>
      </c>
      <c r="E492" s="1" t="s">
        <v>225</v>
      </c>
      <c r="F492" s="1" t="s">
        <v>226</v>
      </c>
      <c r="G492" s="1" t="s">
        <v>1125</v>
      </c>
      <c r="H492" s="1" t="s">
        <v>1126</v>
      </c>
      <c r="I492" s="1" t="s">
        <v>224</v>
      </c>
      <c r="J492" s="1" t="s">
        <v>229</v>
      </c>
      <c r="K492" s="1" t="s">
        <v>118</v>
      </c>
      <c r="L492" s="1" t="s">
        <v>103</v>
      </c>
      <c r="P492" s="20">
        <v>392400</v>
      </c>
      <c r="Q492" s="20">
        <v>954000</v>
      </c>
      <c r="R492" s="20">
        <v>1683216</v>
      </c>
      <c r="AB492" s="20">
        <v>3029616</v>
      </c>
      <c r="AG492" s="20">
        <v>1172160</v>
      </c>
      <c r="AH492" s="20">
        <v>2151816</v>
      </c>
      <c r="AR492" s="20">
        <v>3323976</v>
      </c>
      <c r="AW492" s="20">
        <v>839520</v>
      </c>
      <c r="AX492" s="20">
        <v>571200</v>
      </c>
      <c r="BH492" s="28">
        <v>1410720</v>
      </c>
      <c r="BI492" s="28">
        <v>7764312</v>
      </c>
    </row>
    <row r="493" spans="1:61" hidden="1" x14ac:dyDescent="0.3">
      <c r="A493" s="1" t="s">
        <v>739</v>
      </c>
      <c r="B493" s="1" t="s">
        <v>224</v>
      </c>
      <c r="C493" s="1" t="s">
        <v>225</v>
      </c>
      <c r="D493" s="1" t="s">
        <v>226</v>
      </c>
      <c r="E493" s="1" t="s">
        <v>225</v>
      </c>
      <c r="F493" s="1" t="s">
        <v>226</v>
      </c>
      <c r="G493" s="1" t="s">
        <v>1127</v>
      </c>
      <c r="H493" s="1" t="s">
        <v>1128</v>
      </c>
      <c r="I493" s="1" t="s">
        <v>224</v>
      </c>
      <c r="J493" s="1" t="s">
        <v>229</v>
      </c>
      <c r="K493" s="1" t="s">
        <v>118</v>
      </c>
      <c r="L493" s="1" t="s">
        <v>103</v>
      </c>
      <c r="AC493" s="20">
        <v>1585092</v>
      </c>
      <c r="AF493" s="20">
        <v>392400</v>
      </c>
      <c r="AG493" s="20">
        <v>2306160</v>
      </c>
      <c r="AH493" s="20">
        <v>3215400</v>
      </c>
      <c r="AR493" s="20">
        <v>7499052</v>
      </c>
      <c r="AS493" s="20">
        <v>218700</v>
      </c>
      <c r="AW493" s="20">
        <v>978120</v>
      </c>
      <c r="AX493" s="20">
        <v>1490400</v>
      </c>
      <c r="BH493" s="28">
        <v>2687220</v>
      </c>
      <c r="BI493" s="28">
        <v>10186272</v>
      </c>
    </row>
    <row r="494" spans="1:61" hidden="1" x14ac:dyDescent="0.3">
      <c r="A494" s="1" t="s">
        <v>739</v>
      </c>
      <c r="B494" s="1" t="s">
        <v>224</v>
      </c>
      <c r="C494" s="1" t="s">
        <v>225</v>
      </c>
      <c r="D494" s="1" t="s">
        <v>226</v>
      </c>
      <c r="E494" s="1" t="s">
        <v>225</v>
      </c>
      <c r="F494" s="1" t="s">
        <v>226</v>
      </c>
      <c r="G494" s="1" t="s">
        <v>1129</v>
      </c>
      <c r="H494" s="1" t="s">
        <v>1130</v>
      </c>
      <c r="I494" s="1" t="s">
        <v>224</v>
      </c>
      <c r="J494" s="1" t="s">
        <v>229</v>
      </c>
      <c r="K494" s="1" t="s">
        <v>118</v>
      </c>
      <c r="L494" s="1" t="s">
        <v>103</v>
      </c>
      <c r="AC494" s="20">
        <v>89760</v>
      </c>
      <c r="AF494" s="20">
        <v>130800</v>
      </c>
      <c r="AG494" s="20">
        <v>1290240</v>
      </c>
      <c r="AH494" s="20">
        <v>4089816</v>
      </c>
      <c r="AR494" s="20">
        <v>5600616</v>
      </c>
      <c r="AS494" s="20">
        <v>669900</v>
      </c>
      <c r="AT494" s="20">
        <v>144000</v>
      </c>
      <c r="AV494" s="20">
        <v>98096</v>
      </c>
      <c r="AW494" s="20">
        <v>1279800</v>
      </c>
      <c r="AX494" s="20">
        <v>2405400</v>
      </c>
      <c r="BH494" s="28">
        <v>4597196</v>
      </c>
      <c r="BI494" s="28">
        <v>10197812</v>
      </c>
    </row>
    <row r="495" spans="1:61" hidden="1" x14ac:dyDescent="0.3">
      <c r="A495" s="1" t="s">
        <v>739</v>
      </c>
      <c r="B495" s="1" t="s">
        <v>224</v>
      </c>
      <c r="C495" s="1" t="s">
        <v>225</v>
      </c>
      <c r="D495" s="1" t="s">
        <v>226</v>
      </c>
      <c r="E495" s="1" t="s">
        <v>225</v>
      </c>
      <c r="F495" s="1" t="s">
        <v>226</v>
      </c>
      <c r="G495" s="1" t="s">
        <v>1131</v>
      </c>
      <c r="H495" s="1" t="s">
        <v>1132</v>
      </c>
      <c r="I495" s="1" t="s">
        <v>224</v>
      </c>
      <c r="J495" s="1" t="s">
        <v>229</v>
      </c>
      <c r="K495" s="1" t="s">
        <v>118</v>
      </c>
      <c r="L495" s="1" t="s">
        <v>103</v>
      </c>
      <c r="AC495" s="20">
        <v>1139292</v>
      </c>
      <c r="AF495" s="20">
        <v>130800</v>
      </c>
      <c r="AG495" s="20">
        <v>988560</v>
      </c>
      <c r="AH495" s="20">
        <v>2901600</v>
      </c>
      <c r="AR495" s="20">
        <v>5160252</v>
      </c>
      <c r="AV495" s="20">
        <v>98096</v>
      </c>
      <c r="AW495" s="20">
        <v>1307520</v>
      </c>
      <c r="AX495" s="20">
        <v>2188800</v>
      </c>
      <c r="BH495" s="28">
        <v>3594416</v>
      </c>
      <c r="BI495" s="28">
        <v>8754668</v>
      </c>
    </row>
    <row r="496" spans="1:61" hidden="1" x14ac:dyDescent="0.3">
      <c r="A496" s="1" t="s">
        <v>739</v>
      </c>
      <c r="B496" s="1" t="s">
        <v>224</v>
      </c>
      <c r="C496" s="1" t="s">
        <v>225</v>
      </c>
      <c r="D496" s="1" t="s">
        <v>226</v>
      </c>
      <c r="E496" s="1" t="s">
        <v>225</v>
      </c>
      <c r="F496" s="1" t="s">
        <v>226</v>
      </c>
      <c r="G496" s="1" t="s">
        <v>1133</v>
      </c>
      <c r="H496" s="1" t="s">
        <v>1134</v>
      </c>
      <c r="I496" s="1" t="s">
        <v>224</v>
      </c>
      <c r="J496" s="1" t="s">
        <v>229</v>
      </c>
      <c r="K496" s="1" t="s">
        <v>118</v>
      </c>
      <c r="L496" s="1" t="s">
        <v>103</v>
      </c>
      <c r="AS496" s="20">
        <v>555300</v>
      </c>
      <c r="AV496" s="20">
        <v>294288</v>
      </c>
      <c r="AW496" s="20">
        <v>1640880</v>
      </c>
      <c r="AX496" s="20">
        <v>3100800</v>
      </c>
      <c r="BH496" s="28">
        <v>5591268</v>
      </c>
      <c r="BI496" s="28">
        <v>5591268</v>
      </c>
    </row>
    <row r="497" spans="1:61" hidden="1" x14ac:dyDescent="0.3">
      <c r="A497" s="1" t="s">
        <v>739</v>
      </c>
      <c r="B497" s="1" t="s">
        <v>224</v>
      </c>
      <c r="C497" s="1" t="s">
        <v>225</v>
      </c>
      <c r="D497" s="1" t="s">
        <v>226</v>
      </c>
      <c r="E497" s="1" t="s">
        <v>225</v>
      </c>
      <c r="F497" s="1" t="s">
        <v>226</v>
      </c>
      <c r="G497" s="1" t="s">
        <v>1135</v>
      </c>
      <c r="H497" s="1" t="s">
        <v>1136</v>
      </c>
      <c r="I497" s="1" t="s">
        <v>224</v>
      </c>
      <c r="J497" s="1" t="s">
        <v>229</v>
      </c>
      <c r="K497" s="1" t="s">
        <v>118</v>
      </c>
      <c r="L497" s="1" t="s">
        <v>103</v>
      </c>
      <c r="AV497" s="20">
        <v>686672</v>
      </c>
      <c r="AW497" s="20">
        <v>1488240</v>
      </c>
      <c r="AX497" s="20">
        <v>2774400</v>
      </c>
      <c r="BH497" s="28">
        <v>4949312</v>
      </c>
      <c r="BI497" s="28">
        <v>4949312</v>
      </c>
    </row>
    <row r="498" spans="1:61" hidden="1" x14ac:dyDescent="0.3">
      <c r="A498" s="1" t="s">
        <v>739</v>
      </c>
      <c r="B498" s="1" t="s">
        <v>112</v>
      </c>
      <c r="C498" s="1" t="s">
        <v>1137</v>
      </c>
      <c r="D498" s="1" t="s">
        <v>1138</v>
      </c>
      <c r="E498" s="1" t="s">
        <v>1137</v>
      </c>
      <c r="F498" s="1" t="s">
        <v>1138</v>
      </c>
      <c r="G498" s="1" t="s">
        <v>1139</v>
      </c>
      <c r="H498" s="1" t="s">
        <v>1140</v>
      </c>
      <c r="I498" s="1" t="s">
        <v>112</v>
      </c>
      <c r="J498" s="1" t="s">
        <v>229</v>
      </c>
      <c r="K498" s="1" t="s">
        <v>118</v>
      </c>
      <c r="L498" s="1" t="s">
        <v>103</v>
      </c>
      <c r="M498" s="20">
        <v>697797390</v>
      </c>
      <c r="N498" s="20">
        <v>49885200</v>
      </c>
      <c r="O498" s="20">
        <v>72216000</v>
      </c>
      <c r="AB498" s="20">
        <v>819898590</v>
      </c>
      <c r="AC498" s="20">
        <v>735782250</v>
      </c>
      <c r="AD498" s="20">
        <v>60613200</v>
      </c>
      <c r="AE498" s="20">
        <v>63852000</v>
      </c>
      <c r="AR498" s="20">
        <v>860247450</v>
      </c>
      <c r="AS498" s="20">
        <v>757578000</v>
      </c>
      <c r="AT498" s="20">
        <v>86092200</v>
      </c>
      <c r="AU498" s="20">
        <v>56324400</v>
      </c>
      <c r="BH498" s="28">
        <v>899994600</v>
      </c>
      <c r="BI498" s="28">
        <v>2580140640</v>
      </c>
    </row>
    <row r="499" spans="1:61" hidden="1" x14ac:dyDescent="0.3">
      <c r="A499" s="1" t="s">
        <v>739</v>
      </c>
      <c r="B499" s="1" t="s">
        <v>112</v>
      </c>
      <c r="C499" s="1" t="s">
        <v>1137</v>
      </c>
      <c r="D499" s="1" t="s">
        <v>1138</v>
      </c>
      <c r="E499" s="1" t="s">
        <v>1137</v>
      </c>
      <c r="F499" s="1" t="s">
        <v>1138</v>
      </c>
      <c r="G499" s="1" t="s">
        <v>1141</v>
      </c>
      <c r="H499" s="1" t="s">
        <v>1142</v>
      </c>
      <c r="I499" s="1" t="s">
        <v>112</v>
      </c>
      <c r="J499" s="1" t="s">
        <v>229</v>
      </c>
      <c r="K499" s="1" t="s">
        <v>118</v>
      </c>
      <c r="L499" s="1" t="s">
        <v>103</v>
      </c>
      <c r="M499" s="20">
        <v>1584000</v>
      </c>
      <c r="P499" s="20">
        <v>85315400</v>
      </c>
      <c r="Q499" s="20">
        <v>136155000</v>
      </c>
      <c r="R499" s="20">
        <v>224897400</v>
      </c>
      <c r="AB499" s="20">
        <v>447951800</v>
      </c>
      <c r="AC499" s="20">
        <v>9504000</v>
      </c>
      <c r="AF499" s="20">
        <v>77559800</v>
      </c>
      <c r="AG499" s="20">
        <v>136983900</v>
      </c>
      <c r="AH499" s="20">
        <v>235994400</v>
      </c>
      <c r="AR499" s="20">
        <v>460042100</v>
      </c>
      <c r="AS499" s="20">
        <v>6336000</v>
      </c>
      <c r="AT499" s="20">
        <v>18528000</v>
      </c>
      <c r="AV499" s="20">
        <v>71782600</v>
      </c>
      <c r="AW499" s="20">
        <v>125526600</v>
      </c>
      <c r="AX499" s="20">
        <v>254692500</v>
      </c>
      <c r="BH499" s="28">
        <v>476865700</v>
      </c>
      <c r="BI499" s="28">
        <v>1384859600</v>
      </c>
    </row>
    <row r="500" spans="1:61" hidden="1" x14ac:dyDescent="0.3">
      <c r="A500" s="1" t="s">
        <v>739</v>
      </c>
      <c r="B500" s="1" t="s">
        <v>112</v>
      </c>
      <c r="C500" s="1" t="s">
        <v>1143</v>
      </c>
      <c r="D500" s="1" t="s">
        <v>1144</v>
      </c>
      <c r="E500" s="1" t="s">
        <v>1143</v>
      </c>
      <c r="F500" s="1" t="s">
        <v>1144</v>
      </c>
      <c r="G500" s="1" t="s">
        <v>1139</v>
      </c>
      <c r="H500" s="1" t="s">
        <v>1145</v>
      </c>
      <c r="I500" s="1" t="s">
        <v>112</v>
      </c>
      <c r="J500" s="1" t="s">
        <v>229</v>
      </c>
      <c r="K500" s="1" t="s">
        <v>118</v>
      </c>
      <c r="L500" s="1" t="s">
        <v>103</v>
      </c>
      <c r="M500" s="20">
        <v>27347766</v>
      </c>
      <c r="N500" s="20">
        <v>2413800</v>
      </c>
      <c r="O500" s="20">
        <v>1632000</v>
      </c>
      <c r="AB500" s="20">
        <v>31393566</v>
      </c>
      <c r="AC500" s="20">
        <v>27230100</v>
      </c>
      <c r="AD500" s="20">
        <v>4023000</v>
      </c>
      <c r="AE500" s="20">
        <v>1428000</v>
      </c>
      <c r="AR500" s="20">
        <v>32681100</v>
      </c>
      <c r="AS500" s="20">
        <v>27892500</v>
      </c>
      <c r="AT500" s="20">
        <v>3218400</v>
      </c>
      <c r="AU500" s="20">
        <v>1218900</v>
      </c>
      <c r="BH500" s="28">
        <v>32329800</v>
      </c>
      <c r="BI500" s="28">
        <v>96404466</v>
      </c>
    </row>
    <row r="501" spans="1:61" hidden="1" x14ac:dyDescent="0.3">
      <c r="A501" s="1" t="s">
        <v>739</v>
      </c>
      <c r="B501" s="1" t="s">
        <v>112</v>
      </c>
      <c r="C501" s="1" t="s">
        <v>1143</v>
      </c>
      <c r="D501" s="1" t="s">
        <v>1144</v>
      </c>
      <c r="E501" s="1" t="s">
        <v>1143</v>
      </c>
      <c r="F501" s="1" t="s">
        <v>1144</v>
      </c>
      <c r="G501" s="1" t="s">
        <v>1141</v>
      </c>
      <c r="H501" s="1" t="s">
        <v>1146</v>
      </c>
      <c r="I501" s="1" t="s">
        <v>112</v>
      </c>
      <c r="J501" s="1" t="s">
        <v>229</v>
      </c>
      <c r="K501" s="1" t="s">
        <v>118</v>
      </c>
      <c r="L501" s="1" t="s">
        <v>103</v>
      </c>
      <c r="P501" s="20">
        <v>1748600</v>
      </c>
      <c r="Q501" s="20">
        <v>5577000</v>
      </c>
      <c r="R501" s="20">
        <v>6129000</v>
      </c>
      <c r="AB501" s="20">
        <v>13454600</v>
      </c>
      <c r="AF501" s="20">
        <v>1227400</v>
      </c>
      <c r="AG501" s="20">
        <v>4562700</v>
      </c>
      <c r="AH501" s="20">
        <v>6386400</v>
      </c>
      <c r="AR501" s="20">
        <v>12176500</v>
      </c>
      <c r="AT501" s="20">
        <v>768000</v>
      </c>
      <c r="AV501" s="20">
        <v>1319000</v>
      </c>
      <c r="AW501" s="20">
        <v>4039200</v>
      </c>
      <c r="AX501" s="20">
        <v>6896700</v>
      </c>
      <c r="BH501" s="28">
        <v>13022900</v>
      </c>
      <c r="BI501" s="28">
        <v>38654000</v>
      </c>
    </row>
    <row r="502" spans="1:61" hidden="1" x14ac:dyDescent="0.3">
      <c r="A502" s="1" t="s">
        <v>739</v>
      </c>
      <c r="B502" s="1" t="s">
        <v>112</v>
      </c>
      <c r="C502" s="1" t="s">
        <v>1147</v>
      </c>
      <c r="D502" s="1" t="s">
        <v>1148</v>
      </c>
      <c r="E502" s="1" t="s">
        <v>1147</v>
      </c>
      <c r="F502" s="1" t="s">
        <v>1148</v>
      </c>
      <c r="G502" s="1" t="s">
        <v>1139</v>
      </c>
      <c r="H502" s="1" t="s">
        <v>1149</v>
      </c>
      <c r="I502" s="1" t="s">
        <v>112</v>
      </c>
      <c r="J502" s="1" t="s">
        <v>229</v>
      </c>
      <c r="K502" s="1" t="s">
        <v>118</v>
      </c>
      <c r="L502" s="1" t="s">
        <v>103</v>
      </c>
      <c r="M502" s="20">
        <v>1610850</v>
      </c>
      <c r="O502" s="20">
        <v>408000</v>
      </c>
      <c r="Q502" s="20">
        <v>190800</v>
      </c>
      <c r="AB502" s="20">
        <v>2209650</v>
      </c>
      <c r="AC502" s="20">
        <v>1641000</v>
      </c>
      <c r="AG502" s="20">
        <v>477000</v>
      </c>
      <c r="AR502" s="20">
        <v>2118000</v>
      </c>
      <c r="AS502" s="20">
        <v>1610850</v>
      </c>
      <c r="AU502" s="20">
        <v>86700</v>
      </c>
      <c r="AW502" s="20">
        <v>286200</v>
      </c>
      <c r="BH502" s="28">
        <v>1983750</v>
      </c>
      <c r="BI502" s="28">
        <v>6311400</v>
      </c>
    </row>
    <row r="503" spans="1:61" hidden="1" x14ac:dyDescent="0.3">
      <c r="A503" s="1" t="s">
        <v>739</v>
      </c>
      <c r="B503" s="1" t="s">
        <v>242</v>
      </c>
      <c r="C503" s="1" t="s">
        <v>243</v>
      </c>
      <c r="D503" s="1" t="s">
        <v>244</v>
      </c>
      <c r="E503" s="1" t="s">
        <v>243</v>
      </c>
      <c r="F503" s="1" t="s">
        <v>244</v>
      </c>
      <c r="G503" s="1" t="s">
        <v>1150</v>
      </c>
      <c r="H503" s="1" t="s">
        <v>1151</v>
      </c>
      <c r="I503" s="1" t="s">
        <v>242</v>
      </c>
      <c r="J503" s="1" t="s">
        <v>229</v>
      </c>
      <c r="K503" s="1" t="s">
        <v>118</v>
      </c>
      <c r="L503" s="1" t="s">
        <v>97</v>
      </c>
      <c r="AA503" s="20">
        <v>914400</v>
      </c>
      <c r="AB503" s="20">
        <v>914400</v>
      </c>
      <c r="BI503" s="28">
        <v>914400</v>
      </c>
    </row>
    <row r="504" spans="1:61" hidden="1" x14ac:dyDescent="0.3">
      <c r="A504" s="1" t="s">
        <v>739</v>
      </c>
      <c r="B504" s="1" t="s">
        <v>242</v>
      </c>
      <c r="C504" s="1" t="s">
        <v>243</v>
      </c>
      <c r="D504" s="1" t="s">
        <v>244</v>
      </c>
      <c r="E504" s="1" t="s">
        <v>243</v>
      </c>
      <c r="F504" s="1" t="s">
        <v>244</v>
      </c>
      <c r="G504" s="1" t="s">
        <v>1152</v>
      </c>
      <c r="H504" s="1" t="s">
        <v>1153</v>
      </c>
      <c r="I504" s="1" t="s">
        <v>242</v>
      </c>
      <c r="J504" s="1" t="s">
        <v>229</v>
      </c>
      <c r="K504" s="1" t="s">
        <v>118</v>
      </c>
      <c r="L504" s="1" t="s">
        <v>97</v>
      </c>
      <c r="V504" s="20">
        <v>1276800</v>
      </c>
      <c r="Z504" s="20">
        <v>445000</v>
      </c>
      <c r="AA504" s="20">
        <v>914400</v>
      </c>
      <c r="AB504" s="20">
        <v>2636200</v>
      </c>
      <c r="AL504" s="20">
        <v>3662600</v>
      </c>
      <c r="AP504" s="20">
        <v>890000</v>
      </c>
      <c r="AQ504" s="20">
        <v>2515200</v>
      </c>
      <c r="AR504" s="20">
        <v>7067800</v>
      </c>
      <c r="BB504" s="20">
        <v>2453200</v>
      </c>
      <c r="BF504" s="28">
        <v>445000</v>
      </c>
      <c r="BG504" s="28">
        <v>1485600</v>
      </c>
      <c r="BH504" s="28">
        <v>4383800</v>
      </c>
      <c r="BI504" s="28">
        <v>14087800</v>
      </c>
    </row>
    <row r="505" spans="1:61" hidden="1" x14ac:dyDescent="0.3">
      <c r="A505" s="1" t="s">
        <v>739</v>
      </c>
      <c r="B505" s="1" t="s">
        <v>242</v>
      </c>
      <c r="C505" s="1" t="s">
        <v>243</v>
      </c>
      <c r="D505" s="1" t="s">
        <v>244</v>
      </c>
      <c r="E505" s="1" t="s">
        <v>243</v>
      </c>
      <c r="F505" s="1" t="s">
        <v>244</v>
      </c>
      <c r="G505" s="1" t="s">
        <v>1154</v>
      </c>
      <c r="H505" s="1" t="s">
        <v>1155</v>
      </c>
      <c r="I505" s="1" t="s">
        <v>242</v>
      </c>
      <c r="J505" s="1" t="s">
        <v>229</v>
      </c>
      <c r="K505" s="1" t="s">
        <v>118</v>
      </c>
      <c r="L505" s="1" t="s">
        <v>97</v>
      </c>
      <c r="V505" s="20">
        <v>6371400</v>
      </c>
      <c r="Z505" s="20">
        <v>3115000</v>
      </c>
      <c r="AA505" s="20">
        <v>15370800</v>
      </c>
      <c r="AB505" s="20">
        <v>24857200</v>
      </c>
      <c r="AL505" s="20">
        <v>7079250</v>
      </c>
      <c r="AN505" s="20">
        <v>408000</v>
      </c>
      <c r="AP505" s="20">
        <v>2002500</v>
      </c>
      <c r="AQ505" s="20">
        <v>16478400</v>
      </c>
      <c r="AR505" s="20">
        <v>25968150</v>
      </c>
      <c r="BB505" s="20">
        <v>7447600</v>
      </c>
      <c r="BC505" s="20">
        <v>2692800</v>
      </c>
      <c r="BF505" s="28">
        <v>3912200</v>
      </c>
      <c r="BG505" s="28">
        <v>11872800</v>
      </c>
      <c r="BH505" s="28">
        <v>25925400</v>
      </c>
      <c r="BI505" s="28">
        <v>76750750</v>
      </c>
    </row>
    <row r="506" spans="1:61" hidden="1" x14ac:dyDescent="0.3">
      <c r="A506" s="1" t="s">
        <v>739</v>
      </c>
      <c r="B506" s="1" t="s">
        <v>242</v>
      </c>
      <c r="C506" s="1" t="s">
        <v>243</v>
      </c>
      <c r="D506" s="1" t="s">
        <v>244</v>
      </c>
      <c r="E506" s="1" t="s">
        <v>243</v>
      </c>
      <c r="F506" s="1" t="s">
        <v>244</v>
      </c>
      <c r="G506" s="1" t="s">
        <v>1156</v>
      </c>
      <c r="H506" s="1" t="s">
        <v>1157</v>
      </c>
      <c r="I506" s="1" t="s">
        <v>242</v>
      </c>
      <c r="J506" s="1" t="s">
        <v>229</v>
      </c>
      <c r="K506" s="1" t="s">
        <v>118</v>
      </c>
      <c r="L506" s="1" t="s">
        <v>97</v>
      </c>
      <c r="V506" s="20">
        <v>6801300</v>
      </c>
      <c r="X506" s="20">
        <v>408000</v>
      </c>
      <c r="Z506" s="20">
        <v>2002500</v>
      </c>
      <c r="AA506" s="20">
        <v>7512000</v>
      </c>
      <c r="AB506" s="20">
        <v>16723800</v>
      </c>
      <c r="AL506" s="20">
        <v>14281800</v>
      </c>
      <c r="AP506" s="20">
        <v>3750800</v>
      </c>
      <c r="AQ506" s="20">
        <v>8294400</v>
      </c>
      <c r="AR506" s="20">
        <v>26327000</v>
      </c>
      <c r="BB506" s="20">
        <v>6400000</v>
      </c>
      <c r="BD506" s="28">
        <v>408000</v>
      </c>
      <c r="BF506" s="28">
        <v>4754100</v>
      </c>
      <c r="BG506" s="28">
        <v>6672000</v>
      </c>
      <c r="BH506" s="28">
        <v>18234100</v>
      </c>
      <c r="BI506" s="28">
        <v>61284900</v>
      </c>
    </row>
    <row r="507" spans="1:61" hidden="1" x14ac:dyDescent="0.3">
      <c r="A507" s="1" t="s">
        <v>739</v>
      </c>
      <c r="B507" s="1" t="s">
        <v>242</v>
      </c>
      <c r="C507" s="1" t="s">
        <v>243</v>
      </c>
      <c r="D507" s="1" t="s">
        <v>244</v>
      </c>
      <c r="E507" s="1" t="s">
        <v>243</v>
      </c>
      <c r="F507" s="1" t="s">
        <v>244</v>
      </c>
      <c r="G507" s="1" t="s">
        <v>1158</v>
      </c>
      <c r="H507" s="1" t="s">
        <v>1159</v>
      </c>
      <c r="I507" s="1" t="s">
        <v>242</v>
      </c>
      <c r="J507" s="1" t="s">
        <v>229</v>
      </c>
      <c r="K507" s="1" t="s">
        <v>118</v>
      </c>
      <c r="L507" s="1" t="s">
        <v>97</v>
      </c>
      <c r="V507" s="20">
        <v>5309100</v>
      </c>
      <c r="Z507" s="20">
        <v>2002500</v>
      </c>
      <c r="AA507" s="20">
        <v>6283200</v>
      </c>
      <c r="AB507" s="20">
        <v>13594800</v>
      </c>
      <c r="AL507" s="20">
        <v>9464400</v>
      </c>
      <c r="AP507" s="20">
        <v>2002500</v>
      </c>
      <c r="AQ507" s="20">
        <v>7096800</v>
      </c>
      <c r="AR507" s="20">
        <v>18563700</v>
      </c>
      <c r="BB507" s="20">
        <v>8195200</v>
      </c>
      <c r="BD507" s="28">
        <v>816000</v>
      </c>
      <c r="BF507" s="28">
        <v>1701900</v>
      </c>
      <c r="BG507" s="28">
        <v>5512800</v>
      </c>
      <c r="BH507" s="28">
        <v>16225900</v>
      </c>
      <c r="BI507" s="28">
        <v>48384400</v>
      </c>
    </row>
    <row r="508" spans="1:61" hidden="1" x14ac:dyDescent="0.3">
      <c r="A508" s="1" t="s">
        <v>739</v>
      </c>
      <c r="B508" s="1" t="s">
        <v>242</v>
      </c>
      <c r="C508" s="1" t="s">
        <v>243</v>
      </c>
      <c r="D508" s="1" t="s">
        <v>244</v>
      </c>
      <c r="E508" s="1" t="s">
        <v>243</v>
      </c>
      <c r="F508" s="1" t="s">
        <v>244</v>
      </c>
      <c r="G508" s="1" t="s">
        <v>1160</v>
      </c>
      <c r="H508" s="1" t="s">
        <v>1161</v>
      </c>
      <c r="I508" s="1" t="s">
        <v>242</v>
      </c>
      <c r="J508" s="1" t="s">
        <v>229</v>
      </c>
      <c r="K508" s="1" t="s">
        <v>118</v>
      </c>
      <c r="L508" s="1" t="s">
        <v>97</v>
      </c>
      <c r="V508" s="20">
        <v>4268700</v>
      </c>
      <c r="Z508" s="20">
        <v>1335000</v>
      </c>
      <c r="AA508" s="20">
        <v>3657600</v>
      </c>
      <c r="AB508" s="20">
        <v>9261300</v>
      </c>
      <c r="AL508" s="20">
        <v>9973300</v>
      </c>
      <c r="AP508" s="20">
        <v>2225000</v>
      </c>
      <c r="AQ508" s="20">
        <v>6172800</v>
      </c>
      <c r="AR508" s="20">
        <v>18371100</v>
      </c>
      <c r="BB508" s="20">
        <v>8501800</v>
      </c>
      <c r="BC508" s="20">
        <v>985200</v>
      </c>
      <c r="BD508" s="28">
        <v>816000</v>
      </c>
      <c r="BF508" s="28">
        <v>3259400</v>
      </c>
      <c r="BG508" s="28">
        <v>5464800</v>
      </c>
      <c r="BH508" s="28">
        <v>19027200</v>
      </c>
      <c r="BI508" s="28">
        <v>46659600</v>
      </c>
    </row>
    <row r="509" spans="1:61" hidden="1" x14ac:dyDescent="0.3">
      <c r="A509" s="1" t="s">
        <v>739</v>
      </c>
      <c r="B509" s="1" t="s">
        <v>242</v>
      </c>
      <c r="C509" s="1" t="s">
        <v>243</v>
      </c>
      <c r="D509" s="1" t="s">
        <v>244</v>
      </c>
      <c r="E509" s="1" t="s">
        <v>243</v>
      </c>
      <c r="F509" s="1" t="s">
        <v>244</v>
      </c>
      <c r="G509" s="1" t="s">
        <v>1162</v>
      </c>
      <c r="H509" s="1" t="s">
        <v>1163</v>
      </c>
      <c r="I509" s="1" t="s">
        <v>242</v>
      </c>
      <c r="J509" s="1" t="s">
        <v>229</v>
      </c>
      <c r="K509" s="1" t="s">
        <v>118</v>
      </c>
      <c r="L509" s="1" t="s">
        <v>97</v>
      </c>
      <c r="V509" s="20">
        <v>9655200</v>
      </c>
      <c r="X509" s="20">
        <v>408000</v>
      </c>
      <c r="Z509" s="20">
        <v>3696040</v>
      </c>
      <c r="AA509" s="20">
        <v>7562400</v>
      </c>
      <c r="AB509" s="20">
        <v>21321640</v>
      </c>
      <c r="AL509" s="20">
        <v>16779300</v>
      </c>
      <c r="AN509" s="20">
        <v>408000</v>
      </c>
      <c r="AP509" s="20">
        <v>1335000</v>
      </c>
      <c r="AQ509" s="20">
        <v>7723200</v>
      </c>
      <c r="AR509" s="20">
        <v>26245500</v>
      </c>
      <c r="BB509" s="20">
        <v>13533700</v>
      </c>
      <c r="BD509" s="28">
        <v>1224000</v>
      </c>
      <c r="BF509" s="28">
        <v>2201940</v>
      </c>
      <c r="BG509" s="28">
        <v>10567200</v>
      </c>
      <c r="BH509" s="28">
        <v>27526840</v>
      </c>
      <c r="BI509" s="28">
        <v>75093980</v>
      </c>
    </row>
    <row r="510" spans="1:61" hidden="1" x14ac:dyDescent="0.3">
      <c r="A510" s="1" t="s">
        <v>739</v>
      </c>
      <c r="B510" s="1" t="s">
        <v>242</v>
      </c>
      <c r="C510" s="1" t="s">
        <v>243</v>
      </c>
      <c r="D510" s="1" t="s">
        <v>244</v>
      </c>
      <c r="E510" s="1" t="s">
        <v>243</v>
      </c>
      <c r="F510" s="1" t="s">
        <v>244</v>
      </c>
      <c r="G510" s="1" t="s">
        <v>1164</v>
      </c>
      <c r="H510" s="1" t="s">
        <v>1165</v>
      </c>
      <c r="I510" s="1" t="s">
        <v>242</v>
      </c>
      <c r="J510" s="1" t="s">
        <v>229</v>
      </c>
      <c r="K510" s="1" t="s">
        <v>118</v>
      </c>
      <c r="L510" s="1" t="s">
        <v>97</v>
      </c>
      <c r="V510" s="20">
        <v>9712800</v>
      </c>
      <c r="X510" s="20">
        <v>408000</v>
      </c>
      <c r="Z510" s="20">
        <v>2447500</v>
      </c>
      <c r="AA510" s="20">
        <v>8875200</v>
      </c>
      <c r="AB510" s="20">
        <v>21443500</v>
      </c>
      <c r="AL510" s="20">
        <v>6483600</v>
      </c>
      <c r="AP510" s="20">
        <v>3115000</v>
      </c>
      <c r="AQ510" s="20">
        <v>3657600</v>
      </c>
      <c r="AR510" s="20">
        <v>13256200</v>
      </c>
      <c r="BB510" s="20">
        <v>11835900</v>
      </c>
      <c r="BC510" s="20">
        <v>448800</v>
      </c>
      <c r="BF510" s="28">
        <v>2814400</v>
      </c>
      <c r="BG510" s="28">
        <v>5340000</v>
      </c>
      <c r="BH510" s="28">
        <v>20439100</v>
      </c>
      <c r="BI510" s="28">
        <v>55138800</v>
      </c>
    </row>
    <row r="511" spans="1:61" hidden="1" x14ac:dyDescent="0.3">
      <c r="A511" s="1" t="s">
        <v>739</v>
      </c>
      <c r="B511" s="1" t="s">
        <v>242</v>
      </c>
      <c r="C511" s="1" t="s">
        <v>243</v>
      </c>
      <c r="D511" s="1" t="s">
        <v>244</v>
      </c>
      <c r="E511" s="1" t="s">
        <v>243</v>
      </c>
      <c r="F511" s="1" t="s">
        <v>244</v>
      </c>
      <c r="G511" s="1" t="s">
        <v>1166</v>
      </c>
      <c r="H511" s="1" t="s">
        <v>1167</v>
      </c>
      <c r="I511" s="1" t="s">
        <v>242</v>
      </c>
      <c r="J511" s="1" t="s">
        <v>229</v>
      </c>
      <c r="K511" s="1" t="s">
        <v>118</v>
      </c>
      <c r="L511" s="1" t="s">
        <v>97</v>
      </c>
      <c r="V511" s="20">
        <v>11962500</v>
      </c>
      <c r="Z511" s="20">
        <v>1335000</v>
      </c>
      <c r="AA511" s="20">
        <v>5104800</v>
      </c>
      <c r="AB511" s="20">
        <v>18402300</v>
      </c>
      <c r="AL511" s="20">
        <v>11842500</v>
      </c>
      <c r="AN511" s="20">
        <v>408000</v>
      </c>
      <c r="AP511" s="20">
        <v>2447500</v>
      </c>
      <c r="AQ511" s="20">
        <v>11098800</v>
      </c>
      <c r="AR511" s="20">
        <v>25796800</v>
      </c>
      <c r="BB511" s="20">
        <v>10501200</v>
      </c>
      <c r="BC511" s="20">
        <v>2692800</v>
      </c>
      <c r="BD511" s="28">
        <v>816000</v>
      </c>
      <c r="BF511" s="28">
        <v>4166400</v>
      </c>
      <c r="BG511" s="28">
        <v>8899200</v>
      </c>
      <c r="BH511" s="28">
        <v>27075600</v>
      </c>
      <c r="BI511" s="28">
        <v>71274700</v>
      </c>
    </row>
    <row r="512" spans="1:61" hidden="1" x14ac:dyDescent="0.3">
      <c r="A512" s="1" t="s">
        <v>739</v>
      </c>
      <c r="B512" s="1" t="s">
        <v>242</v>
      </c>
      <c r="C512" s="1" t="s">
        <v>243</v>
      </c>
      <c r="D512" s="1" t="s">
        <v>244</v>
      </c>
      <c r="E512" s="1" t="s">
        <v>243</v>
      </c>
      <c r="F512" s="1" t="s">
        <v>244</v>
      </c>
      <c r="G512" s="1" t="s">
        <v>1168</v>
      </c>
      <c r="H512" s="1" t="s">
        <v>1169</v>
      </c>
      <c r="I512" s="1" t="s">
        <v>242</v>
      </c>
      <c r="J512" s="1" t="s">
        <v>229</v>
      </c>
      <c r="K512" s="1" t="s">
        <v>118</v>
      </c>
      <c r="L512" s="1" t="s">
        <v>97</v>
      </c>
      <c r="V512" s="20">
        <v>18676800</v>
      </c>
      <c r="Z512" s="20">
        <v>445000</v>
      </c>
      <c r="AA512" s="20">
        <v>4800000</v>
      </c>
      <c r="AB512" s="20">
        <v>23921800</v>
      </c>
      <c r="AL512" s="20">
        <v>15391900</v>
      </c>
      <c r="AP512" s="20">
        <v>890000</v>
      </c>
      <c r="AQ512" s="20">
        <v>6628800</v>
      </c>
      <c r="AR512" s="20">
        <v>22910700</v>
      </c>
      <c r="BB512" s="20">
        <v>13052300</v>
      </c>
      <c r="BF512" s="28">
        <v>667500</v>
      </c>
      <c r="BG512" s="28">
        <v>5486400</v>
      </c>
      <c r="BH512" s="28">
        <v>19206200</v>
      </c>
      <c r="BI512" s="28">
        <v>66038700</v>
      </c>
    </row>
    <row r="513" spans="1:61" hidden="1" x14ac:dyDescent="0.3">
      <c r="A513" s="1" t="s">
        <v>739</v>
      </c>
      <c r="B513" s="1" t="s">
        <v>242</v>
      </c>
      <c r="C513" s="1" t="s">
        <v>243</v>
      </c>
      <c r="D513" s="1" t="s">
        <v>244</v>
      </c>
      <c r="E513" s="1" t="s">
        <v>243</v>
      </c>
      <c r="F513" s="1" t="s">
        <v>244</v>
      </c>
      <c r="G513" s="1" t="s">
        <v>1170</v>
      </c>
      <c r="H513" s="1" t="s">
        <v>1171</v>
      </c>
      <c r="I513" s="1" t="s">
        <v>242</v>
      </c>
      <c r="J513" s="1" t="s">
        <v>229</v>
      </c>
      <c r="K513" s="1" t="s">
        <v>118</v>
      </c>
      <c r="L513" s="1" t="s">
        <v>97</v>
      </c>
      <c r="V513" s="20">
        <v>9369300</v>
      </c>
      <c r="Z513" s="20">
        <v>3782500</v>
      </c>
      <c r="AA513" s="20">
        <v>13248000</v>
      </c>
      <c r="AB513" s="20">
        <v>26399800</v>
      </c>
      <c r="AL513" s="20">
        <v>8976700</v>
      </c>
      <c r="AP513" s="20">
        <v>4450000</v>
      </c>
      <c r="AQ513" s="20">
        <v>12127200</v>
      </c>
      <c r="AR513" s="20">
        <v>25553900</v>
      </c>
      <c r="BB513" s="20">
        <v>9452400</v>
      </c>
      <c r="BC513" s="20">
        <v>897600</v>
      </c>
      <c r="BF513" s="28">
        <v>6328000</v>
      </c>
      <c r="BG513" s="28">
        <v>7195200</v>
      </c>
      <c r="BH513" s="28">
        <v>23873200</v>
      </c>
      <c r="BI513" s="28">
        <v>75826900</v>
      </c>
    </row>
    <row r="514" spans="1:61" hidden="1" x14ac:dyDescent="0.3">
      <c r="A514" s="1" t="s">
        <v>739</v>
      </c>
      <c r="B514" s="1" t="s">
        <v>242</v>
      </c>
      <c r="C514" s="1" t="s">
        <v>243</v>
      </c>
      <c r="D514" s="1" t="s">
        <v>244</v>
      </c>
      <c r="E514" s="1" t="s">
        <v>243</v>
      </c>
      <c r="F514" s="1" t="s">
        <v>244</v>
      </c>
      <c r="G514" s="1" t="s">
        <v>1172</v>
      </c>
      <c r="H514" s="1" t="s">
        <v>1173</v>
      </c>
      <c r="I514" s="1" t="s">
        <v>242</v>
      </c>
      <c r="J514" s="1" t="s">
        <v>229</v>
      </c>
      <c r="K514" s="1" t="s">
        <v>118</v>
      </c>
      <c r="L514" s="1" t="s">
        <v>97</v>
      </c>
      <c r="V514" s="20">
        <v>1987200</v>
      </c>
      <c r="AA514" s="20">
        <v>914400</v>
      </c>
      <c r="AB514" s="20">
        <v>2901600</v>
      </c>
      <c r="AQ514" s="20">
        <v>914400</v>
      </c>
      <c r="AR514" s="20">
        <v>914400</v>
      </c>
      <c r="BB514" s="20">
        <v>6300600</v>
      </c>
      <c r="BH514" s="28">
        <v>6300600</v>
      </c>
      <c r="BI514" s="28">
        <v>10116600</v>
      </c>
    </row>
    <row r="515" spans="1:61" hidden="1" x14ac:dyDescent="0.3">
      <c r="A515" s="1" t="s">
        <v>739</v>
      </c>
      <c r="B515" s="1" t="s">
        <v>242</v>
      </c>
      <c r="C515" s="1" t="s">
        <v>243</v>
      </c>
      <c r="D515" s="1" t="s">
        <v>244</v>
      </c>
      <c r="E515" s="1" t="s">
        <v>243</v>
      </c>
      <c r="F515" s="1" t="s">
        <v>244</v>
      </c>
      <c r="G515" s="1" t="s">
        <v>1174</v>
      </c>
      <c r="H515" s="1" t="s">
        <v>1175</v>
      </c>
      <c r="I515" s="1" t="s">
        <v>242</v>
      </c>
      <c r="J515" s="1" t="s">
        <v>229</v>
      </c>
      <c r="K515" s="1" t="s">
        <v>118</v>
      </c>
      <c r="L515" s="1" t="s">
        <v>97</v>
      </c>
      <c r="V515" s="20">
        <v>17294100</v>
      </c>
      <c r="X515" s="20">
        <v>408000</v>
      </c>
      <c r="Z515" s="20">
        <v>2002500</v>
      </c>
      <c r="AA515" s="20">
        <v>9828000</v>
      </c>
      <c r="AB515" s="20">
        <v>29532600</v>
      </c>
      <c r="AL515" s="20">
        <v>14154100</v>
      </c>
      <c r="AN515" s="20">
        <v>816000</v>
      </c>
      <c r="AP515" s="20">
        <v>2002500</v>
      </c>
      <c r="AQ515" s="20">
        <v>12664800</v>
      </c>
      <c r="AR515" s="20">
        <v>29637400</v>
      </c>
      <c r="BB515" s="20">
        <v>10245400</v>
      </c>
      <c r="BC515" s="20">
        <v>2331600</v>
      </c>
      <c r="BF515" s="28">
        <v>3036900</v>
      </c>
      <c r="BG515" s="28">
        <v>10965600</v>
      </c>
      <c r="BH515" s="28">
        <v>26579500</v>
      </c>
      <c r="BI515" s="28">
        <v>85749500</v>
      </c>
    </row>
    <row r="516" spans="1:61" hidden="1" x14ac:dyDescent="0.3">
      <c r="A516" s="1" t="s">
        <v>739</v>
      </c>
      <c r="B516" s="1" t="s">
        <v>242</v>
      </c>
      <c r="C516" s="1" t="s">
        <v>243</v>
      </c>
      <c r="D516" s="1" t="s">
        <v>244</v>
      </c>
      <c r="E516" s="1" t="s">
        <v>243</v>
      </c>
      <c r="F516" s="1" t="s">
        <v>244</v>
      </c>
      <c r="G516" s="1" t="s">
        <v>1176</v>
      </c>
      <c r="H516" s="1" t="s">
        <v>1177</v>
      </c>
      <c r="I516" s="1" t="s">
        <v>242</v>
      </c>
      <c r="J516" s="1" t="s">
        <v>229</v>
      </c>
      <c r="K516" s="1" t="s">
        <v>118</v>
      </c>
      <c r="L516" s="1" t="s">
        <v>97</v>
      </c>
      <c r="V516" s="20">
        <v>7063200</v>
      </c>
      <c r="AA516" s="20">
        <v>6000000</v>
      </c>
      <c r="AB516" s="20">
        <v>13063200</v>
      </c>
      <c r="AL516" s="20">
        <v>11178000</v>
      </c>
      <c r="AP516" s="20">
        <v>890000</v>
      </c>
      <c r="AQ516" s="20">
        <v>5666400</v>
      </c>
      <c r="AR516" s="20">
        <v>17734400</v>
      </c>
      <c r="BB516" s="20">
        <v>11267400</v>
      </c>
      <c r="BD516" s="28">
        <v>816000</v>
      </c>
      <c r="BF516" s="28">
        <v>1271600</v>
      </c>
      <c r="BG516" s="28">
        <v>9266400</v>
      </c>
      <c r="BH516" s="28">
        <v>22621400</v>
      </c>
      <c r="BI516" s="28">
        <v>53419000</v>
      </c>
    </row>
    <row r="517" spans="1:61" hidden="1" x14ac:dyDescent="0.3">
      <c r="A517" s="1" t="s">
        <v>739</v>
      </c>
      <c r="B517" s="1" t="s">
        <v>242</v>
      </c>
      <c r="C517" s="1" t="s">
        <v>243</v>
      </c>
      <c r="D517" s="1" t="s">
        <v>244</v>
      </c>
      <c r="E517" s="1" t="s">
        <v>243</v>
      </c>
      <c r="F517" s="1" t="s">
        <v>244</v>
      </c>
      <c r="G517" s="1" t="s">
        <v>1178</v>
      </c>
      <c r="H517" s="1" t="s">
        <v>1179</v>
      </c>
      <c r="I517" s="1" t="s">
        <v>242</v>
      </c>
      <c r="J517" s="1" t="s">
        <v>229</v>
      </c>
      <c r="K517" s="1" t="s">
        <v>118</v>
      </c>
      <c r="L517" s="1" t="s">
        <v>97</v>
      </c>
      <c r="V517" s="20">
        <v>3936000</v>
      </c>
      <c r="Z517" s="20">
        <v>1112500</v>
      </c>
      <c r="AA517" s="20">
        <v>2628000</v>
      </c>
      <c r="AB517" s="20">
        <v>7676500</v>
      </c>
      <c r="AL517" s="20">
        <v>9843700</v>
      </c>
      <c r="AP517" s="20">
        <v>890000</v>
      </c>
      <c r="AQ517" s="20">
        <v>4629600</v>
      </c>
      <c r="AR517" s="20">
        <v>15363300</v>
      </c>
      <c r="BB517" s="20">
        <v>8192200</v>
      </c>
      <c r="BC517" s="20">
        <v>1346400</v>
      </c>
      <c r="BF517" s="28">
        <v>1574500</v>
      </c>
      <c r="BG517" s="28">
        <v>3796800</v>
      </c>
      <c r="BH517" s="28">
        <v>14909900</v>
      </c>
      <c r="BI517" s="28">
        <v>37949700</v>
      </c>
    </row>
    <row r="518" spans="1:61" hidden="1" x14ac:dyDescent="0.3">
      <c r="A518" s="1" t="s">
        <v>739</v>
      </c>
      <c r="B518" s="1" t="s">
        <v>242</v>
      </c>
      <c r="C518" s="1" t="s">
        <v>243</v>
      </c>
      <c r="D518" s="1" t="s">
        <v>244</v>
      </c>
      <c r="E518" s="1" t="s">
        <v>243</v>
      </c>
      <c r="F518" s="1" t="s">
        <v>244</v>
      </c>
      <c r="G518" s="1" t="s">
        <v>1180</v>
      </c>
      <c r="H518" s="1" t="s">
        <v>1181</v>
      </c>
      <c r="I518" s="1" t="s">
        <v>242</v>
      </c>
      <c r="J518" s="1" t="s">
        <v>229</v>
      </c>
      <c r="K518" s="1" t="s">
        <v>118</v>
      </c>
      <c r="L518" s="1" t="s">
        <v>97</v>
      </c>
      <c r="V518" s="20">
        <v>9550800</v>
      </c>
      <c r="X518" s="20">
        <v>816000</v>
      </c>
      <c r="Z518" s="20">
        <v>4610000</v>
      </c>
      <c r="AA518" s="20">
        <v>5613600</v>
      </c>
      <c r="AB518" s="20">
        <v>20590400</v>
      </c>
      <c r="AL518" s="20">
        <v>10149800</v>
      </c>
      <c r="AN518" s="20">
        <v>816000</v>
      </c>
      <c r="AP518" s="20">
        <v>5977600</v>
      </c>
      <c r="AQ518" s="20">
        <v>7735200</v>
      </c>
      <c r="AR518" s="20">
        <v>24678600</v>
      </c>
      <c r="BB518" s="20">
        <v>8827800</v>
      </c>
      <c r="BF518" s="28">
        <v>3799500</v>
      </c>
      <c r="BG518" s="28">
        <v>6033600</v>
      </c>
      <c r="BH518" s="28">
        <v>18660900</v>
      </c>
      <c r="BI518" s="28">
        <v>63929900</v>
      </c>
    </row>
    <row r="519" spans="1:61" hidden="1" x14ac:dyDescent="0.3">
      <c r="A519" s="1" t="s">
        <v>739</v>
      </c>
      <c r="B519" s="1" t="s">
        <v>242</v>
      </c>
      <c r="C519" s="1" t="s">
        <v>243</v>
      </c>
      <c r="D519" s="1" t="s">
        <v>244</v>
      </c>
      <c r="E519" s="1" t="s">
        <v>243</v>
      </c>
      <c r="F519" s="1" t="s">
        <v>244</v>
      </c>
      <c r="G519" s="1" t="s">
        <v>1182</v>
      </c>
      <c r="H519" s="1" t="s">
        <v>1183</v>
      </c>
      <c r="I519" s="1" t="s">
        <v>242</v>
      </c>
      <c r="J519" s="1" t="s">
        <v>229</v>
      </c>
      <c r="K519" s="1" t="s">
        <v>118</v>
      </c>
      <c r="L519" s="1" t="s">
        <v>97</v>
      </c>
      <c r="V519" s="20">
        <v>10083300</v>
      </c>
      <c r="X519" s="20">
        <v>1224000</v>
      </c>
      <c r="Z519" s="20">
        <v>2447500</v>
      </c>
      <c r="AA519" s="20">
        <v>5788800</v>
      </c>
      <c r="AB519" s="20">
        <v>19543600</v>
      </c>
      <c r="AL519" s="20">
        <v>4773300</v>
      </c>
      <c r="AP519" s="20">
        <v>3814800</v>
      </c>
      <c r="AQ519" s="20">
        <v>6415200</v>
      </c>
      <c r="AR519" s="20">
        <v>15003300</v>
      </c>
      <c r="BB519" s="20">
        <v>11593200</v>
      </c>
      <c r="BD519" s="28">
        <v>408000</v>
      </c>
      <c r="BF519" s="28">
        <v>3291100</v>
      </c>
      <c r="BG519" s="28">
        <v>8493600</v>
      </c>
      <c r="BH519" s="28">
        <v>23785900</v>
      </c>
      <c r="BI519" s="28">
        <v>58332800</v>
      </c>
    </row>
    <row r="520" spans="1:61" hidden="1" x14ac:dyDescent="0.3">
      <c r="A520" s="1" t="s">
        <v>739</v>
      </c>
      <c r="B520" s="1" t="s">
        <v>242</v>
      </c>
      <c r="C520" s="1" t="s">
        <v>243</v>
      </c>
      <c r="D520" s="1" t="s">
        <v>244</v>
      </c>
      <c r="E520" s="1" t="s">
        <v>243</v>
      </c>
      <c r="F520" s="1" t="s">
        <v>244</v>
      </c>
      <c r="G520" s="1" t="s">
        <v>1184</v>
      </c>
      <c r="H520" s="1" t="s">
        <v>1185</v>
      </c>
      <c r="I520" s="1" t="s">
        <v>242</v>
      </c>
      <c r="J520" s="1" t="s">
        <v>229</v>
      </c>
      <c r="K520" s="1" t="s">
        <v>118</v>
      </c>
      <c r="L520" s="1" t="s">
        <v>97</v>
      </c>
      <c r="V520" s="20">
        <v>10479300</v>
      </c>
      <c r="Z520" s="20">
        <v>1112500</v>
      </c>
      <c r="AA520" s="20">
        <v>3208800</v>
      </c>
      <c r="AB520" s="20">
        <v>14800600</v>
      </c>
      <c r="AL520" s="20">
        <v>13751200</v>
      </c>
      <c r="AP520" s="20">
        <v>1557500</v>
      </c>
      <c r="AQ520" s="20">
        <v>3208800</v>
      </c>
      <c r="AR520" s="20">
        <v>18517500</v>
      </c>
      <c r="BB520" s="20">
        <v>6679700</v>
      </c>
      <c r="BF520" s="28">
        <v>2384100</v>
      </c>
      <c r="BG520" s="28">
        <v>3168000</v>
      </c>
      <c r="BH520" s="28">
        <v>12231800</v>
      </c>
      <c r="BI520" s="28">
        <v>45549900</v>
      </c>
    </row>
    <row r="521" spans="1:61" hidden="1" x14ac:dyDescent="0.3">
      <c r="A521" s="1" t="s">
        <v>739</v>
      </c>
      <c r="B521" s="1" t="s">
        <v>242</v>
      </c>
      <c r="C521" s="1" t="s">
        <v>243</v>
      </c>
      <c r="D521" s="1" t="s">
        <v>244</v>
      </c>
      <c r="E521" s="1" t="s">
        <v>243</v>
      </c>
      <c r="F521" s="1" t="s">
        <v>244</v>
      </c>
      <c r="G521" s="1" t="s">
        <v>1186</v>
      </c>
      <c r="H521" s="1" t="s">
        <v>1187</v>
      </c>
      <c r="I521" s="1" t="s">
        <v>242</v>
      </c>
      <c r="J521" s="1" t="s">
        <v>229</v>
      </c>
      <c r="K521" s="1" t="s">
        <v>118</v>
      </c>
      <c r="L521" s="1" t="s">
        <v>97</v>
      </c>
      <c r="V521" s="20">
        <v>5097600</v>
      </c>
      <c r="Z521" s="20">
        <v>1112500</v>
      </c>
      <c r="AA521" s="20">
        <v>3885600</v>
      </c>
      <c r="AB521" s="20">
        <v>10095700</v>
      </c>
      <c r="AL521" s="20">
        <v>6012000</v>
      </c>
      <c r="AP521" s="20">
        <v>1557500</v>
      </c>
      <c r="AQ521" s="20">
        <v>3314400</v>
      </c>
      <c r="AR521" s="20">
        <v>10883900</v>
      </c>
      <c r="BB521" s="20">
        <v>2739300</v>
      </c>
      <c r="BF521" s="28">
        <v>1112500</v>
      </c>
      <c r="BG521" s="28">
        <v>2400000</v>
      </c>
      <c r="BH521" s="28">
        <v>6251800</v>
      </c>
      <c r="BI521" s="28">
        <v>27231400</v>
      </c>
    </row>
    <row r="522" spans="1:61" hidden="1" x14ac:dyDescent="0.3">
      <c r="A522" s="1" t="s">
        <v>739</v>
      </c>
      <c r="B522" s="1" t="s">
        <v>242</v>
      </c>
      <c r="C522" s="1" t="s">
        <v>243</v>
      </c>
      <c r="D522" s="1" t="s">
        <v>244</v>
      </c>
      <c r="E522" s="1" t="s">
        <v>243</v>
      </c>
      <c r="F522" s="1" t="s">
        <v>244</v>
      </c>
      <c r="G522" s="1" t="s">
        <v>1188</v>
      </c>
      <c r="H522" s="1" t="s">
        <v>1189</v>
      </c>
      <c r="I522" s="1" t="s">
        <v>242</v>
      </c>
      <c r="J522" s="1" t="s">
        <v>229</v>
      </c>
      <c r="K522" s="1" t="s">
        <v>118</v>
      </c>
      <c r="L522" s="1" t="s">
        <v>97</v>
      </c>
      <c r="V522" s="20">
        <v>8132200</v>
      </c>
      <c r="Z522" s="20">
        <v>1112500</v>
      </c>
      <c r="AA522" s="20">
        <v>5224800</v>
      </c>
      <c r="AB522" s="20">
        <v>14469500</v>
      </c>
      <c r="AL522" s="20">
        <v>10598000</v>
      </c>
      <c r="AN522" s="20">
        <v>408000</v>
      </c>
      <c r="AP522" s="20">
        <v>1557500</v>
      </c>
      <c r="AQ522" s="20">
        <v>4024800</v>
      </c>
      <c r="AR522" s="20">
        <v>16588300</v>
      </c>
      <c r="BB522" s="20">
        <v>8786400</v>
      </c>
      <c r="BD522" s="28">
        <v>408000</v>
      </c>
      <c r="BF522" s="28">
        <v>1511100</v>
      </c>
      <c r="BG522" s="28">
        <v>4320000</v>
      </c>
      <c r="BH522" s="28">
        <v>15025500</v>
      </c>
      <c r="BI522" s="28">
        <v>46083300</v>
      </c>
    </row>
    <row r="523" spans="1:61" hidden="1" x14ac:dyDescent="0.3">
      <c r="A523" s="1" t="s">
        <v>739</v>
      </c>
      <c r="B523" s="1" t="s">
        <v>242</v>
      </c>
      <c r="C523" s="1" t="s">
        <v>243</v>
      </c>
      <c r="D523" s="1" t="s">
        <v>244</v>
      </c>
      <c r="E523" s="1" t="s">
        <v>243</v>
      </c>
      <c r="F523" s="1" t="s">
        <v>244</v>
      </c>
      <c r="G523" s="1" t="s">
        <v>1190</v>
      </c>
      <c r="H523" s="1" t="s">
        <v>1191</v>
      </c>
      <c r="I523" s="1" t="s">
        <v>242</v>
      </c>
      <c r="J523" s="1" t="s">
        <v>229</v>
      </c>
      <c r="K523" s="1" t="s">
        <v>118</v>
      </c>
      <c r="L523" s="1" t="s">
        <v>97</v>
      </c>
      <c r="V523" s="20">
        <v>21984000</v>
      </c>
      <c r="X523" s="20">
        <v>408000</v>
      </c>
      <c r="Z523" s="20">
        <v>3001900</v>
      </c>
      <c r="AA523" s="20">
        <v>19874400</v>
      </c>
      <c r="AB523" s="20">
        <v>45268300</v>
      </c>
      <c r="AL523" s="20">
        <v>29629200</v>
      </c>
      <c r="AN523" s="20">
        <v>1632000</v>
      </c>
      <c r="AP523" s="20">
        <v>3279100</v>
      </c>
      <c r="AQ523" s="20">
        <v>24538800</v>
      </c>
      <c r="AR523" s="20">
        <v>59079100</v>
      </c>
      <c r="BB523" s="20">
        <v>19548100</v>
      </c>
      <c r="BC523" s="20">
        <v>1795200</v>
      </c>
      <c r="BD523" s="28">
        <v>816000</v>
      </c>
      <c r="BF523" s="28">
        <v>3201000</v>
      </c>
      <c r="BG523" s="28">
        <v>25711200</v>
      </c>
      <c r="BH523" s="28">
        <v>51071500</v>
      </c>
      <c r="BI523" s="28">
        <v>155418900</v>
      </c>
    </row>
    <row r="524" spans="1:61" hidden="1" x14ac:dyDescent="0.3">
      <c r="A524" s="1" t="s">
        <v>739</v>
      </c>
      <c r="B524" s="1" t="s">
        <v>242</v>
      </c>
      <c r="C524" s="1" t="s">
        <v>243</v>
      </c>
      <c r="D524" s="1" t="s">
        <v>244</v>
      </c>
      <c r="E524" s="1" t="s">
        <v>243</v>
      </c>
      <c r="F524" s="1" t="s">
        <v>244</v>
      </c>
      <c r="G524" s="1" t="s">
        <v>1192</v>
      </c>
      <c r="H524" s="1" t="s">
        <v>1193</v>
      </c>
      <c r="I524" s="1" t="s">
        <v>242</v>
      </c>
      <c r="J524" s="1" t="s">
        <v>229</v>
      </c>
      <c r="K524" s="1" t="s">
        <v>118</v>
      </c>
      <c r="L524" s="1" t="s">
        <v>97</v>
      </c>
      <c r="V524" s="20">
        <v>12104700</v>
      </c>
      <c r="Z524" s="20">
        <v>8232500</v>
      </c>
      <c r="AA524" s="20">
        <v>14270400</v>
      </c>
      <c r="AB524" s="20">
        <v>34607600</v>
      </c>
      <c r="AL524" s="20">
        <v>23670600</v>
      </c>
      <c r="AM524" s="20">
        <v>448800</v>
      </c>
      <c r="AN524" s="20">
        <v>408000</v>
      </c>
      <c r="AP524" s="20">
        <v>7565000</v>
      </c>
      <c r="AQ524" s="20">
        <v>17184000</v>
      </c>
      <c r="AR524" s="20">
        <v>49276400</v>
      </c>
      <c r="BB524" s="20">
        <v>19485100</v>
      </c>
      <c r="BC524" s="20">
        <v>1346400</v>
      </c>
      <c r="BD524" s="28">
        <v>408000</v>
      </c>
      <c r="BF524" s="28">
        <v>12512200</v>
      </c>
      <c r="BG524" s="28">
        <v>11952000</v>
      </c>
      <c r="BH524" s="28">
        <v>45703700</v>
      </c>
      <c r="BI524" s="28">
        <v>129587700</v>
      </c>
    </row>
    <row r="525" spans="1:61" hidden="1" x14ac:dyDescent="0.3">
      <c r="A525" s="1" t="s">
        <v>739</v>
      </c>
      <c r="B525" s="1" t="s">
        <v>242</v>
      </c>
      <c r="C525" s="1" t="s">
        <v>243</v>
      </c>
      <c r="D525" s="1" t="s">
        <v>244</v>
      </c>
      <c r="E525" s="1" t="s">
        <v>243</v>
      </c>
      <c r="F525" s="1" t="s">
        <v>244</v>
      </c>
      <c r="G525" s="1" t="s">
        <v>1194</v>
      </c>
      <c r="H525" s="1" t="s">
        <v>1195</v>
      </c>
      <c r="I525" s="1" t="s">
        <v>242</v>
      </c>
      <c r="J525" s="1" t="s">
        <v>229</v>
      </c>
      <c r="K525" s="1" t="s">
        <v>118</v>
      </c>
      <c r="L525" s="1" t="s">
        <v>97</v>
      </c>
      <c r="V525" s="20">
        <v>5211000</v>
      </c>
      <c r="Z525" s="20">
        <v>1335000</v>
      </c>
      <c r="AA525" s="20">
        <v>2971200</v>
      </c>
      <c r="AB525" s="20">
        <v>9517200</v>
      </c>
      <c r="AL525" s="20">
        <v>9054400</v>
      </c>
      <c r="AP525" s="20">
        <v>890000</v>
      </c>
      <c r="AQ525" s="20">
        <v>5200800</v>
      </c>
      <c r="AR525" s="20">
        <v>15145200</v>
      </c>
      <c r="BB525" s="20">
        <v>6990400</v>
      </c>
      <c r="BF525" s="28">
        <v>1701900</v>
      </c>
      <c r="BG525" s="28">
        <v>3314400</v>
      </c>
      <c r="BH525" s="28">
        <v>12006700</v>
      </c>
      <c r="BI525" s="28">
        <v>36669100</v>
      </c>
    </row>
    <row r="526" spans="1:61" hidden="1" x14ac:dyDescent="0.3">
      <c r="A526" s="1" t="s">
        <v>739</v>
      </c>
      <c r="B526" s="1" t="s">
        <v>242</v>
      </c>
      <c r="C526" s="1" t="s">
        <v>243</v>
      </c>
      <c r="D526" s="1" t="s">
        <v>244</v>
      </c>
      <c r="E526" s="1" t="s">
        <v>243</v>
      </c>
      <c r="F526" s="1" t="s">
        <v>244</v>
      </c>
      <c r="G526" s="1" t="s">
        <v>1196</v>
      </c>
      <c r="H526" s="1" t="s">
        <v>1197</v>
      </c>
      <c r="I526" s="1" t="s">
        <v>242</v>
      </c>
      <c r="J526" s="1" t="s">
        <v>229</v>
      </c>
      <c r="K526" s="1" t="s">
        <v>118</v>
      </c>
      <c r="L526" s="1" t="s">
        <v>97</v>
      </c>
      <c r="V526" s="20">
        <v>11590500</v>
      </c>
      <c r="X526" s="20">
        <v>468000</v>
      </c>
      <c r="Z526" s="20">
        <v>1542800</v>
      </c>
      <c r="AA526" s="20">
        <v>7669200</v>
      </c>
      <c r="AB526" s="20">
        <v>21270500</v>
      </c>
      <c r="AL526" s="20">
        <v>10932600</v>
      </c>
      <c r="AM526" s="20">
        <v>268200</v>
      </c>
      <c r="AN526" s="20">
        <v>408000</v>
      </c>
      <c r="AP526" s="20">
        <v>1557500</v>
      </c>
      <c r="AQ526" s="20">
        <v>8304000</v>
      </c>
      <c r="AR526" s="20">
        <v>21470300</v>
      </c>
      <c r="BB526" s="20">
        <v>10664800</v>
      </c>
      <c r="BC526" s="20">
        <v>268200</v>
      </c>
      <c r="BD526" s="28">
        <v>408000</v>
      </c>
      <c r="BF526" s="28">
        <v>907000</v>
      </c>
      <c r="BG526" s="28">
        <v>6206400</v>
      </c>
      <c r="BH526" s="28">
        <v>18454400</v>
      </c>
      <c r="BI526" s="28">
        <v>61195200</v>
      </c>
    </row>
    <row r="527" spans="1:61" hidden="1" x14ac:dyDescent="0.3">
      <c r="A527" s="1" t="s">
        <v>739</v>
      </c>
      <c r="B527" s="1" t="s">
        <v>242</v>
      </c>
      <c r="C527" s="1" t="s">
        <v>243</v>
      </c>
      <c r="D527" s="1" t="s">
        <v>244</v>
      </c>
      <c r="E527" s="1" t="s">
        <v>243</v>
      </c>
      <c r="F527" s="1" t="s">
        <v>244</v>
      </c>
      <c r="G527" s="1" t="s">
        <v>1198</v>
      </c>
      <c r="H527" s="1" t="s">
        <v>1199</v>
      </c>
      <c r="I527" s="1" t="s">
        <v>242</v>
      </c>
      <c r="J527" s="1" t="s">
        <v>229</v>
      </c>
      <c r="K527" s="1" t="s">
        <v>118</v>
      </c>
      <c r="L527" s="1" t="s">
        <v>97</v>
      </c>
      <c r="V527" s="20">
        <v>5750400</v>
      </c>
      <c r="Z527" s="20">
        <v>890000</v>
      </c>
      <c r="AA527" s="20">
        <v>4344000</v>
      </c>
      <c r="AB527" s="20">
        <v>10984400</v>
      </c>
      <c r="AL527" s="20">
        <v>3811000</v>
      </c>
      <c r="AP527" s="20">
        <v>1557500</v>
      </c>
      <c r="AQ527" s="20">
        <v>3012000</v>
      </c>
      <c r="AR527" s="20">
        <v>8380500</v>
      </c>
      <c r="BB527" s="20">
        <v>6071200</v>
      </c>
      <c r="BF527" s="28">
        <v>890000</v>
      </c>
      <c r="BG527" s="28">
        <v>3266400</v>
      </c>
      <c r="BH527" s="28">
        <v>10227600</v>
      </c>
      <c r="BI527" s="28">
        <v>29592500</v>
      </c>
    </row>
    <row r="528" spans="1:61" hidden="1" x14ac:dyDescent="0.3">
      <c r="A528" s="1" t="s">
        <v>739</v>
      </c>
      <c r="B528" s="1" t="s">
        <v>242</v>
      </c>
      <c r="C528" s="1" t="s">
        <v>243</v>
      </c>
      <c r="D528" s="1" t="s">
        <v>244</v>
      </c>
      <c r="E528" s="1" t="s">
        <v>243</v>
      </c>
      <c r="F528" s="1" t="s">
        <v>244</v>
      </c>
      <c r="G528" s="1" t="s">
        <v>1200</v>
      </c>
      <c r="H528" s="1" t="s">
        <v>1201</v>
      </c>
      <c r="I528" s="1" t="s">
        <v>242</v>
      </c>
      <c r="J528" s="1" t="s">
        <v>229</v>
      </c>
      <c r="K528" s="1" t="s">
        <v>118</v>
      </c>
      <c r="L528" s="1" t="s">
        <v>97</v>
      </c>
      <c r="V528" s="20">
        <v>11914800</v>
      </c>
      <c r="X528" s="20">
        <v>408000</v>
      </c>
      <c r="Z528" s="20">
        <v>1335000</v>
      </c>
      <c r="AA528" s="20">
        <v>11001600</v>
      </c>
      <c r="AB528" s="20">
        <v>24659400</v>
      </c>
      <c r="AL528" s="20">
        <v>9560850</v>
      </c>
      <c r="AP528" s="20">
        <v>1335000</v>
      </c>
      <c r="AQ528" s="20">
        <v>10075200</v>
      </c>
      <c r="AR528" s="20">
        <v>20971050</v>
      </c>
      <c r="BB528" s="20">
        <v>15206500</v>
      </c>
      <c r="BC528" s="20">
        <v>897600</v>
      </c>
      <c r="BF528" s="28">
        <v>2814400</v>
      </c>
      <c r="BG528" s="28">
        <v>8892000</v>
      </c>
      <c r="BH528" s="28">
        <v>27810500</v>
      </c>
      <c r="BI528" s="28">
        <v>73440950</v>
      </c>
    </row>
    <row r="529" spans="1:61" hidden="1" x14ac:dyDescent="0.3">
      <c r="A529" s="1" t="s">
        <v>739</v>
      </c>
      <c r="B529" s="1" t="s">
        <v>242</v>
      </c>
      <c r="C529" s="1" t="s">
        <v>243</v>
      </c>
      <c r="D529" s="1" t="s">
        <v>244</v>
      </c>
      <c r="E529" s="1" t="s">
        <v>243</v>
      </c>
      <c r="F529" s="1" t="s">
        <v>244</v>
      </c>
      <c r="G529" s="1" t="s">
        <v>1202</v>
      </c>
      <c r="H529" s="1" t="s">
        <v>1203</v>
      </c>
      <c r="I529" s="1" t="s">
        <v>242</v>
      </c>
      <c r="J529" s="1" t="s">
        <v>229</v>
      </c>
      <c r="K529" s="1" t="s">
        <v>118</v>
      </c>
      <c r="L529" s="1" t="s">
        <v>97</v>
      </c>
      <c r="V529" s="20">
        <v>6095400</v>
      </c>
      <c r="Z529" s="20">
        <v>445000</v>
      </c>
      <c r="AA529" s="20">
        <v>4857600</v>
      </c>
      <c r="AB529" s="20">
        <v>11398000</v>
      </c>
      <c r="AL529" s="20">
        <v>6213900</v>
      </c>
      <c r="AP529" s="20">
        <v>1112500</v>
      </c>
      <c r="AQ529" s="20">
        <v>3715200</v>
      </c>
      <c r="AR529" s="20">
        <v>11041600</v>
      </c>
      <c r="BB529" s="20">
        <v>8399500</v>
      </c>
      <c r="BC529" s="20">
        <v>448800</v>
      </c>
      <c r="BF529" s="28">
        <v>1288600</v>
      </c>
      <c r="BG529" s="28">
        <v>2940000</v>
      </c>
      <c r="BH529" s="28">
        <v>13076900</v>
      </c>
      <c r="BI529" s="28">
        <v>35516500</v>
      </c>
    </row>
    <row r="530" spans="1:61" hidden="1" x14ac:dyDescent="0.3">
      <c r="A530" s="1" t="s">
        <v>739</v>
      </c>
      <c r="B530" s="1" t="s">
        <v>242</v>
      </c>
      <c r="C530" s="1" t="s">
        <v>243</v>
      </c>
      <c r="D530" s="1" t="s">
        <v>244</v>
      </c>
      <c r="E530" s="1" t="s">
        <v>243</v>
      </c>
      <c r="F530" s="1" t="s">
        <v>244</v>
      </c>
      <c r="G530" s="1" t="s">
        <v>1204</v>
      </c>
      <c r="H530" s="1" t="s">
        <v>1205</v>
      </c>
      <c r="I530" s="1" t="s">
        <v>242</v>
      </c>
      <c r="J530" s="1" t="s">
        <v>229</v>
      </c>
      <c r="K530" s="1" t="s">
        <v>118</v>
      </c>
      <c r="L530" s="1" t="s">
        <v>97</v>
      </c>
      <c r="V530" s="20">
        <v>9238200</v>
      </c>
      <c r="X530" s="20">
        <v>408000</v>
      </c>
      <c r="Z530" s="20">
        <v>3337500</v>
      </c>
      <c r="AA530" s="20">
        <v>10399200</v>
      </c>
      <c r="AB530" s="20">
        <v>23382900</v>
      </c>
      <c r="AL530" s="20">
        <v>11544950</v>
      </c>
      <c r="AN530" s="20">
        <v>408000</v>
      </c>
      <c r="AP530" s="20">
        <v>2670000</v>
      </c>
      <c r="AQ530" s="20">
        <v>9600000</v>
      </c>
      <c r="AR530" s="20">
        <v>24222950</v>
      </c>
      <c r="BB530" s="20">
        <v>13612000</v>
      </c>
      <c r="BC530" s="20">
        <v>897600</v>
      </c>
      <c r="BD530" s="28">
        <v>408000</v>
      </c>
      <c r="BF530" s="28">
        <v>1924400</v>
      </c>
      <c r="BG530" s="28">
        <v>10197600</v>
      </c>
      <c r="BH530" s="28">
        <v>27039600</v>
      </c>
      <c r="BI530" s="28">
        <v>74645450</v>
      </c>
    </row>
    <row r="531" spans="1:61" hidden="1" x14ac:dyDescent="0.3">
      <c r="A531" s="1" t="s">
        <v>739</v>
      </c>
      <c r="B531" s="1" t="s">
        <v>242</v>
      </c>
      <c r="C531" s="1" t="s">
        <v>243</v>
      </c>
      <c r="D531" s="1" t="s">
        <v>244</v>
      </c>
      <c r="E531" s="1" t="s">
        <v>243</v>
      </c>
      <c r="F531" s="1" t="s">
        <v>244</v>
      </c>
      <c r="G531" s="1" t="s">
        <v>1206</v>
      </c>
      <c r="H531" s="1" t="s">
        <v>1207</v>
      </c>
      <c r="I531" s="1" t="s">
        <v>242</v>
      </c>
      <c r="J531" s="1" t="s">
        <v>229</v>
      </c>
      <c r="K531" s="1" t="s">
        <v>118</v>
      </c>
      <c r="L531" s="1" t="s">
        <v>97</v>
      </c>
      <c r="V531" s="20">
        <v>10154100</v>
      </c>
      <c r="Z531" s="20">
        <v>222500</v>
      </c>
      <c r="AA531" s="20">
        <v>5599200</v>
      </c>
      <c r="AB531" s="20">
        <v>15975800</v>
      </c>
      <c r="AL531" s="20">
        <v>9217250</v>
      </c>
      <c r="AN531" s="20">
        <v>408000</v>
      </c>
      <c r="AP531" s="20">
        <v>667500</v>
      </c>
      <c r="AQ531" s="20">
        <v>4742400</v>
      </c>
      <c r="AR531" s="20">
        <v>15035150</v>
      </c>
      <c r="BB531" s="20">
        <v>9036100</v>
      </c>
      <c r="BF531" s="28">
        <v>635800</v>
      </c>
      <c r="BG531" s="28">
        <v>5738400</v>
      </c>
      <c r="BH531" s="28">
        <v>15410300</v>
      </c>
      <c r="BI531" s="28">
        <v>46421250</v>
      </c>
    </row>
    <row r="532" spans="1:61" hidden="1" x14ac:dyDescent="0.3">
      <c r="A532" s="1" t="s">
        <v>739</v>
      </c>
      <c r="B532" s="1" t="s">
        <v>242</v>
      </c>
      <c r="C532" s="1" t="s">
        <v>243</v>
      </c>
      <c r="D532" s="1" t="s">
        <v>244</v>
      </c>
      <c r="E532" s="1" t="s">
        <v>243</v>
      </c>
      <c r="F532" s="1" t="s">
        <v>244</v>
      </c>
      <c r="G532" s="1" t="s">
        <v>1208</v>
      </c>
      <c r="H532" s="1" t="s">
        <v>1209</v>
      </c>
      <c r="I532" s="1" t="s">
        <v>242</v>
      </c>
      <c r="J532" s="1" t="s">
        <v>229</v>
      </c>
      <c r="K532" s="1" t="s">
        <v>118</v>
      </c>
      <c r="L532" s="1" t="s">
        <v>97</v>
      </c>
      <c r="V532" s="20">
        <v>15292800</v>
      </c>
      <c r="Z532" s="20">
        <v>2892500</v>
      </c>
      <c r="AA532" s="20">
        <v>16204800</v>
      </c>
      <c r="AB532" s="20">
        <v>34390100</v>
      </c>
      <c r="AL532" s="20">
        <v>38146650</v>
      </c>
      <c r="AN532" s="20">
        <v>408000</v>
      </c>
      <c r="AP532" s="20">
        <v>3750800</v>
      </c>
      <c r="AQ532" s="20">
        <v>10286400</v>
      </c>
      <c r="AR532" s="20">
        <v>52591850</v>
      </c>
      <c r="BB532" s="20">
        <v>12658000</v>
      </c>
      <c r="BC532" s="20">
        <v>448800</v>
      </c>
      <c r="BD532" s="28">
        <v>1224000</v>
      </c>
      <c r="BF532" s="28">
        <v>3941600</v>
      </c>
      <c r="BG532" s="28">
        <v>14508000</v>
      </c>
      <c r="BH532" s="28">
        <v>32780400</v>
      </c>
      <c r="BI532" s="28">
        <v>119762350</v>
      </c>
    </row>
    <row r="533" spans="1:61" hidden="1" x14ac:dyDescent="0.3">
      <c r="A533" s="1" t="s">
        <v>739</v>
      </c>
      <c r="B533" s="1" t="s">
        <v>242</v>
      </c>
      <c r="C533" s="1" t="s">
        <v>243</v>
      </c>
      <c r="D533" s="1" t="s">
        <v>244</v>
      </c>
      <c r="E533" s="1" t="s">
        <v>243</v>
      </c>
      <c r="F533" s="1" t="s">
        <v>244</v>
      </c>
      <c r="G533" s="1" t="s">
        <v>1210</v>
      </c>
      <c r="H533" s="1" t="s">
        <v>1211</v>
      </c>
      <c r="I533" s="1" t="s">
        <v>242</v>
      </c>
      <c r="J533" s="1" t="s">
        <v>229</v>
      </c>
      <c r="K533" s="1" t="s">
        <v>118</v>
      </c>
      <c r="L533" s="1" t="s">
        <v>97</v>
      </c>
      <c r="V533" s="20">
        <v>6499200</v>
      </c>
      <c r="X533" s="20">
        <v>816000</v>
      </c>
      <c r="Z533" s="20">
        <v>1335000</v>
      </c>
      <c r="AA533" s="20">
        <v>6777600</v>
      </c>
      <c r="AB533" s="20">
        <v>15427800</v>
      </c>
      <c r="AL533" s="20">
        <v>5874150</v>
      </c>
      <c r="AP533" s="20">
        <v>1780000</v>
      </c>
      <c r="AQ533" s="20">
        <v>3921600</v>
      </c>
      <c r="AR533" s="20">
        <v>11575750</v>
      </c>
      <c r="BB533" s="20">
        <v>7286600</v>
      </c>
      <c r="BD533" s="28">
        <v>408000</v>
      </c>
      <c r="BF533" s="28">
        <v>1112500</v>
      </c>
      <c r="BG533" s="28">
        <v>4360800</v>
      </c>
      <c r="BH533" s="28">
        <v>13167900</v>
      </c>
      <c r="BI533" s="28">
        <v>40171450</v>
      </c>
    </row>
    <row r="534" spans="1:61" hidden="1" x14ac:dyDescent="0.3">
      <c r="A534" s="1" t="s">
        <v>739</v>
      </c>
      <c r="B534" s="1" t="s">
        <v>242</v>
      </c>
      <c r="C534" s="1" t="s">
        <v>243</v>
      </c>
      <c r="D534" s="1" t="s">
        <v>244</v>
      </c>
      <c r="E534" s="1" t="s">
        <v>243</v>
      </c>
      <c r="F534" s="1" t="s">
        <v>244</v>
      </c>
      <c r="G534" s="1" t="s">
        <v>1212</v>
      </c>
      <c r="H534" s="1" t="s">
        <v>1213</v>
      </c>
      <c r="I534" s="1" t="s">
        <v>242</v>
      </c>
      <c r="J534" s="1" t="s">
        <v>229</v>
      </c>
      <c r="K534" s="1" t="s">
        <v>118</v>
      </c>
      <c r="L534" s="1" t="s">
        <v>97</v>
      </c>
      <c r="V534" s="20">
        <v>23974500</v>
      </c>
      <c r="X534" s="20">
        <v>1224000</v>
      </c>
      <c r="Z534" s="20">
        <v>7121500</v>
      </c>
      <c r="AA534" s="20">
        <v>17776800</v>
      </c>
      <c r="AB534" s="20">
        <v>50096800</v>
      </c>
      <c r="AL534" s="20">
        <v>28788350</v>
      </c>
      <c r="AN534" s="20">
        <v>408000</v>
      </c>
      <c r="AP534" s="20">
        <v>5548400</v>
      </c>
      <c r="AQ534" s="20">
        <v>16245600</v>
      </c>
      <c r="AR534" s="20">
        <v>50990350</v>
      </c>
      <c r="BB534" s="20">
        <v>31474800</v>
      </c>
      <c r="BC534" s="20">
        <v>1346400</v>
      </c>
      <c r="BD534" s="28">
        <v>1224000</v>
      </c>
      <c r="BF534" s="28">
        <v>7408800</v>
      </c>
      <c r="BG534" s="28">
        <v>19507200</v>
      </c>
      <c r="BH534" s="28">
        <v>60961200</v>
      </c>
      <c r="BI534" s="28">
        <v>162048350</v>
      </c>
    </row>
    <row r="535" spans="1:61" hidden="1" x14ac:dyDescent="0.3">
      <c r="A535" s="1" t="s">
        <v>739</v>
      </c>
      <c r="B535" s="1" t="s">
        <v>242</v>
      </c>
      <c r="C535" s="1" t="s">
        <v>243</v>
      </c>
      <c r="D535" s="1" t="s">
        <v>244</v>
      </c>
      <c r="E535" s="1" t="s">
        <v>243</v>
      </c>
      <c r="F535" s="1" t="s">
        <v>244</v>
      </c>
      <c r="G535" s="1" t="s">
        <v>1214</v>
      </c>
      <c r="H535" s="1" t="s">
        <v>1215</v>
      </c>
      <c r="I535" s="1" t="s">
        <v>242</v>
      </c>
      <c r="J535" s="1" t="s">
        <v>229</v>
      </c>
      <c r="K535" s="1" t="s">
        <v>118</v>
      </c>
      <c r="L535" s="1" t="s">
        <v>97</v>
      </c>
      <c r="V535" s="20">
        <v>12495000</v>
      </c>
      <c r="X535" s="20">
        <v>816000</v>
      </c>
      <c r="Z535" s="20">
        <v>2447500</v>
      </c>
      <c r="AA535" s="20">
        <v>10646400</v>
      </c>
      <c r="AB535" s="20">
        <v>26404900</v>
      </c>
      <c r="AL535" s="20">
        <v>7524400</v>
      </c>
      <c r="AN535" s="20">
        <v>408000</v>
      </c>
      <c r="AP535" s="20">
        <v>1335000</v>
      </c>
      <c r="AQ535" s="20">
        <v>6417600</v>
      </c>
      <c r="AR535" s="20">
        <v>15685000</v>
      </c>
      <c r="BB535" s="20">
        <v>10506700</v>
      </c>
      <c r="BC535" s="20">
        <v>448800</v>
      </c>
      <c r="BF535" s="28">
        <v>2129900</v>
      </c>
      <c r="BG535" s="28">
        <v>8728800</v>
      </c>
      <c r="BH535" s="28">
        <v>21814200</v>
      </c>
      <c r="BI535" s="28">
        <v>63904100</v>
      </c>
    </row>
    <row r="536" spans="1:61" hidden="1" x14ac:dyDescent="0.3">
      <c r="A536" s="1" t="s">
        <v>739</v>
      </c>
      <c r="B536" s="1" t="s">
        <v>242</v>
      </c>
      <c r="C536" s="1" t="s">
        <v>243</v>
      </c>
      <c r="D536" s="1" t="s">
        <v>244</v>
      </c>
      <c r="E536" s="1" t="s">
        <v>243</v>
      </c>
      <c r="F536" s="1" t="s">
        <v>244</v>
      </c>
      <c r="G536" s="1" t="s">
        <v>1216</v>
      </c>
      <c r="H536" s="1" t="s">
        <v>1217</v>
      </c>
      <c r="I536" s="1" t="s">
        <v>242</v>
      </c>
      <c r="J536" s="1" t="s">
        <v>229</v>
      </c>
      <c r="K536" s="1" t="s">
        <v>118</v>
      </c>
      <c r="L536" s="1" t="s">
        <v>97</v>
      </c>
      <c r="V536" s="20">
        <v>7480800</v>
      </c>
      <c r="Z536" s="20">
        <v>1557500</v>
      </c>
      <c r="AA536" s="20">
        <v>4303200</v>
      </c>
      <c r="AB536" s="20">
        <v>13341500</v>
      </c>
      <c r="AL536" s="20">
        <v>9386500</v>
      </c>
      <c r="AP536" s="20">
        <v>4164100</v>
      </c>
      <c r="AQ536" s="20">
        <v>8803200</v>
      </c>
      <c r="AR536" s="20">
        <v>22353800</v>
      </c>
      <c r="BB536" s="20">
        <v>6409600</v>
      </c>
      <c r="BD536" s="28">
        <v>408000</v>
      </c>
      <c r="BF536" s="28">
        <v>2782700</v>
      </c>
      <c r="BG536" s="28">
        <v>7072800</v>
      </c>
      <c r="BH536" s="28">
        <v>16673100</v>
      </c>
      <c r="BI536" s="28">
        <v>52368400</v>
      </c>
    </row>
    <row r="537" spans="1:61" hidden="1" x14ac:dyDescent="0.3">
      <c r="A537" s="1" t="s">
        <v>739</v>
      </c>
      <c r="B537" s="1" t="s">
        <v>242</v>
      </c>
      <c r="C537" s="1" t="s">
        <v>243</v>
      </c>
      <c r="D537" s="1" t="s">
        <v>244</v>
      </c>
      <c r="E537" s="1" t="s">
        <v>243</v>
      </c>
      <c r="F537" s="1" t="s">
        <v>244</v>
      </c>
      <c r="G537" s="1" t="s">
        <v>1218</v>
      </c>
      <c r="H537" s="1" t="s">
        <v>1219</v>
      </c>
      <c r="I537" s="1" t="s">
        <v>242</v>
      </c>
      <c r="J537" s="1" t="s">
        <v>229</v>
      </c>
      <c r="K537" s="1" t="s">
        <v>118</v>
      </c>
      <c r="L537" s="1" t="s">
        <v>97</v>
      </c>
      <c r="V537" s="20">
        <v>1473600</v>
      </c>
      <c r="Z537" s="20">
        <v>1557500</v>
      </c>
      <c r="AA537" s="20">
        <v>2743200</v>
      </c>
      <c r="AB537" s="20">
        <v>5774300</v>
      </c>
      <c r="AL537" s="20">
        <v>5980900</v>
      </c>
      <c r="AP537" s="20">
        <v>1335000</v>
      </c>
      <c r="AQ537" s="20">
        <v>3372000</v>
      </c>
      <c r="AR537" s="20">
        <v>10687900</v>
      </c>
      <c r="BB537" s="20">
        <v>4085400</v>
      </c>
      <c r="BF537" s="28">
        <v>1557500</v>
      </c>
      <c r="BG537" s="28">
        <v>2400000</v>
      </c>
      <c r="BH537" s="28">
        <v>8042900</v>
      </c>
      <c r="BI537" s="28">
        <v>24505100</v>
      </c>
    </row>
    <row r="538" spans="1:61" hidden="1" x14ac:dyDescent="0.3">
      <c r="A538" s="1" t="s">
        <v>739</v>
      </c>
      <c r="B538" s="1" t="s">
        <v>242</v>
      </c>
      <c r="C538" s="1" t="s">
        <v>243</v>
      </c>
      <c r="D538" s="1" t="s">
        <v>244</v>
      </c>
      <c r="E538" s="1" t="s">
        <v>243</v>
      </c>
      <c r="F538" s="1" t="s">
        <v>244</v>
      </c>
      <c r="G538" s="1" t="s">
        <v>1220</v>
      </c>
      <c r="H538" s="1" t="s">
        <v>1221</v>
      </c>
      <c r="I538" s="1" t="s">
        <v>242</v>
      </c>
      <c r="J538" s="1" t="s">
        <v>229</v>
      </c>
      <c r="K538" s="1" t="s">
        <v>118</v>
      </c>
      <c r="L538" s="1" t="s">
        <v>97</v>
      </c>
      <c r="V538" s="20">
        <v>7693200</v>
      </c>
      <c r="X538" s="20">
        <v>408000</v>
      </c>
      <c r="Z538" s="20">
        <v>1112500</v>
      </c>
      <c r="AA538" s="20">
        <v>5486400</v>
      </c>
      <c r="AB538" s="20">
        <v>14700100</v>
      </c>
      <c r="AL538" s="20">
        <v>6257250</v>
      </c>
      <c r="AN538" s="20">
        <v>408000</v>
      </c>
      <c r="AP538" s="20">
        <v>2002500</v>
      </c>
      <c r="AQ538" s="20">
        <v>4629600</v>
      </c>
      <c r="AR538" s="20">
        <v>13297350</v>
      </c>
      <c r="BB538" s="20">
        <v>8012500</v>
      </c>
      <c r="BD538" s="28">
        <v>408000</v>
      </c>
      <c r="BF538" s="28">
        <v>3259400</v>
      </c>
      <c r="BG538" s="28">
        <v>5853600</v>
      </c>
      <c r="BH538" s="28">
        <v>17533500</v>
      </c>
      <c r="BI538" s="28">
        <v>45530950</v>
      </c>
    </row>
    <row r="539" spans="1:61" hidden="1" x14ac:dyDescent="0.3">
      <c r="A539" s="1" t="s">
        <v>739</v>
      </c>
      <c r="B539" s="1" t="s">
        <v>242</v>
      </c>
      <c r="C539" s="1" t="s">
        <v>243</v>
      </c>
      <c r="D539" s="1" t="s">
        <v>244</v>
      </c>
      <c r="E539" s="1" t="s">
        <v>243</v>
      </c>
      <c r="F539" s="1" t="s">
        <v>244</v>
      </c>
      <c r="G539" s="1" t="s">
        <v>1222</v>
      </c>
      <c r="H539" s="1" t="s">
        <v>1223</v>
      </c>
      <c r="I539" s="1" t="s">
        <v>242</v>
      </c>
      <c r="J539" s="1" t="s">
        <v>229</v>
      </c>
      <c r="K539" s="1" t="s">
        <v>118</v>
      </c>
      <c r="L539" s="1" t="s">
        <v>97</v>
      </c>
      <c r="V539" s="20">
        <v>2118300</v>
      </c>
      <c r="AA539" s="20">
        <v>2114400</v>
      </c>
      <c r="AB539" s="20">
        <v>4232700</v>
      </c>
      <c r="AL539" s="20">
        <v>4155300</v>
      </c>
      <c r="AN539" s="20">
        <v>408000</v>
      </c>
      <c r="AR539" s="20">
        <v>4563300</v>
      </c>
      <c r="BG539" s="28">
        <v>1200000</v>
      </c>
      <c r="BH539" s="28">
        <v>1200000</v>
      </c>
      <c r="BI539" s="28">
        <v>9996000</v>
      </c>
    </row>
    <row r="540" spans="1:61" hidden="1" x14ac:dyDescent="0.3">
      <c r="A540" s="1" t="s">
        <v>739</v>
      </c>
      <c r="B540" s="1" t="s">
        <v>242</v>
      </c>
      <c r="C540" s="1" t="s">
        <v>243</v>
      </c>
      <c r="D540" s="1" t="s">
        <v>244</v>
      </c>
      <c r="E540" s="1" t="s">
        <v>243</v>
      </c>
      <c r="F540" s="1" t="s">
        <v>244</v>
      </c>
      <c r="G540" s="1" t="s">
        <v>1224</v>
      </c>
      <c r="H540" s="1" t="s">
        <v>1225</v>
      </c>
      <c r="I540" s="1" t="s">
        <v>242</v>
      </c>
      <c r="J540" s="1" t="s">
        <v>229</v>
      </c>
      <c r="K540" s="1" t="s">
        <v>118</v>
      </c>
      <c r="L540" s="1" t="s">
        <v>97</v>
      </c>
      <c r="V540" s="20">
        <v>6684000</v>
      </c>
      <c r="X540" s="20">
        <v>408000</v>
      </c>
      <c r="Z540" s="20">
        <v>667500</v>
      </c>
      <c r="AA540" s="20">
        <v>6777600</v>
      </c>
      <c r="AB540" s="20">
        <v>14537100</v>
      </c>
      <c r="AL540" s="20">
        <v>15236250</v>
      </c>
      <c r="AN540" s="20">
        <v>816000</v>
      </c>
      <c r="AP540" s="20">
        <v>890000</v>
      </c>
      <c r="AQ540" s="20">
        <v>8688000</v>
      </c>
      <c r="AR540" s="20">
        <v>25630250</v>
      </c>
      <c r="BB540" s="20">
        <v>14502000</v>
      </c>
      <c r="BD540" s="28">
        <v>1632000</v>
      </c>
      <c r="BF540" s="28">
        <v>1780000</v>
      </c>
      <c r="BG540" s="28">
        <v>6513600</v>
      </c>
      <c r="BH540" s="28">
        <v>24427600</v>
      </c>
      <c r="BI540" s="28">
        <v>64594950</v>
      </c>
    </row>
    <row r="541" spans="1:61" hidden="1" x14ac:dyDescent="0.3">
      <c r="A541" s="1" t="s">
        <v>739</v>
      </c>
      <c r="B541" s="1" t="s">
        <v>242</v>
      </c>
      <c r="C541" s="1" t="s">
        <v>243</v>
      </c>
      <c r="D541" s="1" t="s">
        <v>244</v>
      </c>
      <c r="E541" s="1" t="s">
        <v>243</v>
      </c>
      <c r="F541" s="1" t="s">
        <v>244</v>
      </c>
      <c r="G541" s="1" t="s">
        <v>1226</v>
      </c>
      <c r="H541" s="1" t="s">
        <v>1227</v>
      </c>
      <c r="I541" s="1" t="s">
        <v>242</v>
      </c>
      <c r="J541" s="1" t="s">
        <v>229</v>
      </c>
      <c r="K541" s="1" t="s">
        <v>118</v>
      </c>
      <c r="L541" s="1" t="s">
        <v>97</v>
      </c>
      <c r="V541" s="20">
        <v>6695400</v>
      </c>
      <c r="Z541" s="20">
        <v>667500</v>
      </c>
      <c r="AA541" s="20">
        <v>4286400</v>
      </c>
      <c r="AB541" s="20">
        <v>11649300</v>
      </c>
      <c r="AL541" s="20">
        <v>4959600</v>
      </c>
      <c r="AP541" s="20">
        <v>1112500</v>
      </c>
      <c r="AQ541" s="20">
        <v>4857600</v>
      </c>
      <c r="AR541" s="20">
        <v>10929700</v>
      </c>
      <c r="BB541" s="20">
        <v>4330800</v>
      </c>
      <c r="BF541" s="28">
        <v>1112500</v>
      </c>
      <c r="BG541" s="28">
        <v>3657600</v>
      </c>
      <c r="BH541" s="28">
        <v>9100900</v>
      </c>
      <c r="BI541" s="28">
        <v>31679900</v>
      </c>
    </row>
    <row r="542" spans="1:61" hidden="1" x14ac:dyDescent="0.3">
      <c r="A542" s="1" t="s">
        <v>739</v>
      </c>
      <c r="B542" s="1" t="s">
        <v>242</v>
      </c>
      <c r="C542" s="1" t="s">
        <v>243</v>
      </c>
      <c r="D542" s="1" t="s">
        <v>244</v>
      </c>
      <c r="E542" s="1" t="s">
        <v>243</v>
      </c>
      <c r="F542" s="1" t="s">
        <v>244</v>
      </c>
      <c r="G542" s="1" t="s">
        <v>1228</v>
      </c>
      <c r="H542" s="1" t="s">
        <v>1229</v>
      </c>
      <c r="I542" s="1" t="s">
        <v>242</v>
      </c>
      <c r="J542" s="1" t="s">
        <v>229</v>
      </c>
      <c r="K542" s="1" t="s">
        <v>118</v>
      </c>
      <c r="L542" s="1" t="s">
        <v>97</v>
      </c>
      <c r="V542" s="20">
        <v>11658000</v>
      </c>
      <c r="Z542" s="20">
        <v>2002500</v>
      </c>
      <c r="AA542" s="20">
        <v>4514400</v>
      </c>
      <c r="AB542" s="20">
        <v>18174900</v>
      </c>
      <c r="AL542" s="20">
        <v>7444500</v>
      </c>
      <c r="AP542" s="20">
        <v>2225000</v>
      </c>
      <c r="AQ542" s="20">
        <v>4972800</v>
      </c>
      <c r="AR542" s="20">
        <v>14642300</v>
      </c>
      <c r="BB542" s="20">
        <v>4583400</v>
      </c>
      <c r="BF542" s="28">
        <v>2129900</v>
      </c>
      <c r="BG542" s="28">
        <v>3657600</v>
      </c>
      <c r="BH542" s="28">
        <v>10370900</v>
      </c>
      <c r="BI542" s="28">
        <v>43188100</v>
      </c>
    </row>
    <row r="543" spans="1:61" hidden="1" x14ac:dyDescent="0.3">
      <c r="A543" s="1" t="s">
        <v>739</v>
      </c>
      <c r="B543" s="1" t="s">
        <v>242</v>
      </c>
      <c r="C543" s="1" t="s">
        <v>243</v>
      </c>
      <c r="D543" s="1" t="s">
        <v>244</v>
      </c>
      <c r="E543" s="1" t="s">
        <v>243</v>
      </c>
      <c r="F543" s="1" t="s">
        <v>244</v>
      </c>
      <c r="G543" s="1" t="s">
        <v>1230</v>
      </c>
      <c r="H543" s="1" t="s">
        <v>1231</v>
      </c>
      <c r="I543" s="1" t="s">
        <v>242</v>
      </c>
      <c r="J543" s="1" t="s">
        <v>229</v>
      </c>
      <c r="K543" s="1" t="s">
        <v>118</v>
      </c>
      <c r="L543" s="1" t="s">
        <v>97</v>
      </c>
      <c r="V543" s="20">
        <v>10569600</v>
      </c>
      <c r="X543" s="20">
        <v>408000</v>
      </c>
      <c r="Z543" s="20">
        <v>3115000</v>
      </c>
      <c r="AA543" s="20">
        <v>11594400</v>
      </c>
      <c r="AB543" s="20">
        <v>25687000</v>
      </c>
      <c r="AL543" s="20">
        <v>17611250</v>
      </c>
      <c r="AP543" s="20">
        <v>2225000</v>
      </c>
      <c r="AQ543" s="20">
        <v>8198400</v>
      </c>
      <c r="AR543" s="20">
        <v>28034650</v>
      </c>
      <c r="BB543" s="20">
        <v>8807900</v>
      </c>
      <c r="BC543" s="20">
        <v>897600</v>
      </c>
      <c r="BF543" s="28">
        <v>4912000</v>
      </c>
      <c r="BG543" s="28">
        <v>16015200</v>
      </c>
      <c r="BH543" s="28">
        <v>30632700</v>
      </c>
      <c r="BI543" s="28">
        <v>84354350</v>
      </c>
    </row>
    <row r="544" spans="1:61" hidden="1" x14ac:dyDescent="0.3">
      <c r="A544" s="1" t="s">
        <v>739</v>
      </c>
      <c r="B544" s="1" t="s">
        <v>242</v>
      </c>
      <c r="C544" s="1" t="s">
        <v>243</v>
      </c>
      <c r="D544" s="1" t="s">
        <v>244</v>
      </c>
      <c r="E544" s="1" t="s">
        <v>243</v>
      </c>
      <c r="F544" s="1" t="s">
        <v>244</v>
      </c>
      <c r="G544" s="1" t="s">
        <v>1232</v>
      </c>
      <c r="H544" s="1" t="s">
        <v>1233</v>
      </c>
      <c r="I544" s="1" t="s">
        <v>242</v>
      </c>
      <c r="J544" s="1" t="s">
        <v>229</v>
      </c>
      <c r="K544" s="1" t="s">
        <v>118</v>
      </c>
      <c r="L544" s="1" t="s">
        <v>97</v>
      </c>
      <c r="V544" s="20">
        <v>9672600</v>
      </c>
      <c r="Z544" s="20">
        <v>667500</v>
      </c>
      <c r="AA544" s="20">
        <v>1502400</v>
      </c>
      <c r="AB544" s="20">
        <v>11842500</v>
      </c>
      <c r="AL544" s="20">
        <v>8231750</v>
      </c>
      <c r="AP544" s="20">
        <v>1112500</v>
      </c>
      <c r="AQ544" s="20">
        <v>4401600</v>
      </c>
      <c r="AR544" s="20">
        <v>13745850</v>
      </c>
      <c r="BB544" s="20">
        <v>3224800</v>
      </c>
      <c r="BF544" s="28">
        <v>1112500</v>
      </c>
      <c r="BG544" s="28">
        <v>2284800</v>
      </c>
      <c r="BH544" s="28">
        <v>6622100</v>
      </c>
      <c r="BI544" s="28">
        <v>32210450</v>
      </c>
    </row>
    <row r="545" spans="1:61" hidden="1" x14ac:dyDescent="0.3">
      <c r="A545" s="1" t="s">
        <v>739</v>
      </c>
      <c r="B545" s="1" t="s">
        <v>242</v>
      </c>
      <c r="C545" s="1" t="s">
        <v>243</v>
      </c>
      <c r="D545" s="1" t="s">
        <v>244</v>
      </c>
      <c r="E545" s="1" t="s">
        <v>243</v>
      </c>
      <c r="F545" s="1" t="s">
        <v>244</v>
      </c>
      <c r="G545" s="1" t="s">
        <v>1234</v>
      </c>
      <c r="H545" s="1" t="s">
        <v>1235</v>
      </c>
      <c r="I545" s="1" t="s">
        <v>242</v>
      </c>
      <c r="J545" s="1" t="s">
        <v>229</v>
      </c>
      <c r="K545" s="1" t="s">
        <v>118</v>
      </c>
      <c r="L545" s="1" t="s">
        <v>97</v>
      </c>
      <c r="V545" s="20">
        <v>17103900</v>
      </c>
      <c r="Z545" s="20">
        <v>3560000</v>
      </c>
      <c r="AA545" s="20">
        <v>11512800</v>
      </c>
      <c r="AB545" s="20">
        <v>32176700</v>
      </c>
      <c r="AL545" s="20">
        <v>18599550</v>
      </c>
      <c r="AN545" s="20">
        <v>1224000</v>
      </c>
      <c r="AP545" s="20">
        <v>3115000</v>
      </c>
      <c r="AQ545" s="20">
        <v>11666400</v>
      </c>
      <c r="AR545" s="20">
        <v>34604950</v>
      </c>
      <c r="BB545" s="20">
        <v>12004900</v>
      </c>
      <c r="BD545" s="28">
        <v>408000</v>
      </c>
      <c r="BF545" s="28">
        <v>4244500</v>
      </c>
      <c r="BG545" s="28">
        <v>10958400</v>
      </c>
      <c r="BH545" s="28">
        <v>27615800</v>
      </c>
      <c r="BI545" s="28">
        <v>94397450</v>
      </c>
    </row>
    <row r="546" spans="1:61" hidden="1" x14ac:dyDescent="0.3">
      <c r="A546" s="1" t="s">
        <v>739</v>
      </c>
      <c r="B546" s="1" t="s">
        <v>242</v>
      </c>
      <c r="C546" s="1" t="s">
        <v>243</v>
      </c>
      <c r="D546" s="1" t="s">
        <v>244</v>
      </c>
      <c r="E546" s="1" t="s">
        <v>243</v>
      </c>
      <c r="F546" s="1" t="s">
        <v>244</v>
      </c>
      <c r="G546" s="1" t="s">
        <v>1236</v>
      </c>
      <c r="H546" s="1" t="s">
        <v>1237</v>
      </c>
      <c r="I546" s="1" t="s">
        <v>242</v>
      </c>
      <c r="J546" s="1" t="s">
        <v>229</v>
      </c>
      <c r="K546" s="1" t="s">
        <v>118</v>
      </c>
      <c r="L546" s="1" t="s">
        <v>97</v>
      </c>
      <c r="V546" s="20">
        <v>31024200</v>
      </c>
      <c r="Z546" s="20">
        <v>2002500</v>
      </c>
      <c r="AA546" s="20">
        <v>8474400</v>
      </c>
      <c r="AB546" s="20">
        <v>41501100</v>
      </c>
      <c r="AL546" s="20">
        <v>42442950</v>
      </c>
      <c r="AM546" s="20">
        <v>448800</v>
      </c>
      <c r="AN546" s="20">
        <v>408000</v>
      </c>
      <c r="AP546" s="20">
        <v>1335000</v>
      </c>
      <c r="AQ546" s="20">
        <v>15561600</v>
      </c>
      <c r="AR546" s="20">
        <v>60196350</v>
      </c>
      <c r="BB546" s="20">
        <v>24348600</v>
      </c>
      <c r="BF546" s="28">
        <v>2464500</v>
      </c>
      <c r="BG546" s="28">
        <v>11541600</v>
      </c>
      <c r="BH546" s="28">
        <v>38354700</v>
      </c>
      <c r="BI546" s="28">
        <v>140052150</v>
      </c>
    </row>
    <row r="547" spans="1:61" hidden="1" x14ac:dyDescent="0.3">
      <c r="A547" s="1" t="s">
        <v>739</v>
      </c>
      <c r="B547" s="1" t="s">
        <v>242</v>
      </c>
      <c r="C547" s="1" t="s">
        <v>243</v>
      </c>
      <c r="D547" s="1" t="s">
        <v>244</v>
      </c>
      <c r="E547" s="1" t="s">
        <v>243</v>
      </c>
      <c r="F547" s="1" t="s">
        <v>244</v>
      </c>
      <c r="G547" s="1" t="s">
        <v>1238</v>
      </c>
      <c r="H547" s="1" t="s">
        <v>1239</v>
      </c>
      <c r="I547" s="1" t="s">
        <v>242</v>
      </c>
      <c r="J547" s="1" t="s">
        <v>229</v>
      </c>
      <c r="K547" s="1" t="s">
        <v>118</v>
      </c>
      <c r="L547" s="1" t="s">
        <v>97</v>
      </c>
      <c r="V547" s="20">
        <v>14289000</v>
      </c>
      <c r="X547" s="20">
        <v>1224000</v>
      </c>
      <c r="Z547" s="20">
        <v>4706500</v>
      </c>
      <c r="AA547" s="20">
        <v>9944400</v>
      </c>
      <c r="AB547" s="20">
        <v>30163900</v>
      </c>
      <c r="AL547" s="20">
        <v>18115300</v>
      </c>
      <c r="AM547" s="20">
        <v>448800</v>
      </c>
      <c r="AN547" s="20">
        <v>1632000</v>
      </c>
      <c r="AP547" s="20">
        <v>5134500</v>
      </c>
      <c r="AQ547" s="20">
        <v>13612800</v>
      </c>
      <c r="AR547" s="20">
        <v>38943400</v>
      </c>
      <c r="BB547" s="20">
        <v>16718500</v>
      </c>
      <c r="BC547" s="20">
        <v>2692800</v>
      </c>
      <c r="BD547" s="28">
        <v>816000</v>
      </c>
      <c r="BF547" s="28">
        <v>5278900</v>
      </c>
      <c r="BG547" s="28">
        <v>10998000</v>
      </c>
      <c r="BH547" s="28">
        <v>36504200</v>
      </c>
      <c r="BI547" s="28">
        <v>105611500</v>
      </c>
    </row>
    <row r="548" spans="1:61" hidden="1" x14ac:dyDescent="0.3">
      <c r="A548" s="1" t="s">
        <v>739</v>
      </c>
      <c r="B548" s="1" t="s">
        <v>242</v>
      </c>
      <c r="C548" s="1" t="s">
        <v>243</v>
      </c>
      <c r="D548" s="1" t="s">
        <v>244</v>
      </c>
      <c r="E548" s="1" t="s">
        <v>243</v>
      </c>
      <c r="F548" s="1" t="s">
        <v>244</v>
      </c>
      <c r="G548" s="1" t="s">
        <v>1240</v>
      </c>
      <c r="H548" s="1" t="s">
        <v>1241</v>
      </c>
      <c r="I548" s="1" t="s">
        <v>242</v>
      </c>
      <c r="J548" s="1" t="s">
        <v>229</v>
      </c>
      <c r="K548" s="1" t="s">
        <v>118</v>
      </c>
      <c r="L548" s="1" t="s">
        <v>97</v>
      </c>
      <c r="V548" s="20">
        <v>4104600</v>
      </c>
      <c r="Z548" s="20">
        <v>2002500</v>
      </c>
      <c r="AA548" s="20">
        <v>3828000</v>
      </c>
      <c r="AB548" s="20">
        <v>9935100</v>
      </c>
      <c r="AL548" s="20">
        <v>4190850</v>
      </c>
      <c r="AP548" s="20">
        <v>2002500</v>
      </c>
      <c r="AQ548" s="20">
        <v>7236000</v>
      </c>
      <c r="AR548" s="20">
        <v>13429350</v>
      </c>
      <c r="BB548" s="20">
        <v>4401400</v>
      </c>
      <c r="BC548" s="20">
        <v>1346400</v>
      </c>
      <c r="BF548" s="28">
        <v>3926900</v>
      </c>
      <c r="BG548" s="28">
        <v>4425600</v>
      </c>
      <c r="BH548" s="28">
        <v>14100300</v>
      </c>
      <c r="BI548" s="28">
        <v>37464750</v>
      </c>
    </row>
    <row r="549" spans="1:61" hidden="1" x14ac:dyDescent="0.3">
      <c r="A549" s="1" t="s">
        <v>739</v>
      </c>
      <c r="B549" s="1" t="s">
        <v>242</v>
      </c>
      <c r="C549" s="1" t="s">
        <v>243</v>
      </c>
      <c r="D549" s="1" t="s">
        <v>244</v>
      </c>
      <c r="E549" s="1" t="s">
        <v>243</v>
      </c>
      <c r="F549" s="1" t="s">
        <v>244</v>
      </c>
      <c r="G549" s="1" t="s">
        <v>1242</v>
      </c>
      <c r="H549" s="1" t="s">
        <v>1243</v>
      </c>
      <c r="I549" s="1" t="s">
        <v>242</v>
      </c>
      <c r="J549" s="1" t="s">
        <v>229</v>
      </c>
      <c r="K549" s="1" t="s">
        <v>118</v>
      </c>
      <c r="L549" s="1" t="s">
        <v>97</v>
      </c>
      <c r="V549" s="20">
        <v>5933400</v>
      </c>
      <c r="X549" s="20">
        <v>408000</v>
      </c>
      <c r="Z549" s="20">
        <v>1335000</v>
      </c>
      <c r="AA549" s="20">
        <v>4113600</v>
      </c>
      <c r="AB549" s="20">
        <v>11790000</v>
      </c>
      <c r="AL549" s="20">
        <v>10454700</v>
      </c>
      <c r="AN549" s="20">
        <v>408000</v>
      </c>
      <c r="AP549" s="20">
        <v>1716600</v>
      </c>
      <c r="AQ549" s="20">
        <v>5047200</v>
      </c>
      <c r="AR549" s="20">
        <v>17626500</v>
      </c>
      <c r="BB549" s="20">
        <v>3933900</v>
      </c>
      <c r="BD549" s="28">
        <v>408000</v>
      </c>
      <c r="BF549" s="28">
        <v>2814400</v>
      </c>
      <c r="BG549" s="28">
        <v>4034400</v>
      </c>
      <c r="BH549" s="28">
        <v>11190700</v>
      </c>
      <c r="BI549" s="28">
        <v>40607200</v>
      </c>
    </row>
    <row r="550" spans="1:61" hidden="1" x14ac:dyDescent="0.3">
      <c r="A550" s="1" t="s">
        <v>739</v>
      </c>
      <c r="B550" s="1" t="s">
        <v>242</v>
      </c>
      <c r="C550" s="1" t="s">
        <v>243</v>
      </c>
      <c r="D550" s="1" t="s">
        <v>244</v>
      </c>
      <c r="E550" s="1" t="s">
        <v>243</v>
      </c>
      <c r="F550" s="1" t="s">
        <v>244</v>
      </c>
      <c r="G550" s="1" t="s">
        <v>1244</v>
      </c>
      <c r="H550" s="1" t="s">
        <v>1245</v>
      </c>
      <c r="I550" s="1" t="s">
        <v>242</v>
      </c>
      <c r="J550" s="1" t="s">
        <v>229</v>
      </c>
      <c r="K550" s="1" t="s">
        <v>118</v>
      </c>
      <c r="L550" s="1" t="s">
        <v>97</v>
      </c>
      <c r="V550" s="20">
        <v>6232500</v>
      </c>
      <c r="Z550" s="20">
        <v>1335000</v>
      </c>
      <c r="AA550" s="20">
        <v>3028800</v>
      </c>
      <c r="AB550" s="20">
        <v>10596300</v>
      </c>
      <c r="AL550" s="20">
        <v>9343850</v>
      </c>
      <c r="AP550" s="20">
        <v>1557500</v>
      </c>
      <c r="AQ550" s="20">
        <v>4800000</v>
      </c>
      <c r="AR550" s="20">
        <v>15701350</v>
      </c>
      <c r="BB550" s="20">
        <v>7054600</v>
      </c>
      <c r="BC550" s="20">
        <v>1346400</v>
      </c>
      <c r="BF550" s="28">
        <v>1511100</v>
      </c>
      <c r="BG550" s="28">
        <v>3912000</v>
      </c>
      <c r="BH550" s="28">
        <v>13824100</v>
      </c>
      <c r="BI550" s="28">
        <v>40121750</v>
      </c>
    </row>
    <row r="551" spans="1:61" hidden="1" x14ac:dyDescent="0.3">
      <c r="A551" s="1" t="s">
        <v>739</v>
      </c>
      <c r="B551" s="1" t="s">
        <v>242</v>
      </c>
      <c r="C551" s="1" t="s">
        <v>243</v>
      </c>
      <c r="D551" s="1" t="s">
        <v>244</v>
      </c>
      <c r="E551" s="1" t="s">
        <v>243</v>
      </c>
      <c r="F551" s="1" t="s">
        <v>244</v>
      </c>
      <c r="G551" s="1" t="s">
        <v>1246</v>
      </c>
      <c r="H551" s="1" t="s">
        <v>1247</v>
      </c>
      <c r="I551" s="1" t="s">
        <v>242</v>
      </c>
      <c r="J551" s="1" t="s">
        <v>229</v>
      </c>
      <c r="K551" s="1" t="s">
        <v>118</v>
      </c>
      <c r="L551" s="1" t="s">
        <v>97</v>
      </c>
      <c r="V551" s="20">
        <v>2889600</v>
      </c>
      <c r="Z551" s="20">
        <v>445000</v>
      </c>
      <c r="AA551" s="20">
        <v>2400000</v>
      </c>
      <c r="AB551" s="20">
        <v>5734600</v>
      </c>
      <c r="AL551" s="20">
        <v>4512450</v>
      </c>
      <c r="AP551" s="20">
        <v>667500</v>
      </c>
      <c r="AQ551" s="20">
        <v>2743200</v>
      </c>
      <c r="AR551" s="20">
        <v>7923150</v>
      </c>
      <c r="BB551" s="20">
        <v>3735000</v>
      </c>
      <c r="BF551" s="28">
        <v>1049100</v>
      </c>
      <c r="BG551" s="28">
        <v>1142400</v>
      </c>
      <c r="BH551" s="28">
        <v>5926500</v>
      </c>
      <c r="BI551" s="28">
        <v>19584250</v>
      </c>
    </row>
    <row r="552" spans="1:61" hidden="1" x14ac:dyDescent="0.3">
      <c r="A552" s="1" t="s">
        <v>739</v>
      </c>
      <c r="B552" s="1" t="s">
        <v>242</v>
      </c>
      <c r="C552" s="1" t="s">
        <v>243</v>
      </c>
      <c r="D552" s="1" t="s">
        <v>244</v>
      </c>
      <c r="E552" s="1" t="s">
        <v>243</v>
      </c>
      <c r="F552" s="1" t="s">
        <v>244</v>
      </c>
      <c r="G552" s="1" t="s">
        <v>1248</v>
      </c>
      <c r="H552" s="1" t="s">
        <v>1249</v>
      </c>
      <c r="I552" s="1" t="s">
        <v>242</v>
      </c>
      <c r="J552" s="1" t="s">
        <v>229</v>
      </c>
      <c r="K552" s="1" t="s">
        <v>118</v>
      </c>
      <c r="L552" s="1" t="s">
        <v>97</v>
      </c>
      <c r="V552" s="20">
        <v>8166000</v>
      </c>
      <c r="X552" s="20">
        <v>408000</v>
      </c>
      <c r="Z552" s="20">
        <v>1112500</v>
      </c>
      <c r="AA552" s="20">
        <v>3600000</v>
      </c>
      <c r="AB552" s="20">
        <v>13286500</v>
      </c>
      <c r="AL552" s="20">
        <v>5139300</v>
      </c>
      <c r="AP552" s="20">
        <v>445000</v>
      </c>
      <c r="AQ552" s="20">
        <v>3715200</v>
      </c>
      <c r="AR552" s="20">
        <v>9299500</v>
      </c>
      <c r="BB552" s="20">
        <v>6642400</v>
      </c>
      <c r="BD552" s="28">
        <v>408000</v>
      </c>
      <c r="BF552" s="28">
        <v>1112500</v>
      </c>
      <c r="BG552" s="28">
        <v>3372000</v>
      </c>
      <c r="BH552" s="28">
        <v>11534900</v>
      </c>
      <c r="BI552" s="28">
        <v>34120900</v>
      </c>
    </row>
    <row r="553" spans="1:61" hidden="1" x14ac:dyDescent="0.3">
      <c r="A553" s="1" t="s">
        <v>739</v>
      </c>
      <c r="B553" s="1" t="s">
        <v>242</v>
      </c>
      <c r="C553" s="1" t="s">
        <v>243</v>
      </c>
      <c r="D553" s="1" t="s">
        <v>244</v>
      </c>
      <c r="E553" s="1" t="s">
        <v>243</v>
      </c>
      <c r="F553" s="1" t="s">
        <v>244</v>
      </c>
      <c r="G553" s="1" t="s">
        <v>1250</v>
      </c>
      <c r="H553" s="1" t="s">
        <v>1251</v>
      </c>
      <c r="I553" s="1" t="s">
        <v>242</v>
      </c>
      <c r="J553" s="1" t="s">
        <v>229</v>
      </c>
      <c r="K553" s="1" t="s">
        <v>118</v>
      </c>
      <c r="L553" s="1" t="s">
        <v>97</v>
      </c>
      <c r="V553" s="20">
        <v>13629600</v>
      </c>
      <c r="X553" s="20">
        <v>816000</v>
      </c>
      <c r="Z553" s="20">
        <v>5785000</v>
      </c>
      <c r="AA553" s="20">
        <v>12744000</v>
      </c>
      <c r="AB553" s="20">
        <v>32974600</v>
      </c>
      <c r="AL553" s="20">
        <v>7717550</v>
      </c>
      <c r="AN553" s="20">
        <v>408000</v>
      </c>
      <c r="AP553" s="20">
        <v>6230000</v>
      </c>
      <c r="AQ553" s="20">
        <v>12170400</v>
      </c>
      <c r="AR553" s="20">
        <v>26525950</v>
      </c>
      <c r="BB553" s="20">
        <v>16700300</v>
      </c>
      <c r="BC553" s="20">
        <v>897600</v>
      </c>
      <c r="BD553" s="28">
        <v>816000</v>
      </c>
      <c r="BF553" s="28">
        <v>5658200</v>
      </c>
      <c r="BG553" s="28">
        <v>12338400</v>
      </c>
      <c r="BH553" s="28">
        <v>36410500</v>
      </c>
      <c r="BI553" s="28">
        <v>95911050</v>
      </c>
    </row>
    <row r="554" spans="1:61" hidden="1" x14ac:dyDescent="0.3">
      <c r="A554" s="1" t="s">
        <v>739</v>
      </c>
      <c r="B554" s="1" t="s">
        <v>242</v>
      </c>
      <c r="C554" s="1" t="s">
        <v>243</v>
      </c>
      <c r="D554" s="1" t="s">
        <v>244</v>
      </c>
      <c r="E554" s="1" t="s">
        <v>243</v>
      </c>
      <c r="F554" s="1" t="s">
        <v>244</v>
      </c>
      <c r="G554" s="1" t="s">
        <v>1252</v>
      </c>
      <c r="H554" s="1" t="s">
        <v>1253</v>
      </c>
      <c r="I554" s="1" t="s">
        <v>242</v>
      </c>
      <c r="J554" s="1" t="s">
        <v>229</v>
      </c>
      <c r="K554" s="1" t="s">
        <v>118</v>
      </c>
      <c r="L554" s="1" t="s">
        <v>97</v>
      </c>
      <c r="V554" s="20">
        <v>9039000</v>
      </c>
      <c r="Z554" s="20">
        <v>3115000</v>
      </c>
      <c r="AA554" s="20">
        <v>10178400</v>
      </c>
      <c r="AB554" s="20">
        <v>22332400</v>
      </c>
      <c r="AL554" s="20">
        <v>9705750</v>
      </c>
      <c r="AP554" s="20">
        <v>5117500</v>
      </c>
      <c r="AQ554" s="20">
        <v>14467200</v>
      </c>
      <c r="AR554" s="20">
        <v>29290450</v>
      </c>
      <c r="BB554" s="20">
        <v>9106600</v>
      </c>
      <c r="BD554" s="28">
        <v>816000</v>
      </c>
      <c r="BF554" s="28">
        <v>5149800</v>
      </c>
      <c r="BG554" s="28">
        <v>14119200</v>
      </c>
      <c r="BH554" s="28">
        <v>29191600</v>
      </c>
      <c r="BI554" s="28">
        <v>80814450</v>
      </c>
    </row>
    <row r="555" spans="1:61" hidden="1" x14ac:dyDescent="0.3">
      <c r="A555" s="1" t="s">
        <v>739</v>
      </c>
      <c r="B555" s="1" t="s">
        <v>242</v>
      </c>
      <c r="C555" s="1" t="s">
        <v>243</v>
      </c>
      <c r="D555" s="1" t="s">
        <v>244</v>
      </c>
      <c r="E555" s="1" t="s">
        <v>243</v>
      </c>
      <c r="F555" s="1" t="s">
        <v>244</v>
      </c>
      <c r="G555" s="1" t="s">
        <v>1254</v>
      </c>
      <c r="H555" s="1" t="s">
        <v>1255</v>
      </c>
      <c r="I555" s="1" t="s">
        <v>242</v>
      </c>
      <c r="J555" s="1" t="s">
        <v>229</v>
      </c>
      <c r="K555" s="1" t="s">
        <v>118</v>
      </c>
      <c r="L555" s="1" t="s">
        <v>97</v>
      </c>
      <c r="V555" s="20">
        <v>8164800</v>
      </c>
      <c r="X555" s="20">
        <v>408000</v>
      </c>
      <c r="Z555" s="20">
        <v>8315800</v>
      </c>
      <c r="AA555" s="20">
        <v>9564000</v>
      </c>
      <c r="AB555" s="20">
        <v>26452600</v>
      </c>
      <c r="AL555" s="20">
        <v>13503100</v>
      </c>
      <c r="AN555" s="20">
        <v>408000</v>
      </c>
      <c r="AO555" s="20">
        <v>769600</v>
      </c>
      <c r="AP555" s="20">
        <v>8411500</v>
      </c>
      <c r="AQ555" s="20">
        <v>12909600</v>
      </c>
      <c r="AR555" s="20">
        <v>36001800</v>
      </c>
      <c r="BB555" s="20">
        <v>5871500</v>
      </c>
      <c r="BC555" s="20">
        <v>1795200</v>
      </c>
      <c r="BF555" s="28">
        <v>6534100</v>
      </c>
      <c r="BG555" s="28">
        <v>12484800</v>
      </c>
      <c r="BH555" s="28">
        <v>26685600</v>
      </c>
      <c r="BI555" s="28">
        <v>89140000</v>
      </c>
    </row>
    <row r="556" spans="1:61" hidden="1" x14ac:dyDescent="0.3">
      <c r="A556" s="1" t="s">
        <v>739</v>
      </c>
      <c r="B556" s="1" t="s">
        <v>242</v>
      </c>
      <c r="C556" s="1" t="s">
        <v>243</v>
      </c>
      <c r="D556" s="1" t="s">
        <v>244</v>
      </c>
      <c r="E556" s="1" t="s">
        <v>243</v>
      </c>
      <c r="F556" s="1" t="s">
        <v>244</v>
      </c>
      <c r="G556" s="1" t="s">
        <v>1256</v>
      </c>
      <c r="H556" s="1" t="s">
        <v>1257</v>
      </c>
      <c r="I556" s="1" t="s">
        <v>242</v>
      </c>
      <c r="J556" s="1" t="s">
        <v>229</v>
      </c>
      <c r="K556" s="1" t="s">
        <v>118</v>
      </c>
      <c r="L556" s="1" t="s">
        <v>97</v>
      </c>
      <c r="V556" s="20">
        <v>13227300</v>
      </c>
      <c r="W556" s="20">
        <v>268200</v>
      </c>
      <c r="Z556" s="20">
        <v>4005000</v>
      </c>
      <c r="AA556" s="20">
        <v>12309600</v>
      </c>
      <c r="AB556" s="20">
        <v>29810100</v>
      </c>
      <c r="AL556" s="20">
        <v>11389550</v>
      </c>
      <c r="AN556" s="20">
        <v>408000</v>
      </c>
      <c r="AO556" s="20">
        <v>1539200</v>
      </c>
      <c r="AP556" s="20">
        <v>4704800</v>
      </c>
      <c r="AQ556" s="20">
        <v>15656400</v>
      </c>
      <c r="AR556" s="20">
        <v>33697950</v>
      </c>
      <c r="BB556" s="20">
        <v>16645200</v>
      </c>
      <c r="BC556" s="20">
        <v>985200</v>
      </c>
      <c r="BD556" s="28">
        <v>408000</v>
      </c>
      <c r="BE556" s="28">
        <v>384800</v>
      </c>
      <c r="BF556" s="28">
        <v>4403600</v>
      </c>
      <c r="BG556" s="28">
        <v>17668800</v>
      </c>
      <c r="BH556" s="28">
        <v>40495600</v>
      </c>
      <c r="BI556" s="28">
        <v>104003650</v>
      </c>
    </row>
    <row r="557" spans="1:61" hidden="1" x14ac:dyDescent="0.3">
      <c r="A557" s="1" t="s">
        <v>739</v>
      </c>
      <c r="B557" s="1" t="s">
        <v>242</v>
      </c>
      <c r="C557" s="1" t="s">
        <v>243</v>
      </c>
      <c r="D557" s="1" t="s">
        <v>244</v>
      </c>
      <c r="E557" s="1" t="s">
        <v>243</v>
      </c>
      <c r="F557" s="1" t="s">
        <v>244</v>
      </c>
      <c r="G557" s="1" t="s">
        <v>1258</v>
      </c>
      <c r="H557" s="1" t="s">
        <v>1259</v>
      </c>
      <c r="I557" s="1" t="s">
        <v>242</v>
      </c>
      <c r="J557" s="1" t="s">
        <v>229</v>
      </c>
      <c r="K557" s="1" t="s">
        <v>118</v>
      </c>
      <c r="L557" s="1" t="s">
        <v>97</v>
      </c>
      <c r="V557" s="20">
        <v>27385800</v>
      </c>
      <c r="W557" s="20">
        <v>448800</v>
      </c>
      <c r="X557" s="20">
        <v>2856000</v>
      </c>
      <c r="Z557" s="20">
        <v>4227500</v>
      </c>
      <c r="AA557" s="20">
        <v>7600800</v>
      </c>
      <c r="AB557" s="20">
        <v>42518900</v>
      </c>
      <c r="AL557" s="20">
        <v>20195250</v>
      </c>
      <c r="AN557" s="20">
        <v>2448000</v>
      </c>
      <c r="AP557" s="20">
        <v>3337500</v>
      </c>
      <c r="AQ557" s="20">
        <v>9038400</v>
      </c>
      <c r="AR557" s="20">
        <v>35019150</v>
      </c>
      <c r="BB557" s="20">
        <v>16417300</v>
      </c>
      <c r="BC557" s="20">
        <v>897600</v>
      </c>
      <c r="BD557" s="28">
        <v>1632000</v>
      </c>
      <c r="BF557" s="28">
        <v>5611800</v>
      </c>
      <c r="BG557" s="28">
        <v>9832800</v>
      </c>
      <c r="BH557" s="28">
        <v>34391500</v>
      </c>
      <c r="BI557" s="28">
        <v>111929550</v>
      </c>
    </row>
    <row r="558" spans="1:61" hidden="1" x14ac:dyDescent="0.3">
      <c r="A558" s="1" t="s">
        <v>739</v>
      </c>
      <c r="B558" s="1" t="s">
        <v>242</v>
      </c>
      <c r="C558" s="1" t="s">
        <v>243</v>
      </c>
      <c r="D558" s="1" t="s">
        <v>244</v>
      </c>
      <c r="E558" s="1" t="s">
        <v>243</v>
      </c>
      <c r="F558" s="1" t="s">
        <v>244</v>
      </c>
      <c r="G558" s="1" t="s">
        <v>1260</v>
      </c>
      <c r="H558" s="1" t="s">
        <v>1261</v>
      </c>
      <c r="I558" s="1" t="s">
        <v>242</v>
      </c>
      <c r="J558" s="1" t="s">
        <v>229</v>
      </c>
      <c r="K558" s="1" t="s">
        <v>118</v>
      </c>
      <c r="L558" s="1" t="s">
        <v>97</v>
      </c>
      <c r="V558" s="20">
        <v>4392600</v>
      </c>
      <c r="Z558" s="20">
        <v>667500</v>
      </c>
      <c r="AA558" s="20">
        <v>2743200</v>
      </c>
      <c r="AB558" s="20">
        <v>7803300</v>
      </c>
      <c r="AL558" s="20">
        <v>5395500</v>
      </c>
      <c r="AP558" s="20">
        <v>667500</v>
      </c>
      <c r="AQ558" s="20">
        <v>3028800</v>
      </c>
      <c r="AR558" s="20">
        <v>9091800</v>
      </c>
      <c r="BB558" s="20">
        <v>3981000</v>
      </c>
      <c r="BF558" s="28">
        <v>667500</v>
      </c>
      <c r="BG558" s="28">
        <v>3372000</v>
      </c>
      <c r="BH558" s="28">
        <v>8020500</v>
      </c>
      <c r="BI558" s="28">
        <v>24915600</v>
      </c>
    </row>
    <row r="559" spans="1:61" hidden="1" x14ac:dyDescent="0.3">
      <c r="A559" s="1" t="s">
        <v>739</v>
      </c>
      <c r="B559" s="1" t="s">
        <v>242</v>
      </c>
      <c r="C559" s="1" t="s">
        <v>243</v>
      </c>
      <c r="D559" s="1" t="s">
        <v>244</v>
      </c>
      <c r="E559" s="1" t="s">
        <v>243</v>
      </c>
      <c r="F559" s="1" t="s">
        <v>244</v>
      </c>
      <c r="G559" s="1" t="s">
        <v>1262</v>
      </c>
      <c r="H559" s="1" t="s">
        <v>1263</v>
      </c>
      <c r="I559" s="1" t="s">
        <v>242</v>
      </c>
      <c r="J559" s="1" t="s">
        <v>229</v>
      </c>
      <c r="K559" s="1" t="s">
        <v>118</v>
      </c>
      <c r="L559" s="1" t="s">
        <v>97</v>
      </c>
      <c r="V559" s="20">
        <v>10912500</v>
      </c>
      <c r="Z559" s="20">
        <v>2447500</v>
      </c>
      <c r="AA559" s="20">
        <v>4948800</v>
      </c>
      <c r="AB559" s="20">
        <v>18308800</v>
      </c>
      <c r="AL559" s="20">
        <v>10984350</v>
      </c>
      <c r="AN559" s="20">
        <v>408000</v>
      </c>
      <c r="AP559" s="20">
        <v>2447500</v>
      </c>
      <c r="AQ559" s="20">
        <v>7725600</v>
      </c>
      <c r="AR559" s="20">
        <v>21565450</v>
      </c>
      <c r="BB559" s="20">
        <v>7832000</v>
      </c>
      <c r="BF559" s="28">
        <v>3259400</v>
      </c>
      <c r="BG559" s="28">
        <v>5911200</v>
      </c>
      <c r="BH559" s="28">
        <v>17002600</v>
      </c>
      <c r="BI559" s="28">
        <v>56876850</v>
      </c>
    </row>
    <row r="560" spans="1:61" hidden="1" x14ac:dyDescent="0.3">
      <c r="A560" s="1" t="s">
        <v>739</v>
      </c>
      <c r="B560" s="1" t="s">
        <v>242</v>
      </c>
      <c r="C560" s="1" t="s">
        <v>243</v>
      </c>
      <c r="D560" s="1" t="s">
        <v>244</v>
      </c>
      <c r="E560" s="1" t="s">
        <v>243</v>
      </c>
      <c r="F560" s="1" t="s">
        <v>244</v>
      </c>
      <c r="G560" s="1" t="s">
        <v>1264</v>
      </c>
      <c r="H560" s="1" t="s">
        <v>1265</v>
      </c>
      <c r="I560" s="1" t="s">
        <v>242</v>
      </c>
      <c r="J560" s="1" t="s">
        <v>229</v>
      </c>
      <c r="K560" s="1" t="s">
        <v>118</v>
      </c>
      <c r="L560" s="1" t="s">
        <v>97</v>
      </c>
      <c r="V560" s="20">
        <v>1394400</v>
      </c>
      <c r="Z560" s="20">
        <v>1335000</v>
      </c>
      <c r="AA560" s="20">
        <v>2712000</v>
      </c>
      <c r="AB560" s="20">
        <v>5441400</v>
      </c>
      <c r="AL560" s="20">
        <v>4912500</v>
      </c>
      <c r="AP560" s="20">
        <v>1557500</v>
      </c>
      <c r="AQ560" s="20">
        <v>3715200</v>
      </c>
      <c r="AR560" s="20">
        <v>10185200</v>
      </c>
      <c r="BB560" s="20">
        <v>4262400</v>
      </c>
      <c r="BF560" s="28">
        <v>1797000</v>
      </c>
      <c r="BG560" s="28">
        <v>2148000</v>
      </c>
      <c r="BH560" s="28">
        <v>8207400</v>
      </c>
      <c r="BI560" s="28">
        <v>23834000</v>
      </c>
    </row>
    <row r="561" spans="1:61" hidden="1" x14ac:dyDescent="0.3">
      <c r="A561" s="1" t="s">
        <v>739</v>
      </c>
      <c r="B561" s="1" t="s">
        <v>242</v>
      </c>
      <c r="C561" s="1" t="s">
        <v>243</v>
      </c>
      <c r="D561" s="1" t="s">
        <v>244</v>
      </c>
      <c r="E561" s="1" t="s">
        <v>243</v>
      </c>
      <c r="F561" s="1" t="s">
        <v>244</v>
      </c>
      <c r="G561" s="1" t="s">
        <v>1266</v>
      </c>
      <c r="H561" s="1" t="s">
        <v>1267</v>
      </c>
      <c r="I561" s="1" t="s">
        <v>242</v>
      </c>
      <c r="J561" s="1" t="s">
        <v>229</v>
      </c>
      <c r="K561" s="1" t="s">
        <v>118</v>
      </c>
      <c r="L561" s="1" t="s">
        <v>97</v>
      </c>
      <c r="V561" s="20">
        <v>1659000</v>
      </c>
      <c r="AA561" s="20">
        <v>1168800</v>
      </c>
      <c r="AB561" s="20">
        <v>2827800</v>
      </c>
      <c r="AL561" s="20">
        <v>2397000</v>
      </c>
      <c r="AR561" s="20">
        <v>2397000</v>
      </c>
      <c r="BB561" s="20">
        <v>11548200</v>
      </c>
      <c r="BG561" s="28">
        <v>914400</v>
      </c>
      <c r="BH561" s="28">
        <v>12462600</v>
      </c>
      <c r="BI561" s="28">
        <v>17687400</v>
      </c>
    </row>
    <row r="562" spans="1:61" hidden="1" x14ac:dyDescent="0.3">
      <c r="A562" s="1" t="s">
        <v>739</v>
      </c>
      <c r="B562" s="1" t="s">
        <v>242</v>
      </c>
      <c r="C562" s="1" t="s">
        <v>243</v>
      </c>
      <c r="D562" s="1" t="s">
        <v>244</v>
      </c>
      <c r="E562" s="1" t="s">
        <v>243</v>
      </c>
      <c r="F562" s="1" t="s">
        <v>244</v>
      </c>
      <c r="G562" s="1" t="s">
        <v>1268</v>
      </c>
      <c r="H562" s="1" t="s">
        <v>1269</v>
      </c>
      <c r="I562" s="1" t="s">
        <v>242</v>
      </c>
      <c r="J562" s="1" t="s">
        <v>229</v>
      </c>
      <c r="K562" s="1" t="s">
        <v>118</v>
      </c>
      <c r="L562" s="1" t="s">
        <v>97</v>
      </c>
      <c r="V562" s="20">
        <v>6531000</v>
      </c>
      <c r="X562" s="20">
        <v>408000</v>
      </c>
      <c r="Z562" s="20">
        <v>1780000</v>
      </c>
      <c r="AA562" s="20">
        <v>6360000</v>
      </c>
      <c r="AB562" s="20">
        <v>15079000</v>
      </c>
      <c r="AL562" s="20">
        <v>9117450</v>
      </c>
      <c r="AP562" s="20">
        <v>2447500</v>
      </c>
      <c r="AQ562" s="20">
        <v>8344800</v>
      </c>
      <c r="AR562" s="20">
        <v>19909750</v>
      </c>
      <c r="BB562" s="20">
        <v>8430000</v>
      </c>
      <c r="BD562" s="28">
        <v>408000</v>
      </c>
      <c r="BF562" s="28">
        <v>3450200</v>
      </c>
      <c r="BG562" s="28">
        <v>7912800</v>
      </c>
      <c r="BH562" s="28">
        <v>20201000</v>
      </c>
      <c r="BI562" s="28">
        <v>55189750</v>
      </c>
    </row>
    <row r="563" spans="1:61" hidden="1" x14ac:dyDescent="0.3">
      <c r="A563" s="1" t="s">
        <v>739</v>
      </c>
      <c r="B563" s="1" t="s">
        <v>242</v>
      </c>
      <c r="C563" s="1" t="s">
        <v>243</v>
      </c>
      <c r="D563" s="1" t="s">
        <v>244</v>
      </c>
      <c r="E563" s="1" t="s">
        <v>243</v>
      </c>
      <c r="F563" s="1" t="s">
        <v>244</v>
      </c>
      <c r="G563" s="1" t="s">
        <v>1270</v>
      </c>
      <c r="H563" s="1" t="s">
        <v>1271</v>
      </c>
      <c r="I563" s="1" t="s">
        <v>242</v>
      </c>
      <c r="J563" s="1" t="s">
        <v>229</v>
      </c>
      <c r="K563" s="1" t="s">
        <v>118</v>
      </c>
      <c r="L563" s="1" t="s">
        <v>97</v>
      </c>
      <c r="V563" s="20">
        <v>3405600</v>
      </c>
      <c r="Z563" s="20">
        <v>222500</v>
      </c>
      <c r="AA563" s="20">
        <v>1257600</v>
      </c>
      <c r="AB563" s="20">
        <v>4885700</v>
      </c>
      <c r="AL563" s="20">
        <v>5356900</v>
      </c>
      <c r="AQ563" s="20">
        <v>2800800</v>
      </c>
      <c r="AR563" s="20">
        <v>8157700</v>
      </c>
      <c r="BB563" s="20">
        <v>4515600</v>
      </c>
      <c r="BF563" s="28">
        <v>445000</v>
      </c>
      <c r="BG563" s="28">
        <v>1828800</v>
      </c>
      <c r="BH563" s="28">
        <v>6789400</v>
      </c>
      <c r="BI563" s="28">
        <v>19832800</v>
      </c>
    </row>
    <row r="564" spans="1:61" hidden="1" x14ac:dyDescent="0.3">
      <c r="A564" s="1" t="s">
        <v>739</v>
      </c>
      <c r="B564" s="1" t="s">
        <v>242</v>
      </c>
      <c r="C564" s="1" t="s">
        <v>243</v>
      </c>
      <c r="D564" s="1" t="s">
        <v>244</v>
      </c>
      <c r="E564" s="1" t="s">
        <v>243</v>
      </c>
      <c r="F564" s="1" t="s">
        <v>244</v>
      </c>
      <c r="G564" s="1" t="s">
        <v>1272</v>
      </c>
      <c r="H564" s="1" t="s">
        <v>1273</v>
      </c>
      <c r="I564" s="1" t="s">
        <v>242</v>
      </c>
      <c r="J564" s="1" t="s">
        <v>229</v>
      </c>
      <c r="K564" s="1" t="s">
        <v>118</v>
      </c>
      <c r="L564" s="1" t="s">
        <v>97</v>
      </c>
      <c r="V564" s="20">
        <v>1181400</v>
      </c>
      <c r="Z564" s="20">
        <v>1557500</v>
      </c>
      <c r="AA564" s="20">
        <v>5428800</v>
      </c>
      <c r="AB564" s="20">
        <v>8167700</v>
      </c>
      <c r="AL564" s="20">
        <v>8172350</v>
      </c>
      <c r="AN564" s="20">
        <v>816000</v>
      </c>
      <c r="AP564" s="20">
        <v>1780000</v>
      </c>
      <c r="AQ564" s="20">
        <v>4857600</v>
      </c>
      <c r="AR564" s="20">
        <v>15625950</v>
      </c>
      <c r="BB564" s="20">
        <v>5523600</v>
      </c>
      <c r="BF564" s="28">
        <v>890000</v>
      </c>
      <c r="BG564" s="28">
        <v>5740800</v>
      </c>
      <c r="BH564" s="28">
        <v>12154400</v>
      </c>
      <c r="BI564" s="28">
        <v>35948050</v>
      </c>
    </row>
    <row r="565" spans="1:61" hidden="1" x14ac:dyDescent="0.3">
      <c r="A565" s="1" t="s">
        <v>739</v>
      </c>
      <c r="B565" s="1" t="s">
        <v>242</v>
      </c>
      <c r="C565" s="1" t="s">
        <v>243</v>
      </c>
      <c r="D565" s="1" t="s">
        <v>244</v>
      </c>
      <c r="E565" s="1" t="s">
        <v>243</v>
      </c>
      <c r="F565" s="1" t="s">
        <v>244</v>
      </c>
      <c r="G565" s="1" t="s">
        <v>1274</v>
      </c>
      <c r="H565" s="1" t="s">
        <v>1275</v>
      </c>
      <c r="I565" s="1" t="s">
        <v>242</v>
      </c>
      <c r="J565" s="1" t="s">
        <v>229</v>
      </c>
      <c r="K565" s="1" t="s">
        <v>118</v>
      </c>
      <c r="L565" s="1" t="s">
        <v>97</v>
      </c>
      <c r="V565" s="20">
        <v>765000</v>
      </c>
      <c r="W565" s="20">
        <v>897600</v>
      </c>
      <c r="AB565" s="20">
        <v>1662600</v>
      </c>
      <c r="BI565" s="28">
        <v>1662600</v>
      </c>
    </row>
    <row r="566" spans="1:61" hidden="1" x14ac:dyDescent="0.3">
      <c r="A566" s="1" t="s">
        <v>739</v>
      </c>
      <c r="B566" s="1" t="s">
        <v>242</v>
      </c>
      <c r="C566" s="1" t="s">
        <v>243</v>
      </c>
      <c r="D566" s="1" t="s">
        <v>244</v>
      </c>
      <c r="E566" s="1" t="s">
        <v>243</v>
      </c>
      <c r="F566" s="1" t="s">
        <v>244</v>
      </c>
      <c r="G566" s="1" t="s">
        <v>1276</v>
      </c>
      <c r="H566" s="1" t="s">
        <v>1277</v>
      </c>
      <c r="I566" s="1" t="s">
        <v>242</v>
      </c>
      <c r="J566" s="1" t="s">
        <v>229</v>
      </c>
      <c r="K566" s="1" t="s">
        <v>118</v>
      </c>
      <c r="L566" s="1" t="s">
        <v>97</v>
      </c>
      <c r="V566" s="20">
        <v>4333200</v>
      </c>
      <c r="Z566" s="20">
        <v>1335000</v>
      </c>
      <c r="AA566" s="20">
        <v>3256800</v>
      </c>
      <c r="AB566" s="20">
        <v>8925000</v>
      </c>
      <c r="AL566" s="20">
        <v>6642600</v>
      </c>
      <c r="AP566" s="20">
        <v>2225000</v>
      </c>
      <c r="AQ566" s="20">
        <v>5829600</v>
      </c>
      <c r="AR566" s="20">
        <v>14697200</v>
      </c>
      <c r="BB566" s="20">
        <v>4322500</v>
      </c>
      <c r="BF566" s="28">
        <v>2814400</v>
      </c>
      <c r="BG566" s="28">
        <v>5112000</v>
      </c>
      <c r="BH566" s="28">
        <v>12248900</v>
      </c>
      <c r="BI566" s="28">
        <v>35871100</v>
      </c>
    </row>
    <row r="567" spans="1:61" hidden="1" x14ac:dyDescent="0.3">
      <c r="A567" s="1" t="s">
        <v>739</v>
      </c>
      <c r="B567" s="1" t="s">
        <v>242</v>
      </c>
      <c r="C567" s="1" t="s">
        <v>243</v>
      </c>
      <c r="D567" s="1" t="s">
        <v>244</v>
      </c>
      <c r="E567" s="1" t="s">
        <v>243</v>
      </c>
      <c r="F567" s="1" t="s">
        <v>244</v>
      </c>
      <c r="G567" s="1" t="s">
        <v>1278</v>
      </c>
      <c r="H567" s="1" t="s">
        <v>1279</v>
      </c>
      <c r="I567" s="1" t="s">
        <v>242</v>
      </c>
      <c r="J567" s="1" t="s">
        <v>229</v>
      </c>
      <c r="K567" s="1" t="s">
        <v>118</v>
      </c>
      <c r="L567" s="1" t="s">
        <v>97</v>
      </c>
      <c r="V567" s="20">
        <v>2112600</v>
      </c>
      <c r="Z567" s="20">
        <v>1112500</v>
      </c>
      <c r="AA567" s="20">
        <v>5486400</v>
      </c>
      <c r="AB567" s="20">
        <v>8711500</v>
      </c>
      <c r="AL567" s="20">
        <v>9686100</v>
      </c>
      <c r="AP567" s="20">
        <v>1112500</v>
      </c>
      <c r="AQ567" s="20">
        <v>5143200</v>
      </c>
      <c r="AR567" s="20">
        <v>15941800</v>
      </c>
      <c r="BB567" s="20">
        <v>10997100</v>
      </c>
      <c r="BC567" s="20">
        <v>486000</v>
      </c>
      <c r="BF567" s="28">
        <v>1701900</v>
      </c>
      <c r="BG567" s="28">
        <v>5911200</v>
      </c>
      <c r="BH567" s="28">
        <v>19096200</v>
      </c>
      <c r="BI567" s="28">
        <v>43749500</v>
      </c>
    </row>
    <row r="568" spans="1:61" hidden="1" x14ac:dyDescent="0.3">
      <c r="A568" s="1" t="s">
        <v>739</v>
      </c>
      <c r="B568" s="1" t="s">
        <v>242</v>
      </c>
      <c r="C568" s="1" t="s">
        <v>243</v>
      </c>
      <c r="D568" s="1" t="s">
        <v>244</v>
      </c>
      <c r="E568" s="1" t="s">
        <v>243</v>
      </c>
      <c r="F568" s="1" t="s">
        <v>244</v>
      </c>
      <c r="G568" s="1" t="s">
        <v>1280</v>
      </c>
      <c r="H568" s="1" t="s">
        <v>1281</v>
      </c>
      <c r="I568" s="1" t="s">
        <v>242</v>
      </c>
      <c r="J568" s="1" t="s">
        <v>229</v>
      </c>
      <c r="K568" s="1" t="s">
        <v>118</v>
      </c>
      <c r="L568" s="1" t="s">
        <v>97</v>
      </c>
      <c r="V568" s="20">
        <v>4915500</v>
      </c>
      <c r="Z568" s="20">
        <v>5340600</v>
      </c>
      <c r="AA568" s="20">
        <v>9984000</v>
      </c>
      <c r="AB568" s="20">
        <v>20240100</v>
      </c>
      <c r="AL568" s="20">
        <v>17625600</v>
      </c>
      <c r="AN568" s="20">
        <v>816000</v>
      </c>
      <c r="AP568" s="20">
        <v>6707900</v>
      </c>
      <c r="AQ568" s="20">
        <v>17082000</v>
      </c>
      <c r="AR568" s="20">
        <v>42231500</v>
      </c>
      <c r="BB568" s="20">
        <v>14794300</v>
      </c>
      <c r="BD568" s="28">
        <v>408000</v>
      </c>
      <c r="BF568" s="28">
        <v>6487100</v>
      </c>
      <c r="BG568" s="28">
        <v>8968800</v>
      </c>
      <c r="BH568" s="28">
        <v>30658200</v>
      </c>
      <c r="BI568" s="28">
        <v>93129800</v>
      </c>
    </row>
    <row r="569" spans="1:61" hidden="1" x14ac:dyDescent="0.3">
      <c r="A569" s="1" t="s">
        <v>739</v>
      </c>
      <c r="B569" s="1" t="s">
        <v>242</v>
      </c>
      <c r="C569" s="1" t="s">
        <v>243</v>
      </c>
      <c r="D569" s="1" t="s">
        <v>244</v>
      </c>
      <c r="E569" s="1" t="s">
        <v>243</v>
      </c>
      <c r="F569" s="1" t="s">
        <v>244</v>
      </c>
      <c r="G569" s="1" t="s">
        <v>1282</v>
      </c>
      <c r="H569" s="1" t="s">
        <v>1283</v>
      </c>
      <c r="I569" s="1" t="s">
        <v>242</v>
      </c>
      <c r="J569" s="1" t="s">
        <v>229</v>
      </c>
      <c r="K569" s="1" t="s">
        <v>118</v>
      </c>
      <c r="L569" s="1" t="s">
        <v>97</v>
      </c>
      <c r="V569" s="20">
        <v>5422500</v>
      </c>
      <c r="AA569" s="20">
        <v>4113600</v>
      </c>
      <c r="AB569" s="20">
        <v>9536100</v>
      </c>
      <c r="AL569" s="20">
        <v>8481000</v>
      </c>
      <c r="AP569" s="20">
        <v>1112500</v>
      </c>
      <c r="AQ569" s="20">
        <v>5601600</v>
      </c>
      <c r="AR569" s="20">
        <v>15195100</v>
      </c>
      <c r="BB569" s="20">
        <v>5002200</v>
      </c>
      <c r="BF569" s="28">
        <v>794900</v>
      </c>
      <c r="BG569" s="28">
        <v>3708000</v>
      </c>
      <c r="BH569" s="28">
        <v>9505100</v>
      </c>
      <c r="BI569" s="28">
        <v>34236300</v>
      </c>
    </row>
    <row r="570" spans="1:61" hidden="1" x14ac:dyDescent="0.3">
      <c r="A570" s="1" t="s">
        <v>739</v>
      </c>
      <c r="B570" s="1" t="s">
        <v>242</v>
      </c>
      <c r="C570" s="1" t="s">
        <v>243</v>
      </c>
      <c r="D570" s="1" t="s">
        <v>244</v>
      </c>
      <c r="E570" s="1" t="s">
        <v>243</v>
      </c>
      <c r="F570" s="1" t="s">
        <v>244</v>
      </c>
      <c r="G570" s="1" t="s">
        <v>1284</v>
      </c>
      <c r="H570" s="1" t="s">
        <v>1285</v>
      </c>
      <c r="I570" s="1" t="s">
        <v>242</v>
      </c>
      <c r="J570" s="1" t="s">
        <v>229</v>
      </c>
      <c r="K570" s="1" t="s">
        <v>118</v>
      </c>
      <c r="L570" s="1" t="s">
        <v>97</v>
      </c>
      <c r="V570" s="20">
        <v>4219200</v>
      </c>
      <c r="Z570" s="20">
        <v>2670000</v>
      </c>
      <c r="AA570" s="20">
        <v>7783200</v>
      </c>
      <c r="AB570" s="20">
        <v>14672400</v>
      </c>
      <c r="AL570" s="20">
        <v>19226500</v>
      </c>
      <c r="AM570" s="20">
        <v>1591200</v>
      </c>
      <c r="AP570" s="20">
        <v>1780000</v>
      </c>
      <c r="AQ570" s="20">
        <v>8352000</v>
      </c>
      <c r="AR570" s="20">
        <v>30949700</v>
      </c>
      <c r="BB570" s="20">
        <v>9329400</v>
      </c>
      <c r="BC570" s="20">
        <v>897600</v>
      </c>
      <c r="BF570" s="28">
        <v>2511500</v>
      </c>
      <c r="BG570" s="28">
        <v>14812800</v>
      </c>
      <c r="BH570" s="28">
        <v>27551300</v>
      </c>
      <c r="BI570" s="28">
        <v>73173400</v>
      </c>
    </row>
    <row r="571" spans="1:61" hidden="1" x14ac:dyDescent="0.3">
      <c r="A571" s="1" t="s">
        <v>739</v>
      </c>
      <c r="B571" s="1" t="s">
        <v>242</v>
      </c>
      <c r="C571" s="1" t="s">
        <v>243</v>
      </c>
      <c r="D571" s="1" t="s">
        <v>244</v>
      </c>
      <c r="E571" s="1" t="s">
        <v>243</v>
      </c>
      <c r="F571" s="1" t="s">
        <v>244</v>
      </c>
      <c r="G571" s="1" t="s">
        <v>1286</v>
      </c>
      <c r="H571" s="1" t="s">
        <v>1287</v>
      </c>
      <c r="I571" s="1" t="s">
        <v>242</v>
      </c>
      <c r="J571" s="1" t="s">
        <v>229</v>
      </c>
      <c r="K571" s="1" t="s">
        <v>118</v>
      </c>
      <c r="L571" s="1" t="s">
        <v>97</v>
      </c>
      <c r="V571" s="20">
        <v>23909100</v>
      </c>
      <c r="X571" s="20">
        <v>816000</v>
      </c>
      <c r="Z571" s="20">
        <v>1335000</v>
      </c>
      <c r="AA571" s="20">
        <v>13370400</v>
      </c>
      <c r="AB571" s="20">
        <v>39430500</v>
      </c>
      <c r="AL571" s="20">
        <v>24316000</v>
      </c>
      <c r="AN571" s="20">
        <v>816000</v>
      </c>
      <c r="AP571" s="20">
        <v>2225000</v>
      </c>
      <c r="AQ571" s="20">
        <v>16228800</v>
      </c>
      <c r="AR571" s="20">
        <v>43585800</v>
      </c>
      <c r="BB571" s="20">
        <v>37835300</v>
      </c>
      <c r="BD571" s="28">
        <v>816000</v>
      </c>
      <c r="BF571" s="28">
        <v>2129900</v>
      </c>
      <c r="BG571" s="28">
        <v>19934400</v>
      </c>
      <c r="BH571" s="28">
        <v>60715600</v>
      </c>
      <c r="BI571" s="28">
        <v>143731900</v>
      </c>
    </row>
    <row r="572" spans="1:61" hidden="1" x14ac:dyDescent="0.3">
      <c r="A572" s="1" t="s">
        <v>739</v>
      </c>
      <c r="B572" s="1" t="s">
        <v>242</v>
      </c>
      <c r="C572" s="1" t="s">
        <v>243</v>
      </c>
      <c r="D572" s="1" t="s">
        <v>244</v>
      </c>
      <c r="E572" s="1" t="s">
        <v>243</v>
      </c>
      <c r="F572" s="1" t="s">
        <v>244</v>
      </c>
      <c r="G572" s="1" t="s">
        <v>1288</v>
      </c>
      <c r="H572" s="1" t="s">
        <v>1289</v>
      </c>
      <c r="I572" s="1" t="s">
        <v>242</v>
      </c>
      <c r="J572" s="1" t="s">
        <v>229</v>
      </c>
      <c r="K572" s="1" t="s">
        <v>118</v>
      </c>
      <c r="L572" s="1" t="s">
        <v>97</v>
      </c>
      <c r="V572" s="20">
        <v>7766700</v>
      </c>
      <c r="Z572" s="20">
        <v>2892500</v>
      </c>
      <c r="AA572" s="20">
        <v>14400000</v>
      </c>
      <c r="AB572" s="20">
        <v>25059200</v>
      </c>
      <c r="AL572" s="20">
        <v>17714850</v>
      </c>
      <c r="AP572" s="20">
        <v>3115000</v>
      </c>
      <c r="AQ572" s="20">
        <v>15259200</v>
      </c>
      <c r="AR572" s="20">
        <v>36089050</v>
      </c>
      <c r="BB572" s="20">
        <v>11894200</v>
      </c>
      <c r="BC572" s="20">
        <v>448800</v>
      </c>
      <c r="BD572" s="28">
        <v>1224000</v>
      </c>
      <c r="BF572" s="28">
        <v>3831800</v>
      </c>
      <c r="BG572" s="28">
        <v>19219200</v>
      </c>
      <c r="BH572" s="28">
        <v>36618000</v>
      </c>
      <c r="BI572" s="28">
        <v>97766250</v>
      </c>
    </row>
    <row r="573" spans="1:61" hidden="1" x14ac:dyDescent="0.3">
      <c r="A573" s="1" t="s">
        <v>739</v>
      </c>
      <c r="B573" s="1" t="s">
        <v>242</v>
      </c>
      <c r="C573" s="1" t="s">
        <v>243</v>
      </c>
      <c r="D573" s="1" t="s">
        <v>244</v>
      </c>
      <c r="E573" s="1" t="s">
        <v>243</v>
      </c>
      <c r="F573" s="1" t="s">
        <v>244</v>
      </c>
      <c r="G573" s="1" t="s">
        <v>1290</v>
      </c>
      <c r="H573" s="1" t="s">
        <v>1291</v>
      </c>
      <c r="I573" s="1" t="s">
        <v>242</v>
      </c>
      <c r="J573" s="1" t="s">
        <v>229</v>
      </c>
      <c r="K573" s="1" t="s">
        <v>118</v>
      </c>
      <c r="L573" s="1" t="s">
        <v>97</v>
      </c>
      <c r="V573" s="20">
        <v>12735600</v>
      </c>
      <c r="W573" s="20">
        <v>268200</v>
      </c>
      <c r="X573" s="20">
        <v>1224000</v>
      </c>
      <c r="Z573" s="20">
        <v>4863900</v>
      </c>
      <c r="AA573" s="20">
        <v>9598800</v>
      </c>
      <c r="AB573" s="20">
        <v>28690500</v>
      </c>
      <c r="AL573" s="20">
        <v>11512350</v>
      </c>
      <c r="AM573" s="20">
        <v>804600</v>
      </c>
      <c r="AN573" s="20">
        <v>816000</v>
      </c>
      <c r="AP573" s="20">
        <v>5944700</v>
      </c>
      <c r="AQ573" s="20">
        <v>14942400</v>
      </c>
      <c r="AR573" s="20">
        <v>34020050</v>
      </c>
      <c r="BB573" s="20">
        <v>11495400</v>
      </c>
      <c r="BF573" s="28">
        <v>4959000</v>
      </c>
      <c r="BG573" s="28">
        <v>9554400</v>
      </c>
      <c r="BH573" s="28">
        <v>26008800</v>
      </c>
      <c r="BI573" s="28">
        <v>88719350</v>
      </c>
    </row>
    <row r="574" spans="1:61" hidden="1" x14ac:dyDescent="0.3">
      <c r="A574" s="1" t="s">
        <v>739</v>
      </c>
      <c r="B574" s="1" t="s">
        <v>242</v>
      </c>
      <c r="C574" s="1" t="s">
        <v>243</v>
      </c>
      <c r="D574" s="1" t="s">
        <v>244</v>
      </c>
      <c r="E574" s="1" t="s">
        <v>243</v>
      </c>
      <c r="F574" s="1" t="s">
        <v>244</v>
      </c>
      <c r="G574" s="1" t="s">
        <v>1292</v>
      </c>
      <c r="H574" s="1" t="s">
        <v>1293</v>
      </c>
      <c r="I574" s="1" t="s">
        <v>242</v>
      </c>
      <c r="J574" s="1" t="s">
        <v>229</v>
      </c>
      <c r="K574" s="1" t="s">
        <v>118</v>
      </c>
      <c r="L574" s="1" t="s">
        <v>97</v>
      </c>
      <c r="V574" s="20">
        <v>4656900</v>
      </c>
      <c r="AA574" s="20">
        <v>3256800</v>
      </c>
      <c r="AB574" s="20">
        <v>7913700</v>
      </c>
      <c r="AL574" s="20">
        <v>1881600</v>
      </c>
      <c r="AQ574" s="20">
        <v>1142400</v>
      </c>
      <c r="AR574" s="20">
        <v>3024000</v>
      </c>
      <c r="BG574" s="28">
        <v>2284800</v>
      </c>
      <c r="BH574" s="28">
        <v>2284800</v>
      </c>
      <c r="BI574" s="28">
        <v>13222500</v>
      </c>
    </row>
    <row r="575" spans="1:61" hidden="1" x14ac:dyDescent="0.3">
      <c r="A575" s="1" t="s">
        <v>739</v>
      </c>
      <c r="B575" s="1" t="s">
        <v>242</v>
      </c>
      <c r="C575" s="1" t="s">
        <v>243</v>
      </c>
      <c r="D575" s="1" t="s">
        <v>244</v>
      </c>
      <c r="E575" s="1" t="s">
        <v>243</v>
      </c>
      <c r="F575" s="1" t="s">
        <v>244</v>
      </c>
      <c r="G575" s="1" t="s">
        <v>1294</v>
      </c>
      <c r="H575" s="1" t="s">
        <v>1295</v>
      </c>
      <c r="I575" s="1" t="s">
        <v>242</v>
      </c>
      <c r="J575" s="1" t="s">
        <v>229</v>
      </c>
      <c r="K575" s="1" t="s">
        <v>118</v>
      </c>
      <c r="L575" s="1" t="s">
        <v>97</v>
      </c>
      <c r="V575" s="20">
        <v>14018700</v>
      </c>
      <c r="Z575" s="20">
        <v>2670000</v>
      </c>
      <c r="AA575" s="20">
        <v>7029600</v>
      </c>
      <c r="AB575" s="20">
        <v>23718300</v>
      </c>
      <c r="AL575" s="20">
        <v>17806500</v>
      </c>
      <c r="AN575" s="20">
        <v>408000</v>
      </c>
      <c r="AP575" s="20">
        <v>3115000</v>
      </c>
      <c r="AQ575" s="20">
        <v>9974400</v>
      </c>
      <c r="AR575" s="20">
        <v>31303900</v>
      </c>
      <c r="BB575" s="20">
        <v>16813800</v>
      </c>
      <c r="BC575" s="20">
        <v>897600</v>
      </c>
      <c r="BD575" s="28">
        <v>1224000</v>
      </c>
      <c r="BF575" s="28">
        <v>7391800</v>
      </c>
      <c r="BG575" s="28">
        <v>10814400</v>
      </c>
      <c r="BH575" s="28">
        <v>37141600</v>
      </c>
      <c r="BI575" s="28">
        <v>92163800</v>
      </c>
    </row>
    <row r="576" spans="1:61" hidden="1" x14ac:dyDescent="0.3">
      <c r="A576" s="1" t="s">
        <v>739</v>
      </c>
      <c r="B576" s="1" t="s">
        <v>242</v>
      </c>
      <c r="C576" s="1" t="s">
        <v>243</v>
      </c>
      <c r="D576" s="1" t="s">
        <v>244</v>
      </c>
      <c r="E576" s="1" t="s">
        <v>243</v>
      </c>
      <c r="F576" s="1" t="s">
        <v>244</v>
      </c>
      <c r="G576" s="1" t="s">
        <v>1296</v>
      </c>
      <c r="H576" s="1" t="s">
        <v>1297</v>
      </c>
      <c r="I576" s="1" t="s">
        <v>242</v>
      </c>
      <c r="J576" s="1" t="s">
        <v>229</v>
      </c>
      <c r="K576" s="1" t="s">
        <v>118</v>
      </c>
      <c r="L576" s="1" t="s">
        <v>97</v>
      </c>
      <c r="V576" s="20">
        <v>4176600</v>
      </c>
      <c r="X576" s="20">
        <v>408000</v>
      </c>
      <c r="Z576" s="20">
        <v>1335000</v>
      </c>
      <c r="AA576" s="20">
        <v>8378400</v>
      </c>
      <c r="AB576" s="20">
        <v>14298000</v>
      </c>
      <c r="AL576" s="20">
        <v>10012650</v>
      </c>
      <c r="AN576" s="20">
        <v>816000</v>
      </c>
      <c r="AP576" s="20">
        <v>1557500</v>
      </c>
      <c r="AQ576" s="20">
        <v>8114400</v>
      </c>
      <c r="AR576" s="20">
        <v>20500550</v>
      </c>
      <c r="BB576" s="20">
        <v>14165200</v>
      </c>
      <c r="BF576" s="28">
        <v>1907400</v>
      </c>
      <c r="BG576" s="28">
        <v>11121600</v>
      </c>
      <c r="BH576" s="28">
        <v>27194200</v>
      </c>
      <c r="BI576" s="28">
        <v>61992750</v>
      </c>
    </row>
    <row r="577" spans="1:61" hidden="1" x14ac:dyDescent="0.3">
      <c r="A577" s="1" t="s">
        <v>739</v>
      </c>
      <c r="B577" s="1" t="s">
        <v>242</v>
      </c>
      <c r="C577" s="1" t="s">
        <v>243</v>
      </c>
      <c r="D577" s="1" t="s">
        <v>244</v>
      </c>
      <c r="E577" s="1" t="s">
        <v>243</v>
      </c>
      <c r="F577" s="1" t="s">
        <v>244</v>
      </c>
      <c r="G577" s="1" t="s">
        <v>1298</v>
      </c>
      <c r="H577" s="1" t="s">
        <v>1299</v>
      </c>
      <c r="I577" s="1" t="s">
        <v>242</v>
      </c>
      <c r="J577" s="1" t="s">
        <v>229</v>
      </c>
      <c r="K577" s="1" t="s">
        <v>118</v>
      </c>
      <c r="L577" s="1" t="s">
        <v>97</v>
      </c>
      <c r="V577" s="20">
        <v>4456800</v>
      </c>
      <c r="Z577" s="20">
        <v>2892500</v>
      </c>
      <c r="AA577" s="20">
        <v>4572000</v>
      </c>
      <c r="AB577" s="20">
        <v>11921300</v>
      </c>
      <c r="AL577" s="20">
        <v>12104150</v>
      </c>
      <c r="AP577" s="20">
        <v>3560000</v>
      </c>
      <c r="AQ577" s="20">
        <v>6172800</v>
      </c>
      <c r="AR577" s="20">
        <v>21836950</v>
      </c>
      <c r="BB577" s="20">
        <v>8394600</v>
      </c>
      <c r="BC577" s="20">
        <v>897600</v>
      </c>
      <c r="BF577" s="28">
        <v>3274100</v>
      </c>
      <c r="BG577" s="28">
        <v>5568000</v>
      </c>
      <c r="BH577" s="28">
        <v>18134300</v>
      </c>
      <c r="BI577" s="28">
        <v>51892550</v>
      </c>
    </row>
    <row r="578" spans="1:61" hidden="1" x14ac:dyDescent="0.3">
      <c r="A578" s="1" t="s">
        <v>739</v>
      </c>
      <c r="B578" s="1" t="s">
        <v>242</v>
      </c>
      <c r="C578" s="1" t="s">
        <v>243</v>
      </c>
      <c r="D578" s="1" t="s">
        <v>244</v>
      </c>
      <c r="E578" s="1" t="s">
        <v>243</v>
      </c>
      <c r="F578" s="1" t="s">
        <v>244</v>
      </c>
      <c r="G578" s="1" t="s">
        <v>1300</v>
      </c>
      <c r="H578" s="1" t="s">
        <v>1301</v>
      </c>
      <c r="I578" s="1" t="s">
        <v>242</v>
      </c>
      <c r="J578" s="1" t="s">
        <v>229</v>
      </c>
      <c r="K578" s="1" t="s">
        <v>118</v>
      </c>
      <c r="L578" s="1" t="s">
        <v>97</v>
      </c>
      <c r="V578" s="20">
        <v>9873600</v>
      </c>
      <c r="Z578" s="20">
        <v>1335000</v>
      </c>
      <c r="AA578" s="20">
        <v>9201600</v>
      </c>
      <c r="AB578" s="20">
        <v>20410200</v>
      </c>
      <c r="AL578" s="20">
        <v>9563100</v>
      </c>
      <c r="AN578" s="20">
        <v>408000</v>
      </c>
      <c r="AP578" s="20">
        <v>2225000</v>
      </c>
      <c r="AQ578" s="20">
        <v>8025600</v>
      </c>
      <c r="AR578" s="20">
        <v>20221700</v>
      </c>
      <c r="BB578" s="20">
        <v>6797000</v>
      </c>
      <c r="BC578" s="20">
        <v>897600</v>
      </c>
      <c r="BF578" s="28">
        <v>2146900</v>
      </c>
      <c r="BG578" s="28">
        <v>7504800</v>
      </c>
      <c r="BH578" s="28">
        <v>17346300</v>
      </c>
      <c r="BI578" s="28">
        <v>57978200</v>
      </c>
    </row>
    <row r="579" spans="1:61" hidden="1" x14ac:dyDescent="0.3">
      <c r="A579" s="1" t="s">
        <v>739</v>
      </c>
      <c r="B579" s="1" t="s">
        <v>242</v>
      </c>
      <c r="C579" s="1" t="s">
        <v>243</v>
      </c>
      <c r="D579" s="1" t="s">
        <v>244</v>
      </c>
      <c r="E579" s="1" t="s">
        <v>243</v>
      </c>
      <c r="F579" s="1" t="s">
        <v>244</v>
      </c>
      <c r="G579" s="1" t="s">
        <v>1302</v>
      </c>
      <c r="H579" s="1" t="s">
        <v>1303</v>
      </c>
      <c r="I579" s="1" t="s">
        <v>242</v>
      </c>
      <c r="J579" s="1" t="s">
        <v>229</v>
      </c>
      <c r="K579" s="1" t="s">
        <v>118</v>
      </c>
      <c r="L579" s="1" t="s">
        <v>97</v>
      </c>
      <c r="V579" s="20">
        <v>11127000</v>
      </c>
      <c r="Z579" s="20">
        <v>2670000</v>
      </c>
      <c r="AA579" s="20">
        <v>6172800</v>
      </c>
      <c r="AB579" s="20">
        <v>19969800</v>
      </c>
      <c r="AL579" s="20">
        <v>8211750</v>
      </c>
      <c r="AP579" s="20">
        <v>890000</v>
      </c>
      <c r="AQ579" s="20">
        <v>5829600</v>
      </c>
      <c r="AR579" s="20">
        <v>14931350</v>
      </c>
      <c r="BB579" s="20">
        <v>11615300</v>
      </c>
      <c r="BD579" s="28">
        <v>408000</v>
      </c>
      <c r="BF579" s="28">
        <v>1574500</v>
      </c>
      <c r="BG579" s="28">
        <v>8140800</v>
      </c>
      <c r="BH579" s="28">
        <v>21738600</v>
      </c>
      <c r="BI579" s="28">
        <v>56639750</v>
      </c>
    </row>
    <row r="580" spans="1:61" hidden="1" x14ac:dyDescent="0.3">
      <c r="A580" s="1" t="s">
        <v>739</v>
      </c>
      <c r="B580" s="1" t="s">
        <v>242</v>
      </c>
      <c r="C580" s="1" t="s">
        <v>243</v>
      </c>
      <c r="D580" s="1" t="s">
        <v>244</v>
      </c>
      <c r="E580" s="1" t="s">
        <v>243</v>
      </c>
      <c r="F580" s="1" t="s">
        <v>244</v>
      </c>
      <c r="G580" s="1" t="s">
        <v>1304</v>
      </c>
      <c r="H580" s="1" t="s">
        <v>1305</v>
      </c>
      <c r="I580" s="1" t="s">
        <v>242</v>
      </c>
      <c r="J580" s="1" t="s">
        <v>229</v>
      </c>
      <c r="K580" s="1" t="s">
        <v>118</v>
      </c>
      <c r="L580" s="1" t="s">
        <v>97</v>
      </c>
      <c r="V580" s="20">
        <v>36665700</v>
      </c>
      <c r="Z580" s="20">
        <v>5340000</v>
      </c>
      <c r="AA580" s="20">
        <v>16531200</v>
      </c>
      <c r="AB580" s="20">
        <v>58536900</v>
      </c>
      <c r="AL580" s="20">
        <v>31431400</v>
      </c>
      <c r="AN580" s="20">
        <v>1632000</v>
      </c>
      <c r="AP580" s="20">
        <v>6230000</v>
      </c>
      <c r="AQ580" s="20">
        <v>28132800</v>
      </c>
      <c r="AR580" s="20">
        <v>67426200</v>
      </c>
      <c r="BB580" s="20">
        <v>16484200</v>
      </c>
      <c r="BC580" s="20">
        <v>1795200</v>
      </c>
      <c r="BD580" s="28">
        <v>408000</v>
      </c>
      <c r="BF580" s="28">
        <v>5880700</v>
      </c>
      <c r="BG580" s="28">
        <v>22917600</v>
      </c>
      <c r="BH580" s="28">
        <v>47485700</v>
      </c>
      <c r="BI580" s="28">
        <v>173448800</v>
      </c>
    </row>
    <row r="581" spans="1:61" hidden="1" x14ac:dyDescent="0.3">
      <c r="A581" s="1" t="s">
        <v>739</v>
      </c>
      <c r="B581" s="1" t="s">
        <v>242</v>
      </c>
      <c r="C581" s="1" t="s">
        <v>243</v>
      </c>
      <c r="D581" s="1" t="s">
        <v>244</v>
      </c>
      <c r="E581" s="1" t="s">
        <v>243</v>
      </c>
      <c r="F581" s="1" t="s">
        <v>244</v>
      </c>
      <c r="G581" s="1" t="s">
        <v>1306</v>
      </c>
      <c r="H581" s="1" t="s">
        <v>1307</v>
      </c>
      <c r="I581" s="1" t="s">
        <v>242</v>
      </c>
      <c r="J581" s="1" t="s">
        <v>229</v>
      </c>
      <c r="K581" s="1" t="s">
        <v>118</v>
      </c>
      <c r="L581" s="1" t="s">
        <v>97</v>
      </c>
      <c r="V581" s="20">
        <v>5858400</v>
      </c>
      <c r="Z581" s="20">
        <v>890000</v>
      </c>
      <c r="AA581" s="20">
        <v>3542400</v>
      </c>
      <c r="AB581" s="20">
        <v>10290800</v>
      </c>
      <c r="AL581" s="20">
        <v>7113000</v>
      </c>
      <c r="AP581" s="20">
        <v>1112500</v>
      </c>
      <c r="AQ581" s="20">
        <v>2400000</v>
      </c>
      <c r="AR581" s="20">
        <v>10625500</v>
      </c>
      <c r="BB581" s="20">
        <v>5699400</v>
      </c>
      <c r="BF581" s="28">
        <v>445000</v>
      </c>
      <c r="BG581" s="28">
        <v>2400000</v>
      </c>
      <c r="BH581" s="28">
        <v>8544400</v>
      </c>
      <c r="BI581" s="28">
        <v>29460700</v>
      </c>
    </row>
    <row r="582" spans="1:61" hidden="1" x14ac:dyDescent="0.3">
      <c r="A582" s="1" t="s">
        <v>739</v>
      </c>
      <c r="B582" s="1" t="s">
        <v>242</v>
      </c>
      <c r="C582" s="1" t="s">
        <v>243</v>
      </c>
      <c r="D582" s="1" t="s">
        <v>244</v>
      </c>
      <c r="E582" s="1" t="s">
        <v>243</v>
      </c>
      <c r="F582" s="1" t="s">
        <v>244</v>
      </c>
      <c r="G582" s="1" t="s">
        <v>1308</v>
      </c>
      <c r="H582" s="1" t="s">
        <v>1309</v>
      </c>
      <c r="I582" s="1" t="s">
        <v>242</v>
      </c>
      <c r="J582" s="1" t="s">
        <v>229</v>
      </c>
      <c r="K582" s="1" t="s">
        <v>118</v>
      </c>
      <c r="L582" s="1" t="s">
        <v>97</v>
      </c>
      <c r="V582" s="20">
        <v>1179000</v>
      </c>
      <c r="AA582" s="20">
        <v>1428000</v>
      </c>
      <c r="AB582" s="20">
        <v>2607000</v>
      </c>
      <c r="AL582" s="20">
        <v>5303400</v>
      </c>
      <c r="AP582" s="20">
        <v>1335000</v>
      </c>
      <c r="AQ582" s="20">
        <v>1142400</v>
      </c>
      <c r="AR582" s="20">
        <v>7780800</v>
      </c>
      <c r="BB582" s="20">
        <v>2835000</v>
      </c>
      <c r="BF582" s="28">
        <v>2002500</v>
      </c>
      <c r="BG582" s="28">
        <v>856800</v>
      </c>
      <c r="BH582" s="28">
        <v>5694300</v>
      </c>
      <c r="BI582" s="28">
        <v>16082100</v>
      </c>
    </row>
    <row r="583" spans="1:61" hidden="1" x14ac:dyDescent="0.3">
      <c r="A583" s="1" t="s">
        <v>739</v>
      </c>
      <c r="B583" s="1" t="s">
        <v>242</v>
      </c>
      <c r="C583" s="1" t="s">
        <v>243</v>
      </c>
      <c r="D583" s="1" t="s">
        <v>244</v>
      </c>
      <c r="E583" s="1" t="s">
        <v>243</v>
      </c>
      <c r="F583" s="1" t="s">
        <v>244</v>
      </c>
      <c r="G583" s="1" t="s">
        <v>1310</v>
      </c>
      <c r="H583" s="1" t="s">
        <v>1311</v>
      </c>
      <c r="I583" s="1" t="s">
        <v>242</v>
      </c>
      <c r="J583" s="1" t="s">
        <v>229</v>
      </c>
      <c r="K583" s="1" t="s">
        <v>118</v>
      </c>
      <c r="L583" s="1" t="s">
        <v>97</v>
      </c>
      <c r="V583" s="20">
        <v>31197300</v>
      </c>
      <c r="Z583" s="20">
        <v>2892500</v>
      </c>
      <c r="AA583" s="20">
        <v>17746800</v>
      </c>
      <c r="AB583" s="20">
        <v>51836600</v>
      </c>
      <c r="AL583" s="20">
        <v>19035300</v>
      </c>
      <c r="AN583" s="20">
        <v>2040000</v>
      </c>
      <c r="AP583" s="20">
        <v>3115000</v>
      </c>
      <c r="AQ583" s="20">
        <v>19020000</v>
      </c>
      <c r="AR583" s="20">
        <v>43210300</v>
      </c>
      <c r="BB583" s="20">
        <v>28100900</v>
      </c>
      <c r="BC583" s="20">
        <v>2692800</v>
      </c>
      <c r="BD583" s="28">
        <v>408000</v>
      </c>
      <c r="BF583" s="28">
        <v>3926900</v>
      </c>
      <c r="BG583" s="28">
        <v>16888800</v>
      </c>
      <c r="BH583" s="28">
        <v>52017400</v>
      </c>
      <c r="BI583" s="28">
        <v>147064300</v>
      </c>
    </row>
    <row r="584" spans="1:61" hidden="1" x14ac:dyDescent="0.3">
      <c r="A584" s="1" t="s">
        <v>739</v>
      </c>
      <c r="B584" s="1" t="s">
        <v>242</v>
      </c>
      <c r="C584" s="1" t="s">
        <v>243</v>
      </c>
      <c r="D584" s="1" t="s">
        <v>244</v>
      </c>
      <c r="E584" s="1" t="s">
        <v>243</v>
      </c>
      <c r="F584" s="1" t="s">
        <v>244</v>
      </c>
      <c r="G584" s="1" t="s">
        <v>1312</v>
      </c>
      <c r="H584" s="1" t="s">
        <v>1313</v>
      </c>
      <c r="I584" s="1" t="s">
        <v>242</v>
      </c>
      <c r="J584" s="1" t="s">
        <v>229</v>
      </c>
      <c r="K584" s="1" t="s">
        <v>118</v>
      </c>
      <c r="L584" s="1" t="s">
        <v>97</v>
      </c>
      <c r="V584" s="20">
        <v>17269800</v>
      </c>
      <c r="Z584" s="20">
        <v>5117500</v>
      </c>
      <c r="AA584" s="20">
        <v>10908000</v>
      </c>
      <c r="AB584" s="20">
        <v>33295300</v>
      </c>
      <c r="AL584" s="20">
        <v>22575550</v>
      </c>
      <c r="AN584" s="20">
        <v>1632000</v>
      </c>
      <c r="AP584" s="20">
        <v>5340000</v>
      </c>
      <c r="AQ584" s="20">
        <v>10622400</v>
      </c>
      <c r="AR584" s="20">
        <v>40169950</v>
      </c>
      <c r="BB584" s="20">
        <v>20734300</v>
      </c>
      <c r="BC584" s="20">
        <v>897600</v>
      </c>
      <c r="BD584" s="28">
        <v>1224000</v>
      </c>
      <c r="BF584" s="28">
        <v>5706900</v>
      </c>
      <c r="BG584" s="28">
        <v>10548000</v>
      </c>
      <c r="BH584" s="28">
        <v>39110800</v>
      </c>
      <c r="BI584" s="28">
        <v>112576050</v>
      </c>
    </row>
    <row r="585" spans="1:61" hidden="1" x14ac:dyDescent="0.3">
      <c r="A585" s="1" t="s">
        <v>739</v>
      </c>
      <c r="B585" s="1" t="s">
        <v>242</v>
      </c>
      <c r="C585" s="1" t="s">
        <v>243</v>
      </c>
      <c r="D585" s="1" t="s">
        <v>244</v>
      </c>
      <c r="E585" s="1" t="s">
        <v>243</v>
      </c>
      <c r="F585" s="1" t="s">
        <v>244</v>
      </c>
      <c r="G585" s="1" t="s">
        <v>1314</v>
      </c>
      <c r="H585" s="1" t="s">
        <v>1315</v>
      </c>
      <c r="I585" s="1" t="s">
        <v>242</v>
      </c>
      <c r="J585" s="1" t="s">
        <v>229</v>
      </c>
      <c r="K585" s="1" t="s">
        <v>118</v>
      </c>
      <c r="L585" s="1" t="s">
        <v>97</v>
      </c>
      <c r="V585" s="20">
        <v>13238700</v>
      </c>
      <c r="Z585" s="20">
        <v>222500</v>
      </c>
      <c r="AA585" s="20">
        <v>5160000</v>
      </c>
      <c r="AB585" s="20">
        <v>18621200</v>
      </c>
      <c r="AL585" s="20">
        <v>8244100</v>
      </c>
      <c r="AP585" s="20">
        <v>1112500</v>
      </c>
      <c r="AQ585" s="20">
        <v>8760000</v>
      </c>
      <c r="AR585" s="20">
        <v>18116600</v>
      </c>
      <c r="BB585" s="20">
        <v>9988000</v>
      </c>
      <c r="BC585" s="20">
        <v>1346400</v>
      </c>
      <c r="BF585" s="28">
        <v>1112500</v>
      </c>
      <c r="BG585" s="28">
        <v>8899200</v>
      </c>
      <c r="BH585" s="28">
        <v>21346100</v>
      </c>
      <c r="BI585" s="28">
        <v>58083900</v>
      </c>
    </row>
    <row r="586" spans="1:61" hidden="1" x14ac:dyDescent="0.3">
      <c r="A586" s="1" t="s">
        <v>739</v>
      </c>
      <c r="B586" s="1" t="s">
        <v>242</v>
      </c>
      <c r="C586" s="1" t="s">
        <v>243</v>
      </c>
      <c r="D586" s="1" t="s">
        <v>244</v>
      </c>
      <c r="E586" s="1" t="s">
        <v>243</v>
      </c>
      <c r="F586" s="1" t="s">
        <v>244</v>
      </c>
      <c r="G586" s="1" t="s">
        <v>1316</v>
      </c>
      <c r="H586" s="1" t="s">
        <v>1317</v>
      </c>
      <c r="I586" s="1" t="s">
        <v>242</v>
      </c>
      <c r="J586" s="1" t="s">
        <v>229</v>
      </c>
      <c r="K586" s="1" t="s">
        <v>118</v>
      </c>
      <c r="L586" s="1" t="s">
        <v>97</v>
      </c>
      <c r="V586" s="20">
        <v>13044000</v>
      </c>
      <c r="Z586" s="20">
        <v>3115000</v>
      </c>
      <c r="AA586" s="20">
        <v>10742400</v>
      </c>
      <c r="AB586" s="20">
        <v>26901400</v>
      </c>
      <c r="AL586" s="20">
        <v>16381750</v>
      </c>
      <c r="AP586" s="20">
        <v>4005000</v>
      </c>
      <c r="AQ586" s="20">
        <v>10173600</v>
      </c>
      <c r="AR586" s="20">
        <v>30560350</v>
      </c>
      <c r="BB586" s="20">
        <v>19562600</v>
      </c>
      <c r="BC586" s="20">
        <v>2692800</v>
      </c>
      <c r="BF586" s="28">
        <v>3115000</v>
      </c>
      <c r="BG586" s="28">
        <v>10850400</v>
      </c>
      <c r="BH586" s="28">
        <v>36220800</v>
      </c>
      <c r="BI586" s="28">
        <v>93682550</v>
      </c>
    </row>
    <row r="587" spans="1:61" hidden="1" x14ac:dyDescent="0.3">
      <c r="A587" s="1" t="s">
        <v>739</v>
      </c>
      <c r="B587" s="1" t="s">
        <v>242</v>
      </c>
      <c r="C587" s="1" t="s">
        <v>243</v>
      </c>
      <c r="D587" s="1" t="s">
        <v>244</v>
      </c>
      <c r="E587" s="1" t="s">
        <v>243</v>
      </c>
      <c r="F587" s="1" t="s">
        <v>244</v>
      </c>
      <c r="G587" s="1" t="s">
        <v>1318</v>
      </c>
      <c r="H587" s="1" t="s">
        <v>1319</v>
      </c>
      <c r="I587" s="1" t="s">
        <v>242</v>
      </c>
      <c r="J587" s="1" t="s">
        <v>229</v>
      </c>
      <c r="K587" s="1" t="s">
        <v>118</v>
      </c>
      <c r="L587" s="1" t="s">
        <v>97</v>
      </c>
      <c r="V587" s="20">
        <v>11895900</v>
      </c>
      <c r="X587" s="20">
        <v>816000</v>
      </c>
      <c r="Z587" s="20">
        <v>2002500</v>
      </c>
      <c r="AA587" s="20">
        <v>6856800</v>
      </c>
      <c r="AB587" s="20">
        <v>21571200</v>
      </c>
      <c r="AL587" s="20">
        <v>9023100</v>
      </c>
      <c r="AN587" s="20">
        <v>816000</v>
      </c>
      <c r="AP587" s="20">
        <v>2002500</v>
      </c>
      <c r="AQ587" s="20">
        <v>9487200</v>
      </c>
      <c r="AR587" s="20">
        <v>21328800</v>
      </c>
      <c r="BB587" s="20">
        <v>11235700</v>
      </c>
      <c r="BD587" s="28">
        <v>816000</v>
      </c>
      <c r="BF587" s="28">
        <v>2146900</v>
      </c>
      <c r="BG587" s="28">
        <v>5911200</v>
      </c>
      <c r="BH587" s="28">
        <v>20109800</v>
      </c>
      <c r="BI587" s="28">
        <v>63009800</v>
      </c>
    </row>
    <row r="588" spans="1:61" hidden="1" x14ac:dyDescent="0.3">
      <c r="A588" s="1" t="s">
        <v>739</v>
      </c>
      <c r="B588" s="1" t="s">
        <v>242</v>
      </c>
      <c r="C588" s="1" t="s">
        <v>243</v>
      </c>
      <c r="D588" s="1" t="s">
        <v>244</v>
      </c>
      <c r="E588" s="1" t="s">
        <v>243</v>
      </c>
      <c r="F588" s="1" t="s">
        <v>244</v>
      </c>
      <c r="G588" s="1" t="s">
        <v>1320</v>
      </c>
      <c r="H588" s="1" t="s">
        <v>1321</v>
      </c>
      <c r="I588" s="1" t="s">
        <v>242</v>
      </c>
      <c r="J588" s="1" t="s">
        <v>229</v>
      </c>
      <c r="K588" s="1" t="s">
        <v>118</v>
      </c>
      <c r="L588" s="1" t="s">
        <v>97</v>
      </c>
      <c r="V588" s="20">
        <v>10808300</v>
      </c>
      <c r="X588" s="20">
        <v>816000</v>
      </c>
      <c r="Z588" s="20">
        <v>1335000</v>
      </c>
      <c r="AA588" s="20">
        <v>4874400</v>
      </c>
      <c r="AB588" s="20">
        <v>17833700</v>
      </c>
      <c r="AL588" s="20">
        <v>8196700</v>
      </c>
      <c r="AN588" s="20">
        <v>816000</v>
      </c>
      <c r="AP588" s="20">
        <v>1112500</v>
      </c>
      <c r="AQ588" s="20">
        <v>6597600</v>
      </c>
      <c r="AR588" s="20">
        <v>16722800</v>
      </c>
      <c r="BB588" s="20">
        <v>12109100</v>
      </c>
      <c r="BD588" s="28">
        <v>816000</v>
      </c>
      <c r="BF588" s="28">
        <v>1574500</v>
      </c>
      <c r="BG588" s="28">
        <v>7610400</v>
      </c>
      <c r="BH588" s="28">
        <v>22110000</v>
      </c>
      <c r="BI588" s="28">
        <v>56666500</v>
      </c>
    </row>
    <row r="589" spans="1:61" hidden="1" x14ac:dyDescent="0.3">
      <c r="A589" s="1" t="s">
        <v>739</v>
      </c>
      <c r="B589" s="1" t="s">
        <v>242</v>
      </c>
      <c r="C589" s="1" t="s">
        <v>243</v>
      </c>
      <c r="D589" s="1" t="s">
        <v>244</v>
      </c>
      <c r="E589" s="1" t="s">
        <v>243</v>
      </c>
      <c r="F589" s="1" t="s">
        <v>244</v>
      </c>
      <c r="G589" s="1" t="s">
        <v>1322</v>
      </c>
      <c r="H589" s="1" t="s">
        <v>1323</v>
      </c>
      <c r="I589" s="1" t="s">
        <v>242</v>
      </c>
      <c r="J589" s="1" t="s">
        <v>229</v>
      </c>
      <c r="K589" s="1" t="s">
        <v>118</v>
      </c>
      <c r="L589" s="1" t="s">
        <v>97</v>
      </c>
      <c r="V589" s="20">
        <v>10289400</v>
      </c>
      <c r="Z589" s="20">
        <v>2670000</v>
      </c>
      <c r="AA589" s="20">
        <v>12194400</v>
      </c>
      <c r="AB589" s="20">
        <v>25153800</v>
      </c>
      <c r="AL589" s="20">
        <v>16315200</v>
      </c>
      <c r="AN589" s="20">
        <v>408000</v>
      </c>
      <c r="AP589" s="20">
        <v>3560000</v>
      </c>
      <c r="AQ589" s="20">
        <v>12172800</v>
      </c>
      <c r="AR589" s="20">
        <v>32456000</v>
      </c>
      <c r="BB589" s="20">
        <v>9863800</v>
      </c>
      <c r="BC589" s="20">
        <v>448800</v>
      </c>
      <c r="BF589" s="28">
        <v>4293800</v>
      </c>
      <c r="BG589" s="28">
        <v>14052000</v>
      </c>
      <c r="BH589" s="28">
        <v>28658400</v>
      </c>
      <c r="BI589" s="28">
        <v>86268200</v>
      </c>
    </row>
    <row r="590" spans="1:61" hidden="1" x14ac:dyDescent="0.3">
      <c r="A590" s="1" t="s">
        <v>739</v>
      </c>
      <c r="B590" s="1" t="s">
        <v>242</v>
      </c>
      <c r="C590" s="1" t="s">
        <v>243</v>
      </c>
      <c r="D590" s="1" t="s">
        <v>244</v>
      </c>
      <c r="E590" s="1" t="s">
        <v>243</v>
      </c>
      <c r="F590" s="1" t="s">
        <v>244</v>
      </c>
      <c r="G590" s="1" t="s">
        <v>1324</v>
      </c>
      <c r="H590" s="1" t="s">
        <v>1325</v>
      </c>
      <c r="I590" s="1" t="s">
        <v>242</v>
      </c>
      <c r="J590" s="1" t="s">
        <v>229</v>
      </c>
      <c r="K590" s="1" t="s">
        <v>118</v>
      </c>
      <c r="L590" s="1" t="s">
        <v>97</v>
      </c>
      <c r="V590" s="20">
        <v>8726000</v>
      </c>
      <c r="X590" s="20">
        <v>408000</v>
      </c>
      <c r="Z590" s="20">
        <v>3115000</v>
      </c>
      <c r="AA590" s="20">
        <v>8287200</v>
      </c>
      <c r="AB590" s="20">
        <v>20536200</v>
      </c>
      <c r="AL590" s="20">
        <v>20956050</v>
      </c>
      <c r="AN590" s="20">
        <v>408000</v>
      </c>
      <c r="AP590" s="20">
        <v>2892500</v>
      </c>
      <c r="AQ590" s="20">
        <v>10231200</v>
      </c>
      <c r="AR590" s="20">
        <v>34487750</v>
      </c>
      <c r="BB590" s="20">
        <v>11668400</v>
      </c>
      <c r="BC590" s="20">
        <v>897600</v>
      </c>
      <c r="BF590" s="28">
        <v>3704400</v>
      </c>
      <c r="BG590" s="28">
        <v>9854400</v>
      </c>
      <c r="BH590" s="28">
        <v>26124800</v>
      </c>
      <c r="BI590" s="28">
        <v>81148750</v>
      </c>
    </row>
    <row r="591" spans="1:61" hidden="1" x14ac:dyDescent="0.3">
      <c r="A591" s="1" t="s">
        <v>739</v>
      </c>
      <c r="B591" s="1" t="s">
        <v>242</v>
      </c>
      <c r="C591" s="1" t="s">
        <v>243</v>
      </c>
      <c r="D591" s="1" t="s">
        <v>244</v>
      </c>
      <c r="E591" s="1" t="s">
        <v>243</v>
      </c>
      <c r="F591" s="1" t="s">
        <v>244</v>
      </c>
      <c r="G591" s="1" t="s">
        <v>1326</v>
      </c>
      <c r="H591" s="1" t="s">
        <v>1327</v>
      </c>
      <c r="I591" s="1" t="s">
        <v>242</v>
      </c>
      <c r="J591" s="1" t="s">
        <v>229</v>
      </c>
      <c r="K591" s="1" t="s">
        <v>118</v>
      </c>
      <c r="L591" s="1" t="s">
        <v>97</v>
      </c>
      <c r="V591" s="20">
        <v>24268800</v>
      </c>
      <c r="X591" s="20">
        <v>816000</v>
      </c>
      <c r="Z591" s="20">
        <v>2670000</v>
      </c>
      <c r="AA591" s="20">
        <v>15435600</v>
      </c>
      <c r="AB591" s="20">
        <v>43190400</v>
      </c>
      <c r="AL591" s="20">
        <v>21872250</v>
      </c>
      <c r="AN591" s="20">
        <v>408000</v>
      </c>
      <c r="AP591" s="20">
        <v>3560000</v>
      </c>
      <c r="AQ591" s="20">
        <v>15027600</v>
      </c>
      <c r="AR591" s="20">
        <v>40867850</v>
      </c>
      <c r="BB591" s="20">
        <v>13561600</v>
      </c>
      <c r="BC591" s="20">
        <v>897600</v>
      </c>
      <c r="BD591" s="28">
        <v>816000</v>
      </c>
      <c r="BF591" s="28">
        <v>2447500</v>
      </c>
      <c r="BG591" s="28">
        <v>14662800</v>
      </c>
      <c r="BH591" s="28">
        <v>32385500</v>
      </c>
      <c r="BI591" s="28">
        <v>116443750</v>
      </c>
    </row>
    <row r="592" spans="1:61" hidden="1" x14ac:dyDescent="0.3">
      <c r="A592" s="1" t="s">
        <v>739</v>
      </c>
      <c r="B592" s="1" t="s">
        <v>242</v>
      </c>
      <c r="C592" s="1" t="s">
        <v>243</v>
      </c>
      <c r="D592" s="1" t="s">
        <v>244</v>
      </c>
      <c r="E592" s="1" t="s">
        <v>243</v>
      </c>
      <c r="F592" s="1" t="s">
        <v>244</v>
      </c>
      <c r="G592" s="1" t="s">
        <v>1328</v>
      </c>
      <c r="H592" s="1" t="s">
        <v>1329</v>
      </c>
      <c r="I592" s="1" t="s">
        <v>242</v>
      </c>
      <c r="J592" s="1" t="s">
        <v>229</v>
      </c>
      <c r="K592" s="1" t="s">
        <v>118</v>
      </c>
      <c r="L592" s="1" t="s">
        <v>97</v>
      </c>
      <c r="V592" s="20">
        <v>8436900</v>
      </c>
      <c r="X592" s="20">
        <v>408000</v>
      </c>
      <c r="Z592" s="20">
        <v>3115000</v>
      </c>
      <c r="AA592" s="20">
        <v>7084800</v>
      </c>
      <c r="AB592" s="20">
        <v>19044700</v>
      </c>
      <c r="AL592" s="20">
        <v>7966350</v>
      </c>
      <c r="AP592" s="20">
        <v>2447500</v>
      </c>
      <c r="AQ592" s="20">
        <v>4915200</v>
      </c>
      <c r="AR592" s="20">
        <v>15329050</v>
      </c>
      <c r="BB592" s="20">
        <v>4694400</v>
      </c>
      <c r="BC592" s="20">
        <v>1346400</v>
      </c>
      <c r="BD592" s="28">
        <v>408000</v>
      </c>
      <c r="BF592" s="28">
        <v>3053900</v>
      </c>
      <c r="BG592" s="28">
        <v>4279200</v>
      </c>
      <c r="BH592" s="28">
        <v>13781900</v>
      </c>
      <c r="BI592" s="28">
        <v>48155650</v>
      </c>
    </row>
    <row r="593" spans="1:61" hidden="1" x14ac:dyDescent="0.3">
      <c r="A593" s="1" t="s">
        <v>739</v>
      </c>
      <c r="B593" s="1" t="s">
        <v>242</v>
      </c>
      <c r="C593" s="1" t="s">
        <v>243</v>
      </c>
      <c r="D593" s="1" t="s">
        <v>244</v>
      </c>
      <c r="E593" s="1" t="s">
        <v>243</v>
      </c>
      <c r="F593" s="1" t="s">
        <v>244</v>
      </c>
      <c r="G593" s="1" t="s">
        <v>1330</v>
      </c>
      <c r="H593" s="1" t="s">
        <v>1331</v>
      </c>
      <c r="I593" s="1" t="s">
        <v>242</v>
      </c>
      <c r="J593" s="1" t="s">
        <v>229</v>
      </c>
      <c r="K593" s="1" t="s">
        <v>118</v>
      </c>
      <c r="L593" s="1" t="s">
        <v>97</v>
      </c>
      <c r="V593" s="20">
        <v>7217400</v>
      </c>
      <c r="Z593" s="20">
        <v>890000</v>
      </c>
      <c r="AA593" s="20">
        <v>5332800</v>
      </c>
      <c r="AB593" s="20">
        <v>13440200</v>
      </c>
      <c r="AL593" s="20">
        <v>8452200</v>
      </c>
      <c r="AP593" s="20">
        <v>2002500</v>
      </c>
      <c r="AQ593" s="20">
        <v>7732800</v>
      </c>
      <c r="AR593" s="20">
        <v>18187500</v>
      </c>
      <c r="BB593" s="20">
        <v>7335100</v>
      </c>
      <c r="BF593" s="28">
        <v>1987800</v>
      </c>
      <c r="BG593" s="28">
        <v>3463200</v>
      </c>
      <c r="BH593" s="28">
        <v>12786100</v>
      </c>
      <c r="BI593" s="28">
        <v>44413800</v>
      </c>
    </row>
    <row r="594" spans="1:61" hidden="1" x14ac:dyDescent="0.3">
      <c r="A594" s="1" t="s">
        <v>739</v>
      </c>
      <c r="B594" s="1" t="s">
        <v>242</v>
      </c>
      <c r="C594" s="1" t="s">
        <v>243</v>
      </c>
      <c r="D594" s="1" t="s">
        <v>244</v>
      </c>
      <c r="E594" s="1" t="s">
        <v>243</v>
      </c>
      <c r="F594" s="1" t="s">
        <v>244</v>
      </c>
      <c r="G594" s="1" t="s">
        <v>1332</v>
      </c>
      <c r="H594" s="1" t="s">
        <v>1333</v>
      </c>
      <c r="I594" s="1" t="s">
        <v>242</v>
      </c>
      <c r="J594" s="1" t="s">
        <v>229</v>
      </c>
      <c r="K594" s="1" t="s">
        <v>118</v>
      </c>
      <c r="L594" s="1" t="s">
        <v>97</v>
      </c>
      <c r="V594" s="20">
        <v>8842800</v>
      </c>
      <c r="Z594" s="20">
        <v>3115000</v>
      </c>
      <c r="AA594" s="20">
        <v>11560800</v>
      </c>
      <c r="AB594" s="20">
        <v>23518600</v>
      </c>
      <c r="AL594" s="20">
        <v>17826200</v>
      </c>
      <c r="AN594" s="20">
        <v>408000</v>
      </c>
      <c r="AP594" s="20">
        <v>3115000</v>
      </c>
      <c r="AQ594" s="20">
        <v>12950400</v>
      </c>
      <c r="AR594" s="20">
        <v>34299600</v>
      </c>
      <c r="BB594" s="20">
        <v>24652200</v>
      </c>
      <c r="BD594" s="28">
        <v>816000</v>
      </c>
      <c r="BF594" s="28">
        <v>3259400</v>
      </c>
      <c r="BG594" s="28">
        <v>12576000</v>
      </c>
      <c r="BH594" s="28">
        <v>41303600</v>
      </c>
      <c r="BI594" s="28">
        <v>99121800</v>
      </c>
    </row>
    <row r="595" spans="1:61" hidden="1" x14ac:dyDescent="0.3">
      <c r="A595" s="1" t="s">
        <v>739</v>
      </c>
      <c r="B595" s="1" t="s">
        <v>242</v>
      </c>
      <c r="C595" s="1" t="s">
        <v>243</v>
      </c>
      <c r="D595" s="1" t="s">
        <v>244</v>
      </c>
      <c r="E595" s="1" t="s">
        <v>243</v>
      </c>
      <c r="F595" s="1" t="s">
        <v>244</v>
      </c>
      <c r="G595" s="1" t="s">
        <v>1334</v>
      </c>
      <c r="H595" s="1" t="s">
        <v>1335</v>
      </c>
      <c r="I595" s="1" t="s">
        <v>242</v>
      </c>
      <c r="J595" s="1" t="s">
        <v>229</v>
      </c>
      <c r="K595" s="1" t="s">
        <v>118</v>
      </c>
      <c r="L595" s="1" t="s">
        <v>97</v>
      </c>
      <c r="V595" s="20">
        <v>9051000</v>
      </c>
      <c r="Z595" s="20">
        <v>3799500</v>
      </c>
      <c r="AA595" s="20">
        <v>7706400</v>
      </c>
      <c r="AB595" s="20">
        <v>20556900</v>
      </c>
      <c r="AL595" s="20">
        <v>14830450</v>
      </c>
      <c r="AN595" s="20">
        <v>408000</v>
      </c>
      <c r="AP595" s="20">
        <v>5357000</v>
      </c>
      <c r="AQ595" s="20">
        <v>12064800</v>
      </c>
      <c r="AR595" s="20">
        <v>32660250</v>
      </c>
      <c r="BB595" s="20">
        <v>11753900</v>
      </c>
      <c r="BC595" s="20">
        <v>2692800</v>
      </c>
      <c r="BD595" s="28">
        <v>2448000</v>
      </c>
      <c r="BF595" s="28">
        <v>6105500</v>
      </c>
      <c r="BG595" s="28">
        <v>11287200</v>
      </c>
      <c r="BH595" s="28">
        <v>34287400</v>
      </c>
      <c r="BI595" s="28">
        <v>87504550</v>
      </c>
    </row>
    <row r="596" spans="1:61" hidden="1" x14ac:dyDescent="0.3">
      <c r="A596" s="1" t="s">
        <v>739</v>
      </c>
      <c r="B596" s="1" t="s">
        <v>242</v>
      </c>
      <c r="C596" s="1" t="s">
        <v>243</v>
      </c>
      <c r="D596" s="1" t="s">
        <v>244</v>
      </c>
      <c r="E596" s="1" t="s">
        <v>243</v>
      </c>
      <c r="F596" s="1" t="s">
        <v>244</v>
      </c>
      <c r="G596" s="1" t="s">
        <v>1336</v>
      </c>
      <c r="H596" s="1" t="s">
        <v>1337</v>
      </c>
      <c r="I596" s="1" t="s">
        <v>242</v>
      </c>
      <c r="J596" s="1" t="s">
        <v>229</v>
      </c>
      <c r="K596" s="1" t="s">
        <v>118</v>
      </c>
      <c r="L596" s="1" t="s">
        <v>97</v>
      </c>
      <c r="V596" s="20">
        <v>9246300</v>
      </c>
      <c r="Z596" s="20">
        <v>3337500</v>
      </c>
      <c r="AA596" s="20">
        <v>7416000</v>
      </c>
      <c r="AB596" s="20">
        <v>19999800</v>
      </c>
      <c r="AL596" s="20">
        <v>14701050</v>
      </c>
      <c r="AP596" s="20">
        <v>3115000</v>
      </c>
      <c r="AQ596" s="20">
        <v>10454400</v>
      </c>
      <c r="AR596" s="20">
        <v>28270450</v>
      </c>
      <c r="BB596" s="20">
        <v>10224100</v>
      </c>
      <c r="BD596" s="28">
        <v>816000</v>
      </c>
      <c r="BF596" s="28">
        <v>3831800</v>
      </c>
      <c r="BG596" s="28">
        <v>9859200</v>
      </c>
      <c r="BH596" s="28">
        <v>24731100</v>
      </c>
      <c r="BI596" s="28">
        <v>73001350</v>
      </c>
    </row>
    <row r="597" spans="1:61" hidden="1" x14ac:dyDescent="0.3">
      <c r="A597" s="1" t="s">
        <v>739</v>
      </c>
      <c r="B597" s="1" t="s">
        <v>242</v>
      </c>
      <c r="C597" s="1" t="s">
        <v>243</v>
      </c>
      <c r="D597" s="1" t="s">
        <v>244</v>
      </c>
      <c r="E597" s="1" t="s">
        <v>243</v>
      </c>
      <c r="F597" s="1" t="s">
        <v>244</v>
      </c>
      <c r="G597" s="1" t="s">
        <v>1338</v>
      </c>
      <c r="H597" s="1" t="s">
        <v>1339</v>
      </c>
      <c r="I597" s="1" t="s">
        <v>242</v>
      </c>
      <c r="J597" s="1" t="s">
        <v>229</v>
      </c>
      <c r="K597" s="1" t="s">
        <v>118</v>
      </c>
      <c r="L597" s="1" t="s">
        <v>97</v>
      </c>
      <c r="V597" s="20">
        <v>4174200</v>
      </c>
      <c r="Z597" s="20">
        <v>445000</v>
      </c>
      <c r="AA597" s="20">
        <v>2114400</v>
      </c>
      <c r="AB597" s="20">
        <v>6733600</v>
      </c>
      <c r="AL597" s="20">
        <v>4838400</v>
      </c>
      <c r="AQ597" s="20">
        <v>3902400</v>
      </c>
      <c r="AR597" s="20">
        <v>8740800</v>
      </c>
      <c r="BB597" s="20">
        <v>3437400</v>
      </c>
      <c r="BD597" s="28">
        <v>408000</v>
      </c>
      <c r="BG597" s="28">
        <v>2400000</v>
      </c>
      <c r="BH597" s="28">
        <v>6245400</v>
      </c>
      <c r="BI597" s="28">
        <v>21719800</v>
      </c>
    </row>
    <row r="598" spans="1:61" hidden="1" x14ac:dyDescent="0.3">
      <c r="A598" s="1" t="s">
        <v>739</v>
      </c>
      <c r="B598" s="1" t="s">
        <v>242</v>
      </c>
      <c r="C598" s="1" t="s">
        <v>243</v>
      </c>
      <c r="D598" s="1" t="s">
        <v>244</v>
      </c>
      <c r="E598" s="1" t="s">
        <v>243</v>
      </c>
      <c r="F598" s="1" t="s">
        <v>244</v>
      </c>
      <c r="G598" s="1" t="s">
        <v>1340</v>
      </c>
      <c r="H598" s="1" t="s">
        <v>1341</v>
      </c>
      <c r="I598" s="1" t="s">
        <v>242</v>
      </c>
      <c r="J598" s="1" t="s">
        <v>229</v>
      </c>
      <c r="K598" s="1" t="s">
        <v>118</v>
      </c>
      <c r="L598" s="1" t="s">
        <v>97</v>
      </c>
      <c r="V598" s="20">
        <v>13373400</v>
      </c>
      <c r="X598" s="20">
        <v>816000</v>
      </c>
      <c r="Z598" s="20">
        <v>2225000</v>
      </c>
      <c r="AA598" s="20">
        <v>15172800</v>
      </c>
      <c r="AB598" s="20">
        <v>31587200</v>
      </c>
      <c r="AL598" s="20">
        <v>16467700</v>
      </c>
      <c r="AN598" s="20">
        <v>816000</v>
      </c>
      <c r="AP598" s="20">
        <v>2002500</v>
      </c>
      <c r="AQ598" s="20">
        <v>11409600</v>
      </c>
      <c r="AR598" s="20">
        <v>30695800</v>
      </c>
      <c r="BB598" s="20">
        <v>17356600</v>
      </c>
      <c r="BC598" s="20">
        <v>2692800</v>
      </c>
      <c r="BD598" s="28">
        <v>408000</v>
      </c>
      <c r="BF598" s="28">
        <v>3276400</v>
      </c>
      <c r="BG598" s="28">
        <v>13116000</v>
      </c>
      <c r="BH598" s="28">
        <v>36849800</v>
      </c>
      <c r="BI598" s="28">
        <v>99132800</v>
      </c>
    </row>
    <row r="599" spans="1:61" hidden="1" x14ac:dyDescent="0.3">
      <c r="A599" s="1" t="s">
        <v>739</v>
      </c>
      <c r="B599" s="1" t="s">
        <v>242</v>
      </c>
      <c r="C599" s="1" t="s">
        <v>243</v>
      </c>
      <c r="D599" s="1" t="s">
        <v>244</v>
      </c>
      <c r="E599" s="1" t="s">
        <v>243</v>
      </c>
      <c r="F599" s="1" t="s">
        <v>244</v>
      </c>
      <c r="G599" s="1" t="s">
        <v>1342</v>
      </c>
      <c r="H599" s="1" t="s">
        <v>1343</v>
      </c>
      <c r="I599" s="1" t="s">
        <v>242</v>
      </c>
      <c r="J599" s="1" t="s">
        <v>229</v>
      </c>
      <c r="K599" s="1" t="s">
        <v>118</v>
      </c>
      <c r="L599" s="1" t="s">
        <v>97</v>
      </c>
      <c r="V599" s="20">
        <v>5051400</v>
      </c>
      <c r="Z599" s="20">
        <v>890000</v>
      </c>
      <c r="AA599" s="20">
        <v>7255200</v>
      </c>
      <c r="AB599" s="20">
        <v>13196600</v>
      </c>
      <c r="AL599" s="20">
        <v>8359900</v>
      </c>
      <c r="AP599" s="20">
        <v>445000</v>
      </c>
      <c r="AQ599" s="20">
        <v>7315200</v>
      </c>
      <c r="AR599" s="20">
        <v>16120100</v>
      </c>
      <c r="BB599" s="20">
        <v>9341300</v>
      </c>
      <c r="BF599" s="28">
        <v>1239900</v>
      </c>
      <c r="BG599" s="28">
        <v>6909600</v>
      </c>
      <c r="BH599" s="28">
        <v>17490800</v>
      </c>
      <c r="BI599" s="28">
        <v>46807500</v>
      </c>
    </row>
    <row r="600" spans="1:61" hidden="1" x14ac:dyDescent="0.3">
      <c r="A600" s="1" t="s">
        <v>739</v>
      </c>
      <c r="B600" s="1" t="s">
        <v>242</v>
      </c>
      <c r="C600" s="1" t="s">
        <v>243</v>
      </c>
      <c r="D600" s="1" t="s">
        <v>244</v>
      </c>
      <c r="E600" s="1" t="s">
        <v>243</v>
      </c>
      <c r="F600" s="1" t="s">
        <v>244</v>
      </c>
      <c r="G600" s="1" t="s">
        <v>1344</v>
      </c>
      <c r="H600" s="1" t="s">
        <v>1345</v>
      </c>
      <c r="I600" s="1" t="s">
        <v>242</v>
      </c>
      <c r="J600" s="1" t="s">
        <v>229</v>
      </c>
      <c r="K600" s="1" t="s">
        <v>118</v>
      </c>
      <c r="L600" s="1" t="s">
        <v>97</v>
      </c>
      <c r="V600" s="20">
        <v>7504500</v>
      </c>
      <c r="Z600" s="20">
        <v>1335000</v>
      </c>
      <c r="AA600" s="20">
        <v>3664800</v>
      </c>
      <c r="AB600" s="20">
        <v>12504300</v>
      </c>
      <c r="AL600" s="20">
        <v>9004300</v>
      </c>
      <c r="AN600" s="20">
        <v>408000</v>
      </c>
      <c r="AP600" s="20">
        <v>1780000</v>
      </c>
      <c r="AQ600" s="20">
        <v>8188800</v>
      </c>
      <c r="AR600" s="20">
        <v>19381100</v>
      </c>
      <c r="BB600" s="20">
        <v>3986200</v>
      </c>
      <c r="BC600" s="20">
        <v>1795200</v>
      </c>
      <c r="BF600" s="28">
        <v>2591900</v>
      </c>
      <c r="BG600" s="28">
        <v>4329600</v>
      </c>
      <c r="BH600" s="28">
        <v>12702900</v>
      </c>
      <c r="BI600" s="28">
        <v>44588300</v>
      </c>
    </row>
    <row r="601" spans="1:61" hidden="1" x14ac:dyDescent="0.3">
      <c r="A601" s="1" t="s">
        <v>739</v>
      </c>
      <c r="B601" s="1" t="s">
        <v>242</v>
      </c>
      <c r="C601" s="1" t="s">
        <v>243</v>
      </c>
      <c r="D601" s="1" t="s">
        <v>244</v>
      </c>
      <c r="E601" s="1" t="s">
        <v>243</v>
      </c>
      <c r="F601" s="1" t="s">
        <v>244</v>
      </c>
      <c r="G601" s="1" t="s">
        <v>1346</v>
      </c>
      <c r="H601" s="1" t="s">
        <v>1347</v>
      </c>
      <c r="I601" s="1" t="s">
        <v>242</v>
      </c>
      <c r="J601" s="1" t="s">
        <v>229</v>
      </c>
      <c r="K601" s="1" t="s">
        <v>118</v>
      </c>
      <c r="L601" s="1" t="s">
        <v>97</v>
      </c>
      <c r="V601" s="20">
        <v>15650400</v>
      </c>
      <c r="X601" s="20">
        <v>408000</v>
      </c>
      <c r="Z601" s="20">
        <v>2670000</v>
      </c>
      <c r="AA601" s="20">
        <v>10972800</v>
      </c>
      <c r="AB601" s="20">
        <v>29701200</v>
      </c>
      <c r="AL601" s="20">
        <v>11626250</v>
      </c>
      <c r="AP601" s="20">
        <v>2447500</v>
      </c>
      <c r="AQ601" s="20">
        <v>10514400</v>
      </c>
      <c r="AR601" s="20">
        <v>24588150</v>
      </c>
      <c r="BB601" s="20">
        <v>7699000</v>
      </c>
      <c r="BC601" s="20">
        <v>2692800</v>
      </c>
      <c r="BD601" s="28">
        <v>408000</v>
      </c>
      <c r="BF601" s="28">
        <v>2909500</v>
      </c>
      <c r="BG601" s="28">
        <v>12052800</v>
      </c>
      <c r="BH601" s="28">
        <v>25762100</v>
      </c>
      <c r="BI601" s="28">
        <v>80051450</v>
      </c>
    </row>
    <row r="602" spans="1:61" hidden="1" x14ac:dyDescent="0.3">
      <c r="A602" s="1" t="s">
        <v>739</v>
      </c>
      <c r="B602" s="1" t="s">
        <v>242</v>
      </c>
      <c r="C602" s="1" t="s">
        <v>243</v>
      </c>
      <c r="D602" s="1" t="s">
        <v>244</v>
      </c>
      <c r="E602" s="1" t="s">
        <v>243</v>
      </c>
      <c r="F602" s="1" t="s">
        <v>244</v>
      </c>
      <c r="G602" s="1" t="s">
        <v>1348</v>
      </c>
      <c r="H602" s="1" t="s">
        <v>1349</v>
      </c>
      <c r="I602" s="1" t="s">
        <v>242</v>
      </c>
      <c r="J602" s="1" t="s">
        <v>229</v>
      </c>
      <c r="K602" s="1" t="s">
        <v>118</v>
      </c>
      <c r="L602" s="1" t="s">
        <v>97</v>
      </c>
      <c r="V602" s="20">
        <v>1809600</v>
      </c>
      <c r="Z602" s="20">
        <v>222500</v>
      </c>
      <c r="AA602" s="20">
        <v>4800000</v>
      </c>
      <c r="AB602" s="20">
        <v>6832100</v>
      </c>
      <c r="AL602" s="20">
        <v>9941150</v>
      </c>
      <c r="AN602" s="20">
        <v>408000</v>
      </c>
      <c r="AP602" s="20">
        <v>667500</v>
      </c>
      <c r="AQ602" s="20">
        <v>4857600</v>
      </c>
      <c r="AR602" s="20">
        <v>15874250</v>
      </c>
      <c r="BB602" s="20">
        <v>4335600</v>
      </c>
      <c r="BD602" s="28">
        <v>408000</v>
      </c>
      <c r="BF602" s="28">
        <v>1924400</v>
      </c>
      <c r="BG602" s="28">
        <v>5112000</v>
      </c>
      <c r="BH602" s="28">
        <v>11780000</v>
      </c>
      <c r="BI602" s="28">
        <v>34486350</v>
      </c>
    </row>
    <row r="603" spans="1:61" hidden="1" x14ac:dyDescent="0.3">
      <c r="A603" s="1" t="s">
        <v>739</v>
      </c>
      <c r="B603" s="1" t="s">
        <v>242</v>
      </c>
      <c r="C603" s="1" t="s">
        <v>243</v>
      </c>
      <c r="D603" s="1" t="s">
        <v>244</v>
      </c>
      <c r="E603" s="1" t="s">
        <v>243</v>
      </c>
      <c r="F603" s="1" t="s">
        <v>244</v>
      </c>
      <c r="G603" s="1" t="s">
        <v>1350</v>
      </c>
      <c r="H603" s="1" t="s">
        <v>1351</v>
      </c>
      <c r="I603" s="1" t="s">
        <v>242</v>
      </c>
      <c r="J603" s="1" t="s">
        <v>229</v>
      </c>
      <c r="K603" s="1" t="s">
        <v>118</v>
      </c>
      <c r="L603" s="1" t="s">
        <v>97</v>
      </c>
      <c r="V603" s="20">
        <v>14785200</v>
      </c>
      <c r="W603" s="20">
        <v>1060800</v>
      </c>
      <c r="X603" s="20">
        <v>408000</v>
      </c>
      <c r="Z603" s="20">
        <v>2447500</v>
      </c>
      <c r="AA603" s="20">
        <v>6343200</v>
      </c>
      <c r="AB603" s="20">
        <v>25044700</v>
      </c>
      <c r="AL603" s="20">
        <v>13016050</v>
      </c>
      <c r="AM603" s="20">
        <v>530400</v>
      </c>
      <c r="AN603" s="20">
        <v>816000</v>
      </c>
      <c r="AP603" s="20">
        <v>2002500</v>
      </c>
      <c r="AQ603" s="20">
        <v>5428800</v>
      </c>
      <c r="AR603" s="20">
        <v>21793750</v>
      </c>
      <c r="BB603" s="20">
        <v>8358000</v>
      </c>
      <c r="BC603" s="20">
        <v>2407200</v>
      </c>
      <c r="BD603" s="28">
        <v>408000</v>
      </c>
      <c r="BF603" s="28">
        <v>2814400</v>
      </c>
      <c r="BG603" s="28">
        <v>6223200</v>
      </c>
      <c r="BH603" s="28">
        <v>20210800</v>
      </c>
      <c r="BI603" s="28">
        <v>67049250</v>
      </c>
    </row>
    <row r="604" spans="1:61" hidden="1" x14ac:dyDescent="0.3">
      <c r="A604" s="1" t="s">
        <v>739</v>
      </c>
      <c r="B604" s="1" t="s">
        <v>242</v>
      </c>
      <c r="C604" s="1" t="s">
        <v>243</v>
      </c>
      <c r="D604" s="1" t="s">
        <v>244</v>
      </c>
      <c r="E604" s="1" t="s">
        <v>243</v>
      </c>
      <c r="F604" s="1" t="s">
        <v>244</v>
      </c>
      <c r="G604" s="1" t="s">
        <v>1352</v>
      </c>
      <c r="H604" s="1" t="s">
        <v>1353</v>
      </c>
      <c r="I604" s="1" t="s">
        <v>242</v>
      </c>
      <c r="J604" s="1" t="s">
        <v>229</v>
      </c>
      <c r="K604" s="1" t="s">
        <v>118</v>
      </c>
      <c r="L604" s="1" t="s">
        <v>97</v>
      </c>
      <c r="V604" s="20">
        <v>3537300</v>
      </c>
      <c r="AA604" s="20">
        <v>4399200</v>
      </c>
      <c r="AB604" s="20">
        <v>7936500</v>
      </c>
      <c r="AL604" s="20">
        <v>3944500</v>
      </c>
      <c r="AP604" s="20">
        <v>890000</v>
      </c>
      <c r="AQ604" s="20">
        <v>5371200</v>
      </c>
      <c r="AR604" s="20">
        <v>10205700</v>
      </c>
      <c r="BB604" s="20">
        <v>6913200</v>
      </c>
      <c r="BF604" s="28">
        <v>1129500</v>
      </c>
      <c r="BG604" s="28">
        <v>2971200</v>
      </c>
      <c r="BH604" s="28">
        <v>11013900</v>
      </c>
      <c r="BI604" s="28">
        <v>29156100</v>
      </c>
    </row>
    <row r="605" spans="1:61" hidden="1" x14ac:dyDescent="0.3">
      <c r="A605" s="1" t="s">
        <v>739</v>
      </c>
      <c r="B605" s="1" t="s">
        <v>242</v>
      </c>
      <c r="C605" s="1" t="s">
        <v>243</v>
      </c>
      <c r="D605" s="1" t="s">
        <v>244</v>
      </c>
      <c r="E605" s="1" t="s">
        <v>243</v>
      </c>
      <c r="F605" s="1" t="s">
        <v>244</v>
      </c>
      <c r="G605" s="1" t="s">
        <v>1354</v>
      </c>
      <c r="H605" s="1" t="s">
        <v>1355</v>
      </c>
      <c r="I605" s="1" t="s">
        <v>242</v>
      </c>
      <c r="J605" s="1" t="s">
        <v>229</v>
      </c>
      <c r="K605" s="1" t="s">
        <v>118</v>
      </c>
      <c r="L605" s="1" t="s">
        <v>97</v>
      </c>
      <c r="V605" s="20">
        <v>7239000</v>
      </c>
      <c r="Z605" s="20">
        <v>2002500</v>
      </c>
      <c r="AA605" s="20">
        <v>6206400</v>
      </c>
      <c r="AB605" s="20">
        <v>15447900</v>
      </c>
      <c r="AL605" s="20">
        <v>7709250</v>
      </c>
      <c r="AN605" s="20">
        <v>408000</v>
      </c>
      <c r="AP605" s="20">
        <v>2225000</v>
      </c>
      <c r="AQ605" s="20">
        <v>6396000</v>
      </c>
      <c r="AR605" s="20">
        <v>16738250</v>
      </c>
      <c r="BB605" s="20">
        <v>11532100</v>
      </c>
      <c r="BC605" s="20">
        <v>448800</v>
      </c>
      <c r="BD605" s="28">
        <v>408000</v>
      </c>
      <c r="BF605" s="28">
        <v>3481900</v>
      </c>
      <c r="BG605" s="28">
        <v>6427200</v>
      </c>
      <c r="BH605" s="28">
        <v>22298000</v>
      </c>
      <c r="BI605" s="28">
        <v>54484150</v>
      </c>
    </row>
    <row r="606" spans="1:61" hidden="1" x14ac:dyDescent="0.3">
      <c r="A606" s="1" t="s">
        <v>739</v>
      </c>
      <c r="B606" s="1" t="s">
        <v>242</v>
      </c>
      <c r="C606" s="1" t="s">
        <v>243</v>
      </c>
      <c r="D606" s="1" t="s">
        <v>244</v>
      </c>
      <c r="E606" s="1" t="s">
        <v>243</v>
      </c>
      <c r="F606" s="1" t="s">
        <v>244</v>
      </c>
      <c r="G606" s="1" t="s">
        <v>1356</v>
      </c>
      <c r="H606" s="1" t="s">
        <v>1357</v>
      </c>
      <c r="I606" s="1" t="s">
        <v>242</v>
      </c>
      <c r="J606" s="1" t="s">
        <v>229</v>
      </c>
      <c r="K606" s="1" t="s">
        <v>118</v>
      </c>
      <c r="L606" s="1" t="s">
        <v>97</v>
      </c>
      <c r="V606" s="20">
        <v>10952400</v>
      </c>
      <c r="W606" s="20">
        <v>268200</v>
      </c>
      <c r="Z606" s="20">
        <v>2002500</v>
      </c>
      <c r="AA606" s="20">
        <v>6516000</v>
      </c>
      <c r="AB606" s="20">
        <v>19739100</v>
      </c>
      <c r="AL606" s="20">
        <v>4441800</v>
      </c>
      <c r="AP606" s="20">
        <v>1780000</v>
      </c>
      <c r="AQ606" s="20">
        <v>3715200</v>
      </c>
      <c r="AR606" s="20">
        <v>9937000</v>
      </c>
      <c r="BB606" s="20">
        <v>7060700</v>
      </c>
      <c r="BF606" s="28">
        <v>3943900</v>
      </c>
      <c r="BG606" s="28">
        <v>8916000</v>
      </c>
      <c r="BH606" s="28">
        <v>19920600</v>
      </c>
      <c r="BI606" s="28">
        <v>49596700</v>
      </c>
    </row>
    <row r="607" spans="1:61" hidden="1" x14ac:dyDescent="0.3">
      <c r="A607" s="1" t="s">
        <v>739</v>
      </c>
      <c r="B607" s="1" t="s">
        <v>242</v>
      </c>
      <c r="C607" s="1" t="s">
        <v>243</v>
      </c>
      <c r="D607" s="1" t="s">
        <v>244</v>
      </c>
      <c r="E607" s="1" t="s">
        <v>243</v>
      </c>
      <c r="F607" s="1" t="s">
        <v>244</v>
      </c>
      <c r="G607" s="1" t="s">
        <v>1358</v>
      </c>
      <c r="H607" s="1" t="s">
        <v>1359</v>
      </c>
      <c r="I607" s="1" t="s">
        <v>242</v>
      </c>
      <c r="J607" s="1" t="s">
        <v>229</v>
      </c>
      <c r="K607" s="1" t="s">
        <v>118</v>
      </c>
      <c r="L607" s="1" t="s">
        <v>97</v>
      </c>
      <c r="V607" s="20">
        <v>19558200</v>
      </c>
      <c r="X607" s="20">
        <v>816000</v>
      </c>
      <c r="Z607" s="20">
        <v>3354500</v>
      </c>
      <c r="AA607" s="20">
        <v>8500800</v>
      </c>
      <c r="AB607" s="20">
        <v>32229500</v>
      </c>
      <c r="AL607" s="20">
        <v>29875400</v>
      </c>
      <c r="AM607" s="20">
        <v>448800</v>
      </c>
      <c r="AN607" s="20">
        <v>1632000</v>
      </c>
      <c r="AP607" s="20">
        <v>4450000</v>
      </c>
      <c r="AQ607" s="20">
        <v>12487200</v>
      </c>
      <c r="AR607" s="20">
        <v>48893400</v>
      </c>
      <c r="BB607" s="20">
        <v>24021300</v>
      </c>
      <c r="BD607" s="28">
        <v>408000</v>
      </c>
      <c r="BF607" s="28">
        <v>3259400</v>
      </c>
      <c r="BG607" s="28">
        <v>11049600</v>
      </c>
      <c r="BH607" s="28">
        <v>38738300</v>
      </c>
      <c r="BI607" s="28">
        <v>119861200</v>
      </c>
    </row>
    <row r="608" spans="1:61" hidden="1" x14ac:dyDescent="0.3">
      <c r="A608" s="1" t="s">
        <v>739</v>
      </c>
      <c r="B608" s="1" t="s">
        <v>242</v>
      </c>
      <c r="C608" s="1" t="s">
        <v>243</v>
      </c>
      <c r="D608" s="1" t="s">
        <v>244</v>
      </c>
      <c r="E608" s="1" t="s">
        <v>243</v>
      </c>
      <c r="F608" s="1" t="s">
        <v>244</v>
      </c>
      <c r="G608" s="1" t="s">
        <v>1360</v>
      </c>
      <c r="H608" s="1" t="s">
        <v>1361</v>
      </c>
      <c r="I608" s="1" t="s">
        <v>242</v>
      </c>
      <c r="J608" s="1" t="s">
        <v>229</v>
      </c>
      <c r="K608" s="1" t="s">
        <v>118</v>
      </c>
      <c r="L608" s="1" t="s">
        <v>97</v>
      </c>
      <c r="V608" s="20">
        <v>10430100</v>
      </c>
      <c r="Z608" s="20">
        <v>445000</v>
      </c>
      <c r="AA608" s="20">
        <v>2114400</v>
      </c>
      <c r="AB608" s="20">
        <v>12989500</v>
      </c>
      <c r="AL608" s="20">
        <v>4344100</v>
      </c>
      <c r="AP608" s="20">
        <v>1335000</v>
      </c>
      <c r="AQ608" s="20">
        <v>2400000</v>
      </c>
      <c r="AR608" s="20">
        <v>8079100</v>
      </c>
      <c r="BB608" s="20">
        <v>6311800</v>
      </c>
      <c r="BC608" s="20">
        <v>1346400</v>
      </c>
      <c r="BF608" s="28">
        <v>1924400</v>
      </c>
      <c r="BG608" s="28">
        <v>2311200</v>
      </c>
      <c r="BH608" s="28">
        <v>11893800</v>
      </c>
      <c r="BI608" s="28">
        <v>32962400</v>
      </c>
    </row>
    <row r="609" spans="1:61" hidden="1" x14ac:dyDescent="0.3">
      <c r="A609" s="1" t="s">
        <v>739</v>
      </c>
      <c r="B609" s="1" t="s">
        <v>242</v>
      </c>
      <c r="C609" s="1" t="s">
        <v>243</v>
      </c>
      <c r="D609" s="1" t="s">
        <v>244</v>
      </c>
      <c r="E609" s="1" t="s">
        <v>243</v>
      </c>
      <c r="F609" s="1" t="s">
        <v>244</v>
      </c>
      <c r="G609" s="1" t="s">
        <v>1362</v>
      </c>
      <c r="H609" s="1" t="s">
        <v>1363</v>
      </c>
      <c r="I609" s="1" t="s">
        <v>242</v>
      </c>
      <c r="J609" s="1" t="s">
        <v>229</v>
      </c>
      <c r="K609" s="1" t="s">
        <v>118</v>
      </c>
      <c r="L609" s="1" t="s">
        <v>97</v>
      </c>
      <c r="Z609" s="20">
        <v>1335000</v>
      </c>
      <c r="AA609" s="20">
        <v>2858400</v>
      </c>
      <c r="AB609" s="20">
        <v>4193400</v>
      </c>
      <c r="BI609" s="28">
        <v>4193400</v>
      </c>
    </row>
    <row r="610" spans="1:61" hidden="1" x14ac:dyDescent="0.3">
      <c r="A610" s="1" t="s">
        <v>739</v>
      </c>
      <c r="B610" s="1" t="s">
        <v>242</v>
      </c>
      <c r="C610" s="1" t="s">
        <v>243</v>
      </c>
      <c r="D610" s="1" t="s">
        <v>244</v>
      </c>
      <c r="E610" s="1" t="s">
        <v>243</v>
      </c>
      <c r="F610" s="1" t="s">
        <v>244</v>
      </c>
      <c r="G610" s="1" t="s">
        <v>1364</v>
      </c>
      <c r="H610" s="1" t="s">
        <v>1365</v>
      </c>
      <c r="I610" s="1" t="s">
        <v>242</v>
      </c>
      <c r="J610" s="1" t="s">
        <v>229</v>
      </c>
      <c r="K610" s="1" t="s">
        <v>118</v>
      </c>
      <c r="L610" s="1" t="s">
        <v>97</v>
      </c>
      <c r="V610" s="20">
        <v>5421000</v>
      </c>
      <c r="Z610" s="20">
        <v>445000</v>
      </c>
      <c r="AA610" s="20">
        <v>2971200</v>
      </c>
      <c r="AB610" s="20">
        <v>8837200</v>
      </c>
      <c r="AL610" s="20">
        <v>6560150</v>
      </c>
      <c r="AP610" s="20">
        <v>1112500</v>
      </c>
      <c r="AQ610" s="20">
        <v>3372000</v>
      </c>
      <c r="AR610" s="20">
        <v>11044650</v>
      </c>
      <c r="BB610" s="20">
        <v>3428200</v>
      </c>
      <c r="BC610" s="20">
        <v>1346400</v>
      </c>
      <c r="BF610" s="28">
        <v>2146900</v>
      </c>
      <c r="BG610" s="28">
        <v>4452000</v>
      </c>
      <c r="BH610" s="28">
        <v>11373500</v>
      </c>
      <c r="BI610" s="28">
        <v>31255350</v>
      </c>
    </row>
    <row r="611" spans="1:61" hidden="1" x14ac:dyDescent="0.3">
      <c r="A611" s="1" t="s">
        <v>739</v>
      </c>
      <c r="B611" s="1" t="s">
        <v>242</v>
      </c>
      <c r="C611" s="1" t="s">
        <v>243</v>
      </c>
      <c r="D611" s="1" t="s">
        <v>244</v>
      </c>
      <c r="E611" s="1" t="s">
        <v>243</v>
      </c>
      <c r="F611" s="1" t="s">
        <v>244</v>
      </c>
      <c r="G611" s="1" t="s">
        <v>1366</v>
      </c>
      <c r="H611" s="1" t="s">
        <v>1367</v>
      </c>
      <c r="I611" s="1" t="s">
        <v>242</v>
      </c>
      <c r="J611" s="1" t="s">
        <v>229</v>
      </c>
      <c r="K611" s="1" t="s">
        <v>118</v>
      </c>
      <c r="L611" s="1" t="s">
        <v>97</v>
      </c>
      <c r="V611" s="20">
        <v>3608400</v>
      </c>
      <c r="Z611" s="20">
        <v>667500</v>
      </c>
      <c r="AA611" s="20">
        <v>1713600</v>
      </c>
      <c r="AB611" s="20">
        <v>5989500</v>
      </c>
      <c r="AL611" s="20">
        <v>6298800</v>
      </c>
      <c r="AP611" s="20">
        <v>1335000</v>
      </c>
      <c r="AQ611" s="20">
        <v>3780000</v>
      </c>
      <c r="AR611" s="20">
        <v>11413800</v>
      </c>
      <c r="BB611" s="20">
        <v>2932800</v>
      </c>
      <c r="BF611" s="28">
        <v>445000</v>
      </c>
      <c r="BG611" s="28">
        <v>1771200</v>
      </c>
      <c r="BH611" s="28">
        <v>5149000</v>
      </c>
      <c r="BI611" s="28">
        <v>22552300</v>
      </c>
    </row>
    <row r="612" spans="1:61" hidden="1" x14ac:dyDescent="0.3">
      <c r="A612" s="1" t="s">
        <v>739</v>
      </c>
      <c r="B612" s="1" t="s">
        <v>242</v>
      </c>
      <c r="C612" s="1" t="s">
        <v>243</v>
      </c>
      <c r="D612" s="1" t="s">
        <v>244</v>
      </c>
      <c r="E612" s="1" t="s">
        <v>243</v>
      </c>
      <c r="F612" s="1" t="s">
        <v>244</v>
      </c>
      <c r="G612" s="1" t="s">
        <v>1368</v>
      </c>
      <c r="H612" s="1" t="s">
        <v>1369</v>
      </c>
      <c r="I612" s="1" t="s">
        <v>242</v>
      </c>
      <c r="J612" s="1" t="s">
        <v>229</v>
      </c>
      <c r="K612" s="1" t="s">
        <v>118</v>
      </c>
      <c r="L612" s="1" t="s">
        <v>97</v>
      </c>
      <c r="V612" s="20">
        <v>6665700</v>
      </c>
      <c r="Z612" s="20">
        <v>445000</v>
      </c>
      <c r="AA612" s="20">
        <v>3664800</v>
      </c>
      <c r="AB612" s="20">
        <v>10775500</v>
      </c>
      <c r="AL612" s="20">
        <v>4797600</v>
      </c>
      <c r="AP612" s="20">
        <v>445000</v>
      </c>
      <c r="AQ612" s="20">
        <v>5258400</v>
      </c>
      <c r="AR612" s="20">
        <v>10501000</v>
      </c>
      <c r="BB612" s="20">
        <v>5578300</v>
      </c>
      <c r="BG612" s="28">
        <v>2311200</v>
      </c>
      <c r="BH612" s="28">
        <v>7889500</v>
      </c>
      <c r="BI612" s="28">
        <v>29166000</v>
      </c>
    </row>
    <row r="613" spans="1:61" hidden="1" x14ac:dyDescent="0.3">
      <c r="A613" s="1" t="s">
        <v>739</v>
      </c>
      <c r="B613" s="1" t="s">
        <v>242</v>
      </c>
      <c r="C613" s="1" t="s">
        <v>243</v>
      </c>
      <c r="D613" s="1" t="s">
        <v>244</v>
      </c>
      <c r="E613" s="1" t="s">
        <v>243</v>
      </c>
      <c r="F613" s="1" t="s">
        <v>244</v>
      </c>
      <c r="G613" s="1" t="s">
        <v>1370</v>
      </c>
      <c r="H613" s="1" t="s">
        <v>1371</v>
      </c>
      <c r="I613" s="1" t="s">
        <v>242</v>
      </c>
      <c r="J613" s="1" t="s">
        <v>229</v>
      </c>
      <c r="K613" s="1" t="s">
        <v>118</v>
      </c>
      <c r="L613" s="1" t="s">
        <v>97</v>
      </c>
      <c r="V613" s="20">
        <v>6063600</v>
      </c>
      <c r="Z613" s="20">
        <v>890000</v>
      </c>
      <c r="AA613" s="20">
        <v>4579200</v>
      </c>
      <c r="AB613" s="20">
        <v>11532800</v>
      </c>
      <c r="AL613" s="20">
        <v>4159500</v>
      </c>
      <c r="AP613" s="20">
        <v>890000</v>
      </c>
      <c r="AQ613" s="20">
        <v>6057600</v>
      </c>
      <c r="AR613" s="20">
        <v>11107100</v>
      </c>
      <c r="BB613" s="20">
        <v>8713600</v>
      </c>
      <c r="BC613" s="20">
        <v>0</v>
      </c>
      <c r="BD613" s="28">
        <v>816000</v>
      </c>
      <c r="BE613" s="28">
        <v>156000</v>
      </c>
      <c r="BF613" s="28">
        <v>1574500</v>
      </c>
      <c r="BG613" s="28">
        <v>6926400</v>
      </c>
      <c r="BH613" s="28">
        <v>18186500</v>
      </c>
      <c r="BI613" s="28">
        <v>40826400</v>
      </c>
    </row>
    <row r="614" spans="1:61" hidden="1" x14ac:dyDescent="0.3">
      <c r="A614" s="1" t="s">
        <v>739</v>
      </c>
      <c r="B614" s="1" t="s">
        <v>242</v>
      </c>
      <c r="C614" s="1" t="s">
        <v>243</v>
      </c>
      <c r="D614" s="1" t="s">
        <v>244</v>
      </c>
      <c r="E614" s="1" t="s">
        <v>243</v>
      </c>
      <c r="F614" s="1" t="s">
        <v>244</v>
      </c>
      <c r="G614" s="1" t="s">
        <v>1372</v>
      </c>
      <c r="H614" s="1" t="s">
        <v>1373</v>
      </c>
      <c r="I614" s="1" t="s">
        <v>242</v>
      </c>
      <c r="J614" s="1" t="s">
        <v>229</v>
      </c>
      <c r="K614" s="1" t="s">
        <v>118</v>
      </c>
      <c r="L614" s="1" t="s">
        <v>97</v>
      </c>
      <c r="V614" s="20">
        <v>5360700</v>
      </c>
      <c r="Z614" s="20">
        <v>2225000</v>
      </c>
      <c r="AA614" s="20">
        <v>7144800</v>
      </c>
      <c r="AB614" s="20">
        <v>14730500</v>
      </c>
      <c r="AL614" s="20">
        <v>8971850</v>
      </c>
      <c r="AP614" s="20">
        <v>2447500</v>
      </c>
      <c r="AQ614" s="20">
        <v>6288000</v>
      </c>
      <c r="AR614" s="20">
        <v>17707350</v>
      </c>
      <c r="BB614" s="20">
        <v>5922000</v>
      </c>
      <c r="BC614" s="20">
        <v>1795200</v>
      </c>
      <c r="BF614" s="28">
        <v>3498900</v>
      </c>
      <c r="BG614" s="28">
        <v>5652000</v>
      </c>
      <c r="BH614" s="28">
        <v>16868100</v>
      </c>
      <c r="BI614" s="28">
        <v>49305950</v>
      </c>
    </row>
    <row r="615" spans="1:61" hidden="1" x14ac:dyDescent="0.3">
      <c r="A615" s="1" t="s">
        <v>739</v>
      </c>
      <c r="B615" s="1" t="s">
        <v>242</v>
      </c>
      <c r="C615" s="1" t="s">
        <v>243</v>
      </c>
      <c r="D615" s="1" t="s">
        <v>244</v>
      </c>
      <c r="E615" s="1" t="s">
        <v>243</v>
      </c>
      <c r="F615" s="1" t="s">
        <v>244</v>
      </c>
      <c r="G615" s="1" t="s">
        <v>1374</v>
      </c>
      <c r="H615" s="1" t="s">
        <v>1375</v>
      </c>
      <c r="I615" s="1" t="s">
        <v>242</v>
      </c>
      <c r="J615" s="1" t="s">
        <v>229</v>
      </c>
      <c r="K615" s="1" t="s">
        <v>118</v>
      </c>
      <c r="L615" s="1" t="s">
        <v>97</v>
      </c>
      <c r="V615" s="20">
        <v>3819600</v>
      </c>
      <c r="Z615" s="20">
        <v>667500</v>
      </c>
      <c r="AA615" s="20">
        <v>3141600</v>
      </c>
      <c r="AB615" s="20">
        <v>7628700</v>
      </c>
      <c r="BI615" s="28">
        <v>7628700</v>
      </c>
    </row>
    <row r="616" spans="1:61" hidden="1" x14ac:dyDescent="0.3">
      <c r="A616" s="1" t="s">
        <v>739</v>
      </c>
      <c r="B616" s="1" t="s">
        <v>242</v>
      </c>
      <c r="C616" s="1" t="s">
        <v>243</v>
      </c>
      <c r="D616" s="1" t="s">
        <v>244</v>
      </c>
      <c r="E616" s="1" t="s">
        <v>243</v>
      </c>
      <c r="F616" s="1" t="s">
        <v>244</v>
      </c>
      <c r="G616" s="1" t="s">
        <v>1376</v>
      </c>
      <c r="H616" s="1" t="s">
        <v>1377</v>
      </c>
      <c r="I616" s="1" t="s">
        <v>242</v>
      </c>
      <c r="J616" s="1" t="s">
        <v>229</v>
      </c>
      <c r="K616" s="1" t="s">
        <v>118</v>
      </c>
      <c r="L616" s="1" t="s">
        <v>97</v>
      </c>
      <c r="V616" s="20">
        <v>3318600</v>
      </c>
      <c r="AA616" s="20">
        <v>1828800</v>
      </c>
      <c r="AB616" s="20">
        <v>5147400</v>
      </c>
      <c r="AL616" s="20">
        <v>4696800</v>
      </c>
      <c r="AQ616" s="20">
        <v>914400</v>
      </c>
      <c r="AR616" s="20">
        <v>5611200</v>
      </c>
      <c r="BB616" s="20">
        <v>5400000</v>
      </c>
      <c r="BG616" s="28">
        <v>914400</v>
      </c>
      <c r="BH616" s="28">
        <v>6314400</v>
      </c>
      <c r="BI616" s="28">
        <v>17073000</v>
      </c>
    </row>
    <row r="617" spans="1:61" hidden="1" x14ac:dyDescent="0.3">
      <c r="A617" s="1" t="s">
        <v>739</v>
      </c>
      <c r="B617" s="1" t="s">
        <v>242</v>
      </c>
      <c r="C617" s="1" t="s">
        <v>243</v>
      </c>
      <c r="D617" s="1" t="s">
        <v>244</v>
      </c>
      <c r="E617" s="1" t="s">
        <v>243</v>
      </c>
      <c r="F617" s="1" t="s">
        <v>244</v>
      </c>
      <c r="G617" s="1" t="s">
        <v>1378</v>
      </c>
      <c r="H617" s="1" t="s">
        <v>1379</v>
      </c>
      <c r="I617" s="1" t="s">
        <v>242</v>
      </c>
      <c r="J617" s="1" t="s">
        <v>229</v>
      </c>
      <c r="K617" s="1" t="s">
        <v>118</v>
      </c>
      <c r="L617" s="1" t="s">
        <v>97</v>
      </c>
      <c r="V617" s="20">
        <v>10871700</v>
      </c>
      <c r="X617" s="20">
        <v>408000</v>
      </c>
      <c r="Z617" s="20">
        <v>222500</v>
      </c>
      <c r="AA617" s="20">
        <v>9847200</v>
      </c>
      <c r="AB617" s="20">
        <v>21349400</v>
      </c>
      <c r="AL617" s="20">
        <v>11623200</v>
      </c>
      <c r="AN617" s="20">
        <v>408000</v>
      </c>
      <c r="AP617" s="20">
        <v>667500</v>
      </c>
      <c r="AQ617" s="20">
        <v>5829600</v>
      </c>
      <c r="AR617" s="20">
        <v>18528300</v>
      </c>
      <c r="BB617" s="20">
        <v>6011400</v>
      </c>
      <c r="BF617" s="28">
        <v>1670200</v>
      </c>
      <c r="BG617" s="28">
        <v>6866400</v>
      </c>
      <c r="BH617" s="28">
        <v>14548000</v>
      </c>
      <c r="BI617" s="28">
        <v>54425700</v>
      </c>
    </row>
    <row r="618" spans="1:61" hidden="1" x14ac:dyDescent="0.3">
      <c r="A618" s="1" t="s">
        <v>739</v>
      </c>
      <c r="B618" s="1" t="s">
        <v>242</v>
      </c>
      <c r="C618" s="1" t="s">
        <v>243</v>
      </c>
      <c r="D618" s="1" t="s">
        <v>244</v>
      </c>
      <c r="E618" s="1" t="s">
        <v>243</v>
      </c>
      <c r="F618" s="1" t="s">
        <v>244</v>
      </c>
      <c r="G618" s="1" t="s">
        <v>1380</v>
      </c>
      <c r="H618" s="1" t="s">
        <v>1381</v>
      </c>
      <c r="I618" s="1" t="s">
        <v>242</v>
      </c>
      <c r="J618" s="1" t="s">
        <v>229</v>
      </c>
      <c r="K618" s="1" t="s">
        <v>118</v>
      </c>
      <c r="L618" s="1" t="s">
        <v>97</v>
      </c>
      <c r="AA618" s="20">
        <v>914400</v>
      </c>
      <c r="AB618" s="20">
        <v>914400</v>
      </c>
      <c r="BI618" s="28">
        <v>914400</v>
      </c>
    </row>
    <row r="619" spans="1:61" hidden="1" x14ac:dyDescent="0.3">
      <c r="A619" s="1" t="s">
        <v>739</v>
      </c>
      <c r="B619" s="1" t="s">
        <v>242</v>
      </c>
      <c r="C619" s="1" t="s">
        <v>243</v>
      </c>
      <c r="D619" s="1" t="s">
        <v>244</v>
      </c>
      <c r="E619" s="1" t="s">
        <v>243</v>
      </c>
      <c r="F619" s="1" t="s">
        <v>244</v>
      </c>
      <c r="G619" s="1" t="s">
        <v>1382</v>
      </c>
      <c r="H619" s="1" t="s">
        <v>1383</v>
      </c>
      <c r="I619" s="1" t="s">
        <v>242</v>
      </c>
      <c r="J619" s="1" t="s">
        <v>229</v>
      </c>
      <c r="K619" s="1" t="s">
        <v>118</v>
      </c>
      <c r="L619" s="1" t="s">
        <v>97</v>
      </c>
      <c r="V619" s="20">
        <v>5294400</v>
      </c>
      <c r="AA619" s="20">
        <v>2114400</v>
      </c>
      <c r="AB619" s="20">
        <v>7408800</v>
      </c>
      <c r="AL619" s="20">
        <v>4722000</v>
      </c>
      <c r="AP619" s="20">
        <v>222500</v>
      </c>
      <c r="AQ619" s="20">
        <v>2628000</v>
      </c>
      <c r="AR619" s="20">
        <v>7572500</v>
      </c>
      <c r="BB619" s="20">
        <v>6417600</v>
      </c>
      <c r="BF619" s="28">
        <v>811900</v>
      </c>
      <c r="BG619" s="28">
        <v>4425600</v>
      </c>
      <c r="BH619" s="28">
        <v>11655100</v>
      </c>
      <c r="BI619" s="28">
        <v>26636400</v>
      </c>
    </row>
    <row r="620" spans="1:61" hidden="1" x14ac:dyDescent="0.3">
      <c r="A620" s="1" t="s">
        <v>739</v>
      </c>
      <c r="B620" s="1" t="s">
        <v>242</v>
      </c>
      <c r="C620" s="1" t="s">
        <v>243</v>
      </c>
      <c r="D620" s="1" t="s">
        <v>244</v>
      </c>
      <c r="E620" s="1" t="s">
        <v>243</v>
      </c>
      <c r="F620" s="1" t="s">
        <v>244</v>
      </c>
      <c r="G620" s="1" t="s">
        <v>1384</v>
      </c>
      <c r="H620" s="1" t="s">
        <v>1385</v>
      </c>
      <c r="I620" s="1" t="s">
        <v>242</v>
      </c>
      <c r="J620" s="1" t="s">
        <v>229</v>
      </c>
      <c r="K620" s="1" t="s">
        <v>118</v>
      </c>
      <c r="L620" s="1" t="s">
        <v>97</v>
      </c>
      <c r="V620" s="20">
        <v>19477500</v>
      </c>
      <c r="W620" s="20">
        <v>448800</v>
      </c>
      <c r="X620" s="20">
        <v>816000</v>
      </c>
      <c r="Y620" s="20">
        <v>502272</v>
      </c>
      <c r="Z620" s="20">
        <v>6628880</v>
      </c>
      <c r="AA620" s="20">
        <v>9792000</v>
      </c>
      <c r="AB620" s="20">
        <v>37665452</v>
      </c>
      <c r="AL620" s="20">
        <v>16460700</v>
      </c>
      <c r="AN620" s="20">
        <v>408000</v>
      </c>
      <c r="AO620" s="20">
        <v>1010272</v>
      </c>
      <c r="AP620" s="20">
        <v>8550700</v>
      </c>
      <c r="AQ620" s="20">
        <v>11834400</v>
      </c>
      <c r="AR620" s="20">
        <v>38264072</v>
      </c>
      <c r="BB620" s="20">
        <v>12851700</v>
      </c>
      <c r="BC620" s="20">
        <v>448800</v>
      </c>
      <c r="BD620" s="28">
        <v>1632000</v>
      </c>
      <c r="BE620" s="28">
        <v>523200</v>
      </c>
      <c r="BF620" s="28">
        <v>9680480</v>
      </c>
      <c r="BG620" s="28">
        <v>17484000</v>
      </c>
      <c r="BH620" s="28">
        <v>42620180</v>
      </c>
      <c r="BI620" s="28">
        <v>118549704</v>
      </c>
    </row>
    <row r="621" spans="1:61" hidden="1" x14ac:dyDescent="0.3">
      <c r="A621" s="1" t="s">
        <v>739</v>
      </c>
      <c r="B621" s="1" t="s">
        <v>242</v>
      </c>
      <c r="C621" s="1" t="s">
        <v>243</v>
      </c>
      <c r="D621" s="1" t="s">
        <v>244</v>
      </c>
      <c r="E621" s="1" t="s">
        <v>243</v>
      </c>
      <c r="F621" s="1" t="s">
        <v>244</v>
      </c>
      <c r="G621" s="1" t="s">
        <v>1386</v>
      </c>
      <c r="H621" s="1" t="s">
        <v>1387</v>
      </c>
      <c r="I621" s="1" t="s">
        <v>242</v>
      </c>
      <c r="J621" s="1" t="s">
        <v>229</v>
      </c>
      <c r="K621" s="1" t="s">
        <v>118</v>
      </c>
      <c r="L621" s="1" t="s">
        <v>97</v>
      </c>
      <c r="V621" s="20">
        <v>8408700</v>
      </c>
      <c r="Z621" s="20">
        <v>890000</v>
      </c>
      <c r="AA621" s="20">
        <v>6292800</v>
      </c>
      <c r="AB621" s="20">
        <v>15591500</v>
      </c>
      <c r="AL621" s="20">
        <v>3406550</v>
      </c>
      <c r="AN621" s="20">
        <v>408000</v>
      </c>
      <c r="AP621" s="20">
        <v>1335000</v>
      </c>
      <c r="AQ621" s="20">
        <v>4809600</v>
      </c>
      <c r="AR621" s="20">
        <v>9959150</v>
      </c>
      <c r="BB621" s="20">
        <v>12201000</v>
      </c>
      <c r="BF621" s="28">
        <v>858300</v>
      </c>
      <c r="BG621" s="28">
        <v>5176800</v>
      </c>
      <c r="BH621" s="28">
        <v>18236100</v>
      </c>
      <c r="BI621" s="28">
        <v>43786750</v>
      </c>
    </row>
    <row r="622" spans="1:61" hidden="1" x14ac:dyDescent="0.3">
      <c r="A622" s="1" t="s">
        <v>739</v>
      </c>
      <c r="B622" s="1" t="s">
        <v>242</v>
      </c>
      <c r="C622" s="1" t="s">
        <v>243</v>
      </c>
      <c r="D622" s="1" t="s">
        <v>244</v>
      </c>
      <c r="E622" s="1" t="s">
        <v>243</v>
      </c>
      <c r="F622" s="1" t="s">
        <v>244</v>
      </c>
      <c r="G622" s="1" t="s">
        <v>1388</v>
      </c>
      <c r="H622" s="1" t="s">
        <v>1389</v>
      </c>
      <c r="I622" s="1" t="s">
        <v>242</v>
      </c>
      <c r="J622" s="1" t="s">
        <v>229</v>
      </c>
      <c r="K622" s="1" t="s">
        <v>118</v>
      </c>
      <c r="L622" s="1" t="s">
        <v>97</v>
      </c>
      <c r="V622" s="20">
        <v>532500</v>
      </c>
      <c r="AB622" s="20">
        <v>532500</v>
      </c>
      <c r="AL622" s="20">
        <v>4530000</v>
      </c>
      <c r="AP622" s="20">
        <v>667500</v>
      </c>
      <c r="AR622" s="20">
        <v>5197500</v>
      </c>
      <c r="BI622" s="28">
        <v>5730000</v>
      </c>
    </row>
    <row r="623" spans="1:61" hidden="1" x14ac:dyDescent="0.3">
      <c r="A623" s="1" t="s">
        <v>739</v>
      </c>
      <c r="B623" s="1" t="s">
        <v>242</v>
      </c>
      <c r="C623" s="1" t="s">
        <v>243</v>
      </c>
      <c r="D623" s="1" t="s">
        <v>244</v>
      </c>
      <c r="E623" s="1" t="s">
        <v>243</v>
      </c>
      <c r="F623" s="1" t="s">
        <v>244</v>
      </c>
      <c r="G623" s="1" t="s">
        <v>1390</v>
      </c>
      <c r="H623" s="1" t="s">
        <v>1391</v>
      </c>
      <c r="I623" s="1" t="s">
        <v>242</v>
      </c>
      <c r="J623" s="1" t="s">
        <v>229</v>
      </c>
      <c r="K623" s="1" t="s">
        <v>118</v>
      </c>
      <c r="L623" s="1" t="s">
        <v>97</v>
      </c>
      <c r="V623" s="20">
        <v>3477000</v>
      </c>
      <c r="Z623" s="20">
        <v>445000</v>
      </c>
      <c r="AA623" s="20">
        <v>3600000</v>
      </c>
      <c r="AB623" s="20">
        <v>7522000</v>
      </c>
      <c r="AL623" s="20">
        <v>4138200</v>
      </c>
      <c r="AP623" s="20">
        <v>1557500</v>
      </c>
      <c r="AQ623" s="20">
        <v>3657600</v>
      </c>
      <c r="AR623" s="20">
        <v>9353300</v>
      </c>
      <c r="BB623" s="20">
        <v>2227500</v>
      </c>
      <c r="BF623" s="28">
        <v>1112500</v>
      </c>
      <c r="BG623" s="28">
        <v>3715200</v>
      </c>
      <c r="BH623" s="28">
        <v>7055200</v>
      </c>
      <c r="BI623" s="28">
        <v>23930500</v>
      </c>
    </row>
    <row r="624" spans="1:61" hidden="1" x14ac:dyDescent="0.3">
      <c r="A624" s="1" t="s">
        <v>739</v>
      </c>
      <c r="B624" s="1" t="s">
        <v>242</v>
      </c>
      <c r="C624" s="1" t="s">
        <v>243</v>
      </c>
      <c r="D624" s="1" t="s">
        <v>244</v>
      </c>
      <c r="E624" s="1" t="s">
        <v>243</v>
      </c>
      <c r="F624" s="1" t="s">
        <v>244</v>
      </c>
      <c r="G624" s="1" t="s">
        <v>1392</v>
      </c>
      <c r="H624" s="1" t="s">
        <v>1393</v>
      </c>
      <c r="I624" s="1" t="s">
        <v>242</v>
      </c>
      <c r="J624" s="1" t="s">
        <v>229</v>
      </c>
      <c r="K624" s="1" t="s">
        <v>118</v>
      </c>
      <c r="L624" s="1" t="s">
        <v>97</v>
      </c>
      <c r="V624" s="20">
        <v>7246200</v>
      </c>
      <c r="Z624" s="20">
        <v>1780000</v>
      </c>
      <c r="AA624" s="20">
        <v>3429600</v>
      </c>
      <c r="AB624" s="20">
        <v>12455800</v>
      </c>
      <c r="AL624" s="20">
        <v>4908600</v>
      </c>
      <c r="AP624" s="20">
        <v>1557500</v>
      </c>
      <c r="AQ624" s="20">
        <v>5488800</v>
      </c>
      <c r="AR624" s="20">
        <v>11954900</v>
      </c>
      <c r="BB624" s="20">
        <v>12299000</v>
      </c>
      <c r="BC624" s="20">
        <v>897600</v>
      </c>
      <c r="BF624" s="28">
        <v>1797000</v>
      </c>
      <c r="BG624" s="28">
        <v>3796800</v>
      </c>
      <c r="BH624" s="28">
        <v>18790400</v>
      </c>
      <c r="BI624" s="28">
        <v>43201100</v>
      </c>
    </row>
    <row r="625" spans="1:61" hidden="1" x14ac:dyDescent="0.3">
      <c r="A625" s="1" t="s">
        <v>739</v>
      </c>
      <c r="B625" s="1" t="s">
        <v>242</v>
      </c>
      <c r="C625" s="1" t="s">
        <v>243</v>
      </c>
      <c r="D625" s="1" t="s">
        <v>244</v>
      </c>
      <c r="E625" s="1" t="s">
        <v>243</v>
      </c>
      <c r="F625" s="1" t="s">
        <v>244</v>
      </c>
      <c r="G625" s="1" t="s">
        <v>1394</v>
      </c>
      <c r="H625" s="1" t="s">
        <v>1395</v>
      </c>
      <c r="I625" s="1" t="s">
        <v>242</v>
      </c>
      <c r="J625" s="1" t="s">
        <v>229</v>
      </c>
      <c r="K625" s="1" t="s">
        <v>118</v>
      </c>
      <c r="L625" s="1" t="s">
        <v>97</v>
      </c>
      <c r="V625" s="20">
        <v>4076400</v>
      </c>
      <c r="Z625" s="20">
        <v>445000</v>
      </c>
      <c r="AA625" s="20">
        <v>3331200</v>
      </c>
      <c r="AB625" s="20">
        <v>7852600</v>
      </c>
      <c r="AL625" s="20">
        <v>6420000</v>
      </c>
      <c r="AP625" s="20">
        <v>1112500</v>
      </c>
      <c r="AQ625" s="20">
        <v>5455200</v>
      </c>
      <c r="AR625" s="20">
        <v>12987700</v>
      </c>
      <c r="BB625" s="20">
        <v>4010400</v>
      </c>
      <c r="BC625" s="20">
        <v>897600</v>
      </c>
      <c r="BF625" s="28">
        <v>1462400</v>
      </c>
      <c r="BG625" s="28">
        <v>3806400</v>
      </c>
      <c r="BH625" s="28">
        <v>10176800</v>
      </c>
      <c r="BI625" s="28">
        <v>31017100</v>
      </c>
    </row>
    <row r="626" spans="1:61" hidden="1" x14ac:dyDescent="0.3">
      <c r="A626" s="1" t="s">
        <v>739</v>
      </c>
      <c r="B626" s="1" t="s">
        <v>242</v>
      </c>
      <c r="C626" s="1" t="s">
        <v>243</v>
      </c>
      <c r="D626" s="1" t="s">
        <v>244</v>
      </c>
      <c r="E626" s="1" t="s">
        <v>243</v>
      </c>
      <c r="F626" s="1" t="s">
        <v>244</v>
      </c>
      <c r="G626" s="1" t="s">
        <v>1396</v>
      </c>
      <c r="H626" s="1" t="s">
        <v>1397</v>
      </c>
      <c r="I626" s="1" t="s">
        <v>242</v>
      </c>
      <c r="J626" s="1" t="s">
        <v>229</v>
      </c>
      <c r="K626" s="1" t="s">
        <v>118</v>
      </c>
      <c r="L626" s="1" t="s">
        <v>97</v>
      </c>
      <c r="V626" s="20">
        <v>21293400</v>
      </c>
      <c r="Z626" s="20">
        <v>1112500</v>
      </c>
      <c r="AA626" s="20">
        <v>6909600</v>
      </c>
      <c r="AB626" s="20">
        <v>29315500</v>
      </c>
      <c r="AL626" s="20">
        <v>33940550</v>
      </c>
      <c r="AP626" s="20">
        <v>1780000</v>
      </c>
      <c r="AQ626" s="20">
        <v>8949600</v>
      </c>
      <c r="AR626" s="20">
        <v>44670150</v>
      </c>
      <c r="BB626" s="20">
        <v>22273800</v>
      </c>
      <c r="BF626" s="28">
        <v>2019500</v>
      </c>
      <c r="BG626" s="28">
        <v>8827200</v>
      </c>
      <c r="BH626" s="28">
        <v>33120500</v>
      </c>
      <c r="BI626" s="28">
        <v>107106150</v>
      </c>
    </row>
    <row r="627" spans="1:61" hidden="1" x14ac:dyDescent="0.3">
      <c r="A627" s="1" t="s">
        <v>739</v>
      </c>
      <c r="B627" s="1" t="s">
        <v>242</v>
      </c>
      <c r="C627" s="1" t="s">
        <v>243</v>
      </c>
      <c r="D627" s="1" t="s">
        <v>244</v>
      </c>
      <c r="E627" s="1" t="s">
        <v>243</v>
      </c>
      <c r="F627" s="1" t="s">
        <v>244</v>
      </c>
      <c r="G627" s="1" t="s">
        <v>1398</v>
      </c>
      <c r="H627" s="1" t="s">
        <v>1399</v>
      </c>
      <c r="I627" s="1" t="s">
        <v>242</v>
      </c>
      <c r="J627" s="1" t="s">
        <v>229</v>
      </c>
      <c r="K627" s="1" t="s">
        <v>118</v>
      </c>
      <c r="L627" s="1" t="s">
        <v>97</v>
      </c>
      <c r="V627" s="20">
        <v>7592100</v>
      </c>
      <c r="Z627" s="20">
        <v>890000</v>
      </c>
      <c r="AA627" s="20">
        <v>7104000</v>
      </c>
      <c r="AB627" s="20">
        <v>15586100</v>
      </c>
      <c r="AL627" s="20">
        <v>9131600</v>
      </c>
      <c r="AP627" s="20">
        <v>667500</v>
      </c>
      <c r="AQ627" s="20">
        <v>6237600</v>
      </c>
      <c r="AR627" s="20">
        <v>16036700</v>
      </c>
      <c r="BB627" s="20">
        <v>5785400</v>
      </c>
      <c r="BF627" s="28">
        <v>1716600</v>
      </c>
      <c r="BG627" s="28">
        <v>7111200</v>
      </c>
      <c r="BH627" s="28">
        <v>14613200</v>
      </c>
      <c r="BI627" s="28">
        <v>46236000</v>
      </c>
    </row>
    <row r="628" spans="1:61" hidden="1" x14ac:dyDescent="0.3">
      <c r="A628" s="1" t="s">
        <v>739</v>
      </c>
      <c r="B628" s="1" t="s">
        <v>242</v>
      </c>
      <c r="C628" s="1" t="s">
        <v>243</v>
      </c>
      <c r="D628" s="1" t="s">
        <v>244</v>
      </c>
      <c r="E628" s="1" t="s">
        <v>243</v>
      </c>
      <c r="F628" s="1" t="s">
        <v>244</v>
      </c>
      <c r="G628" s="1" t="s">
        <v>1400</v>
      </c>
      <c r="H628" s="1" t="s">
        <v>1401</v>
      </c>
      <c r="I628" s="1" t="s">
        <v>242</v>
      </c>
      <c r="J628" s="1" t="s">
        <v>229</v>
      </c>
      <c r="K628" s="1" t="s">
        <v>118</v>
      </c>
      <c r="L628" s="1" t="s">
        <v>97</v>
      </c>
      <c r="V628" s="20">
        <v>5294700</v>
      </c>
      <c r="Z628" s="20">
        <v>445000</v>
      </c>
      <c r="AA628" s="20">
        <v>11209200</v>
      </c>
      <c r="AB628" s="20">
        <v>16948900</v>
      </c>
      <c r="AL628" s="20">
        <v>11637050</v>
      </c>
      <c r="AN628" s="20">
        <v>816000</v>
      </c>
      <c r="AP628" s="20">
        <v>1335000</v>
      </c>
      <c r="AQ628" s="20">
        <v>12895200</v>
      </c>
      <c r="AR628" s="20">
        <v>26683250</v>
      </c>
      <c r="BB628" s="20">
        <v>4566200</v>
      </c>
      <c r="BC628" s="20">
        <v>1346400</v>
      </c>
      <c r="BF628" s="28">
        <v>1924400</v>
      </c>
      <c r="BG628" s="28">
        <v>13711200</v>
      </c>
      <c r="BH628" s="28">
        <v>21548200</v>
      </c>
      <c r="BI628" s="28">
        <v>65180350</v>
      </c>
    </row>
    <row r="629" spans="1:61" hidden="1" x14ac:dyDescent="0.3">
      <c r="A629" s="1" t="s">
        <v>739</v>
      </c>
      <c r="B629" s="1" t="s">
        <v>242</v>
      </c>
      <c r="C629" s="1" t="s">
        <v>243</v>
      </c>
      <c r="D629" s="1" t="s">
        <v>244</v>
      </c>
      <c r="E629" s="1" t="s">
        <v>243</v>
      </c>
      <c r="F629" s="1" t="s">
        <v>244</v>
      </c>
      <c r="G629" s="1" t="s">
        <v>1402</v>
      </c>
      <c r="H629" s="1" t="s">
        <v>1403</v>
      </c>
      <c r="I629" s="1" t="s">
        <v>242</v>
      </c>
      <c r="J629" s="1" t="s">
        <v>229</v>
      </c>
      <c r="K629" s="1" t="s">
        <v>118</v>
      </c>
      <c r="L629" s="1" t="s">
        <v>97</v>
      </c>
      <c r="V629" s="20">
        <v>8415300</v>
      </c>
      <c r="Z629" s="20">
        <v>1780000</v>
      </c>
      <c r="AA629" s="20">
        <v>2971200</v>
      </c>
      <c r="AB629" s="20">
        <v>13166500</v>
      </c>
      <c r="AL629" s="20">
        <v>3759350</v>
      </c>
      <c r="AP629" s="20">
        <v>1557500</v>
      </c>
      <c r="AQ629" s="20">
        <v>4629600</v>
      </c>
      <c r="AR629" s="20">
        <v>9946450</v>
      </c>
      <c r="BB629" s="20">
        <v>3531900</v>
      </c>
      <c r="BD629" s="28">
        <v>816000</v>
      </c>
      <c r="BF629" s="28">
        <v>2814400</v>
      </c>
      <c r="BG629" s="28">
        <v>3283200</v>
      </c>
      <c r="BH629" s="28">
        <v>10445500</v>
      </c>
      <c r="BI629" s="28">
        <v>33558450</v>
      </c>
    </row>
    <row r="630" spans="1:61" hidden="1" x14ac:dyDescent="0.3">
      <c r="A630" s="1" t="s">
        <v>739</v>
      </c>
      <c r="B630" s="1" t="s">
        <v>242</v>
      </c>
      <c r="C630" s="1" t="s">
        <v>243</v>
      </c>
      <c r="D630" s="1" t="s">
        <v>244</v>
      </c>
      <c r="E630" s="1" t="s">
        <v>243</v>
      </c>
      <c r="F630" s="1" t="s">
        <v>244</v>
      </c>
      <c r="G630" s="1" t="s">
        <v>1404</v>
      </c>
      <c r="H630" s="1" t="s">
        <v>1405</v>
      </c>
      <c r="I630" s="1" t="s">
        <v>242</v>
      </c>
      <c r="J630" s="1" t="s">
        <v>229</v>
      </c>
      <c r="K630" s="1" t="s">
        <v>118</v>
      </c>
      <c r="L630" s="1" t="s">
        <v>97</v>
      </c>
      <c r="V630" s="20">
        <v>7531600</v>
      </c>
      <c r="Z630" s="20">
        <v>6630680</v>
      </c>
      <c r="AA630" s="20">
        <v>10387200</v>
      </c>
      <c r="AB630" s="20">
        <v>24549480</v>
      </c>
      <c r="AL630" s="20">
        <v>17415000</v>
      </c>
      <c r="AP630" s="20">
        <v>8045280</v>
      </c>
      <c r="AQ630" s="20">
        <v>11728800</v>
      </c>
      <c r="AR630" s="20">
        <v>37189080</v>
      </c>
      <c r="BB630" s="20">
        <v>10458000</v>
      </c>
      <c r="BF630" s="28">
        <v>6623440</v>
      </c>
      <c r="BG630" s="28">
        <v>13540800</v>
      </c>
      <c r="BH630" s="28">
        <v>30622240</v>
      </c>
      <c r="BI630" s="28">
        <v>92360800</v>
      </c>
    </row>
    <row r="631" spans="1:61" hidden="1" x14ac:dyDescent="0.3">
      <c r="A631" s="1" t="s">
        <v>739</v>
      </c>
      <c r="B631" s="1" t="s">
        <v>242</v>
      </c>
      <c r="C631" s="1" t="s">
        <v>243</v>
      </c>
      <c r="D631" s="1" t="s">
        <v>244</v>
      </c>
      <c r="E631" s="1" t="s">
        <v>243</v>
      </c>
      <c r="F631" s="1" t="s">
        <v>244</v>
      </c>
      <c r="G631" s="1" t="s">
        <v>1406</v>
      </c>
      <c r="H631" s="1" t="s">
        <v>1407</v>
      </c>
      <c r="I631" s="1" t="s">
        <v>242</v>
      </c>
      <c r="J631" s="1" t="s">
        <v>229</v>
      </c>
      <c r="K631" s="1" t="s">
        <v>118</v>
      </c>
      <c r="L631" s="1" t="s">
        <v>97</v>
      </c>
      <c r="V631" s="20">
        <v>1684800</v>
      </c>
      <c r="AA631" s="20">
        <v>1828800</v>
      </c>
      <c r="AB631" s="20">
        <v>3513600</v>
      </c>
      <c r="AL631" s="20">
        <v>7741200</v>
      </c>
      <c r="AQ631" s="20">
        <v>2800800</v>
      </c>
      <c r="AR631" s="20">
        <v>10542000</v>
      </c>
      <c r="BB631" s="20">
        <v>4477200</v>
      </c>
      <c r="BF631" s="28">
        <v>1352000</v>
      </c>
      <c r="BG631" s="28">
        <v>2572800</v>
      </c>
      <c r="BH631" s="28">
        <v>8402000</v>
      </c>
      <c r="BI631" s="28">
        <v>22457600</v>
      </c>
    </row>
    <row r="632" spans="1:61" hidden="1" x14ac:dyDescent="0.3">
      <c r="A632" s="1" t="s">
        <v>739</v>
      </c>
      <c r="B632" s="1" t="s">
        <v>242</v>
      </c>
      <c r="C632" s="1" t="s">
        <v>243</v>
      </c>
      <c r="D632" s="1" t="s">
        <v>244</v>
      </c>
      <c r="E632" s="1" t="s">
        <v>243</v>
      </c>
      <c r="F632" s="1" t="s">
        <v>244</v>
      </c>
      <c r="G632" s="1" t="s">
        <v>1408</v>
      </c>
      <c r="H632" s="1" t="s">
        <v>1409</v>
      </c>
      <c r="I632" s="1" t="s">
        <v>242</v>
      </c>
      <c r="J632" s="1" t="s">
        <v>229</v>
      </c>
      <c r="K632" s="1" t="s">
        <v>118</v>
      </c>
      <c r="L632" s="1" t="s">
        <v>97</v>
      </c>
      <c r="V632" s="20">
        <v>2142600</v>
      </c>
      <c r="Z632" s="20">
        <v>667500</v>
      </c>
      <c r="AA632" s="20">
        <v>3028800</v>
      </c>
      <c r="AB632" s="20">
        <v>5838900</v>
      </c>
      <c r="AP632" s="20">
        <v>445000</v>
      </c>
      <c r="AQ632" s="20">
        <v>1886400</v>
      </c>
      <c r="AR632" s="20">
        <v>2331400</v>
      </c>
      <c r="BB632" s="20">
        <v>4452600</v>
      </c>
      <c r="BF632" s="28">
        <v>858300</v>
      </c>
      <c r="BG632" s="28">
        <v>2654400</v>
      </c>
      <c r="BH632" s="28">
        <v>7965300</v>
      </c>
      <c r="BI632" s="28">
        <v>16135600</v>
      </c>
    </row>
    <row r="633" spans="1:61" hidden="1" x14ac:dyDescent="0.3">
      <c r="A633" s="1" t="s">
        <v>739</v>
      </c>
      <c r="B633" s="1" t="s">
        <v>242</v>
      </c>
      <c r="C633" s="1" t="s">
        <v>243</v>
      </c>
      <c r="D633" s="1" t="s">
        <v>244</v>
      </c>
      <c r="E633" s="1" t="s">
        <v>243</v>
      </c>
      <c r="F633" s="1" t="s">
        <v>244</v>
      </c>
      <c r="G633" s="1" t="s">
        <v>1410</v>
      </c>
      <c r="H633" s="1" t="s">
        <v>1411</v>
      </c>
      <c r="I633" s="1" t="s">
        <v>242</v>
      </c>
      <c r="J633" s="1" t="s">
        <v>229</v>
      </c>
      <c r="K633" s="1" t="s">
        <v>118</v>
      </c>
      <c r="L633" s="1" t="s">
        <v>97</v>
      </c>
      <c r="AL633" s="20">
        <v>2329200</v>
      </c>
      <c r="AR633" s="20">
        <v>2329200</v>
      </c>
      <c r="BI633" s="28">
        <v>2329200</v>
      </c>
    </row>
    <row r="634" spans="1:61" hidden="1" x14ac:dyDescent="0.3">
      <c r="A634" s="1" t="s">
        <v>739</v>
      </c>
      <c r="B634" s="1" t="s">
        <v>242</v>
      </c>
      <c r="C634" s="1" t="s">
        <v>243</v>
      </c>
      <c r="D634" s="1" t="s">
        <v>244</v>
      </c>
      <c r="E634" s="1" t="s">
        <v>243</v>
      </c>
      <c r="F634" s="1" t="s">
        <v>244</v>
      </c>
      <c r="G634" s="1" t="s">
        <v>1412</v>
      </c>
      <c r="H634" s="1" t="s">
        <v>1413</v>
      </c>
      <c r="I634" s="1" t="s">
        <v>242</v>
      </c>
      <c r="J634" s="1" t="s">
        <v>229</v>
      </c>
      <c r="K634" s="1" t="s">
        <v>118</v>
      </c>
      <c r="L634" s="1" t="s">
        <v>97</v>
      </c>
      <c r="V634" s="20">
        <v>4106400</v>
      </c>
      <c r="Z634" s="20">
        <v>445000</v>
      </c>
      <c r="AA634" s="20">
        <v>2971200</v>
      </c>
      <c r="AB634" s="20">
        <v>7522600</v>
      </c>
      <c r="AL634" s="20">
        <v>4163400</v>
      </c>
      <c r="AP634" s="20">
        <v>890000</v>
      </c>
      <c r="AQ634" s="20">
        <v>2743200</v>
      </c>
      <c r="AR634" s="20">
        <v>7796600</v>
      </c>
      <c r="BB634" s="20">
        <v>4971400</v>
      </c>
      <c r="BF634" s="28">
        <v>1352000</v>
      </c>
      <c r="BG634" s="28">
        <v>2400000</v>
      </c>
      <c r="BH634" s="28">
        <v>8723400</v>
      </c>
      <c r="BI634" s="28">
        <v>24042600</v>
      </c>
    </row>
    <row r="635" spans="1:61" hidden="1" x14ac:dyDescent="0.3">
      <c r="A635" s="1" t="s">
        <v>739</v>
      </c>
      <c r="B635" s="1" t="s">
        <v>242</v>
      </c>
      <c r="C635" s="1" t="s">
        <v>243</v>
      </c>
      <c r="D635" s="1" t="s">
        <v>244</v>
      </c>
      <c r="E635" s="1" t="s">
        <v>243</v>
      </c>
      <c r="F635" s="1" t="s">
        <v>244</v>
      </c>
      <c r="G635" s="1" t="s">
        <v>1414</v>
      </c>
      <c r="H635" s="1" t="s">
        <v>1415</v>
      </c>
      <c r="I635" s="1" t="s">
        <v>242</v>
      </c>
      <c r="J635" s="1" t="s">
        <v>229</v>
      </c>
      <c r="K635" s="1" t="s">
        <v>118</v>
      </c>
      <c r="L635" s="1" t="s">
        <v>97</v>
      </c>
      <c r="V635" s="20">
        <v>2356200</v>
      </c>
      <c r="AA635" s="20">
        <v>2056800</v>
      </c>
      <c r="AB635" s="20">
        <v>4413000</v>
      </c>
      <c r="AL635" s="20">
        <v>2610100</v>
      </c>
      <c r="AR635" s="20">
        <v>2610100</v>
      </c>
      <c r="BB635" s="20">
        <v>1564800</v>
      </c>
      <c r="BH635" s="28">
        <v>1564800</v>
      </c>
      <c r="BI635" s="28">
        <v>8587900</v>
      </c>
    </row>
    <row r="636" spans="1:61" hidden="1" x14ac:dyDescent="0.3">
      <c r="A636" s="1" t="s">
        <v>739</v>
      </c>
      <c r="B636" s="1" t="s">
        <v>242</v>
      </c>
      <c r="C636" s="1" t="s">
        <v>243</v>
      </c>
      <c r="D636" s="1" t="s">
        <v>244</v>
      </c>
      <c r="E636" s="1" t="s">
        <v>243</v>
      </c>
      <c r="F636" s="1" t="s">
        <v>244</v>
      </c>
      <c r="G636" s="1" t="s">
        <v>1416</v>
      </c>
      <c r="H636" s="1" t="s">
        <v>1417</v>
      </c>
      <c r="I636" s="1" t="s">
        <v>242</v>
      </c>
      <c r="J636" s="1" t="s">
        <v>229</v>
      </c>
      <c r="K636" s="1" t="s">
        <v>118</v>
      </c>
      <c r="L636" s="1" t="s">
        <v>97</v>
      </c>
      <c r="V636" s="20">
        <v>17433300</v>
      </c>
      <c r="X636" s="20">
        <v>408000</v>
      </c>
      <c r="Z636" s="20">
        <v>2670000</v>
      </c>
      <c r="AA636" s="20">
        <v>6516000</v>
      </c>
      <c r="AB636" s="20">
        <v>27027300</v>
      </c>
      <c r="AL636" s="20">
        <v>9178900</v>
      </c>
      <c r="AP636" s="20">
        <v>2892500</v>
      </c>
      <c r="AQ636" s="20">
        <v>5316000</v>
      </c>
      <c r="AR636" s="20">
        <v>17387400</v>
      </c>
      <c r="BB636" s="20">
        <v>6040000</v>
      </c>
      <c r="BC636" s="20">
        <v>1346400</v>
      </c>
      <c r="BD636" s="28">
        <v>408000</v>
      </c>
      <c r="BF636" s="28">
        <v>4134700</v>
      </c>
      <c r="BG636" s="28">
        <v>10226400</v>
      </c>
      <c r="BH636" s="28">
        <v>22155500</v>
      </c>
      <c r="BI636" s="28">
        <v>66570200</v>
      </c>
    </row>
    <row r="637" spans="1:61" hidden="1" x14ac:dyDescent="0.3">
      <c r="A637" s="1" t="s">
        <v>739</v>
      </c>
      <c r="B637" s="1" t="s">
        <v>242</v>
      </c>
      <c r="C637" s="1" t="s">
        <v>243</v>
      </c>
      <c r="D637" s="1" t="s">
        <v>244</v>
      </c>
      <c r="E637" s="1" t="s">
        <v>243</v>
      </c>
      <c r="F637" s="1" t="s">
        <v>244</v>
      </c>
      <c r="G637" s="1" t="s">
        <v>1418</v>
      </c>
      <c r="H637" s="1" t="s">
        <v>1419</v>
      </c>
      <c r="I637" s="1" t="s">
        <v>242</v>
      </c>
      <c r="J637" s="1" t="s">
        <v>229</v>
      </c>
      <c r="K637" s="1" t="s">
        <v>118</v>
      </c>
      <c r="L637" s="1" t="s">
        <v>97</v>
      </c>
      <c r="V637" s="20">
        <v>1416000</v>
      </c>
      <c r="AB637" s="20">
        <v>1416000</v>
      </c>
      <c r="AL637" s="20">
        <v>1171200</v>
      </c>
      <c r="AR637" s="20">
        <v>1171200</v>
      </c>
      <c r="BB637" s="20">
        <v>2378200</v>
      </c>
      <c r="BH637" s="28">
        <v>2378200</v>
      </c>
      <c r="BI637" s="28">
        <v>4965400</v>
      </c>
    </row>
    <row r="638" spans="1:61" hidden="1" x14ac:dyDescent="0.3">
      <c r="A638" s="1" t="s">
        <v>739</v>
      </c>
      <c r="B638" s="1" t="s">
        <v>242</v>
      </c>
      <c r="C638" s="1" t="s">
        <v>243</v>
      </c>
      <c r="D638" s="1" t="s">
        <v>244</v>
      </c>
      <c r="E638" s="1" t="s">
        <v>243</v>
      </c>
      <c r="F638" s="1" t="s">
        <v>244</v>
      </c>
      <c r="G638" s="1" t="s">
        <v>1420</v>
      </c>
      <c r="H638" s="1" t="s">
        <v>1421</v>
      </c>
      <c r="I638" s="1" t="s">
        <v>242</v>
      </c>
      <c r="J638" s="1" t="s">
        <v>229</v>
      </c>
      <c r="K638" s="1" t="s">
        <v>118</v>
      </c>
      <c r="L638" s="1" t="s">
        <v>97</v>
      </c>
      <c r="V638" s="20">
        <v>12939900</v>
      </c>
      <c r="W638" s="20">
        <v>448800</v>
      </c>
      <c r="Z638" s="20">
        <v>2002500</v>
      </c>
      <c r="AA638" s="20">
        <v>3314400</v>
      </c>
      <c r="AB638" s="20">
        <v>18705600</v>
      </c>
      <c r="AL638" s="20">
        <v>11821400</v>
      </c>
      <c r="AP638" s="20">
        <v>1557500</v>
      </c>
      <c r="AQ638" s="20">
        <v>4286400</v>
      </c>
      <c r="AR638" s="20">
        <v>17665300</v>
      </c>
      <c r="BB638" s="20">
        <v>8851800</v>
      </c>
      <c r="BD638" s="28">
        <v>408000</v>
      </c>
      <c r="BF638" s="28">
        <v>3036900</v>
      </c>
      <c r="BG638" s="28">
        <v>3568800</v>
      </c>
      <c r="BH638" s="28">
        <v>15865500</v>
      </c>
      <c r="BI638" s="28">
        <v>52236400</v>
      </c>
    </row>
    <row r="639" spans="1:61" hidden="1" x14ac:dyDescent="0.3">
      <c r="A639" s="1" t="s">
        <v>739</v>
      </c>
      <c r="B639" s="1" t="s">
        <v>242</v>
      </c>
      <c r="C639" s="1" t="s">
        <v>243</v>
      </c>
      <c r="D639" s="1" t="s">
        <v>244</v>
      </c>
      <c r="E639" s="1" t="s">
        <v>243</v>
      </c>
      <c r="F639" s="1" t="s">
        <v>244</v>
      </c>
      <c r="G639" s="1" t="s">
        <v>1422</v>
      </c>
      <c r="H639" s="1" t="s">
        <v>1423</v>
      </c>
      <c r="I639" s="1" t="s">
        <v>242</v>
      </c>
      <c r="J639" s="1" t="s">
        <v>229</v>
      </c>
      <c r="K639" s="1" t="s">
        <v>118</v>
      </c>
      <c r="L639" s="1" t="s">
        <v>97</v>
      </c>
      <c r="BB639" s="20">
        <v>11859800</v>
      </c>
      <c r="BD639" s="28">
        <v>816000</v>
      </c>
      <c r="BF639" s="28">
        <v>890000</v>
      </c>
      <c r="BG639" s="28">
        <v>914400</v>
      </c>
      <c r="BH639" s="28">
        <v>14480200</v>
      </c>
      <c r="BI639" s="28">
        <v>14480200</v>
      </c>
    </row>
    <row r="640" spans="1:61" hidden="1" x14ac:dyDescent="0.3">
      <c r="A640" s="1" t="s">
        <v>739</v>
      </c>
      <c r="B640" s="1" t="s">
        <v>242</v>
      </c>
      <c r="C640" s="1" t="s">
        <v>243</v>
      </c>
      <c r="D640" s="1" t="s">
        <v>244</v>
      </c>
      <c r="E640" s="1" t="s">
        <v>243</v>
      </c>
      <c r="F640" s="1" t="s">
        <v>244</v>
      </c>
      <c r="G640" s="1" t="s">
        <v>1424</v>
      </c>
      <c r="H640" s="1" t="s">
        <v>1425</v>
      </c>
      <c r="I640" s="1" t="s">
        <v>242</v>
      </c>
      <c r="J640" s="1" t="s">
        <v>229</v>
      </c>
      <c r="K640" s="1" t="s">
        <v>118</v>
      </c>
      <c r="L640" s="1" t="s">
        <v>97</v>
      </c>
      <c r="Z640" s="20">
        <v>222500</v>
      </c>
      <c r="AA640" s="20">
        <v>1543200</v>
      </c>
      <c r="AB640" s="20">
        <v>1765700</v>
      </c>
      <c r="AL640" s="20">
        <v>1812600</v>
      </c>
      <c r="AP640" s="20">
        <v>222500</v>
      </c>
      <c r="AQ640" s="20">
        <v>2342400</v>
      </c>
      <c r="AR640" s="20">
        <v>4377500</v>
      </c>
      <c r="BG640" s="28">
        <v>914400</v>
      </c>
      <c r="BH640" s="28">
        <v>914400</v>
      </c>
      <c r="BI640" s="28">
        <v>7057600</v>
      </c>
    </row>
    <row r="641" spans="1:61" hidden="1" x14ac:dyDescent="0.3">
      <c r="A641" s="1" t="s">
        <v>739</v>
      </c>
      <c r="B641" s="1" t="s">
        <v>242</v>
      </c>
      <c r="C641" s="1" t="s">
        <v>243</v>
      </c>
      <c r="D641" s="1" t="s">
        <v>244</v>
      </c>
      <c r="E641" s="1" t="s">
        <v>243</v>
      </c>
      <c r="F641" s="1" t="s">
        <v>244</v>
      </c>
      <c r="G641" s="1" t="s">
        <v>1426</v>
      </c>
      <c r="H641" s="1" t="s">
        <v>1427</v>
      </c>
      <c r="I641" s="1" t="s">
        <v>242</v>
      </c>
      <c r="J641" s="1" t="s">
        <v>229</v>
      </c>
      <c r="K641" s="1" t="s">
        <v>118</v>
      </c>
      <c r="L641" s="1" t="s">
        <v>97</v>
      </c>
      <c r="V641" s="20">
        <v>4314000</v>
      </c>
      <c r="AB641" s="20">
        <v>4314000</v>
      </c>
      <c r="AP641" s="20">
        <v>445000</v>
      </c>
      <c r="AR641" s="20">
        <v>445000</v>
      </c>
      <c r="BI641" s="28">
        <v>4759000</v>
      </c>
    </row>
    <row r="642" spans="1:61" hidden="1" x14ac:dyDescent="0.3">
      <c r="A642" s="1" t="s">
        <v>739</v>
      </c>
      <c r="B642" s="1" t="s">
        <v>1428</v>
      </c>
      <c r="C642" s="1" t="s">
        <v>1429</v>
      </c>
      <c r="D642" s="1" t="s">
        <v>1430</v>
      </c>
      <c r="E642" s="1" t="s">
        <v>1429</v>
      </c>
      <c r="F642" s="1" t="s">
        <v>1430</v>
      </c>
      <c r="G642" s="1" t="s">
        <v>1431</v>
      </c>
      <c r="H642" s="1" t="s">
        <v>1432</v>
      </c>
      <c r="I642" s="1" t="s">
        <v>1428</v>
      </c>
      <c r="J642" s="1" t="s">
        <v>229</v>
      </c>
      <c r="K642" s="1" t="s">
        <v>118</v>
      </c>
      <c r="L642" s="1" t="s">
        <v>97</v>
      </c>
      <c r="V642" s="20">
        <v>111103400</v>
      </c>
      <c r="W642" s="20">
        <v>6353505</v>
      </c>
      <c r="X642" s="20">
        <v>816000</v>
      </c>
      <c r="Y642" s="20">
        <v>1292800</v>
      </c>
      <c r="Z642" s="20">
        <v>12691780</v>
      </c>
      <c r="AA642" s="20">
        <v>38379600</v>
      </c>
      <c r="AB642" s="20">
        <v>170637085</v>
      </c>
      <c r="AL642" s="20">
        <v>107150900</v>
      </c>
      <c r="AM642" s="20">
        <v>5660472</v>
      </c>
      <c r="AN642" s="20">
        <v>3957000</v>
      </c>
      <c r="AO642" s="20">
        <v>769600</v>
      </c>
      <c r="AP642" s="20">
        <v>12901100</v>
      </c>
      <c r="AQ642" s="20">
        <v>54031200</v>
      </c>
      <c r="AR642" s="20">
        <v>184470272</v>
      </c>
      <c r="BB642" s="20">
        <v>102986650</v>
      </c>
      <c r="BC642" s="20">
        <v>6319500</v>
      </c>
      <c r="BD642" s="28">
        <v>6528000</v>
      </c>
      <c r="BE642" s="28">
        <v>1292800</v>
      </c>
      <c r="BF642" s="28">
        <v>12395240</v>
      </c>
      <c r="BG642" s="28">
        <v>48598800</v>
      </c>
      <c r="BH642" s="28">
        <v>178120990</v>
      </c>
      <c r="BI642" s="28">
        <v>533228347</v>
      </c>
    </row>
    <row r="643" spans="1:61" hidden="1" x14ac:dyDescent="0.3">
      <c r="A643" s="1" t="s">
        <v>739</v>
      </c>
      <c r="B643" s="1" t="s">
        <v>1428</v>
      </c>
      <c r="C643" s="1" t="s">
        <v>1433</v>
      </c>
      <c r="D643" s="1" t="s">
        <v>1434</v>
      </c>
      <c r="E643" s="1" t="s">
        <v>1433</v>
      </c>
      <c r="F643" s="1" t="s">
        <v>1434</v>
      </c>
      <c r="G643" s="1" t="s">
        <v>1435</v>
      </c>
      <c r="H643" s="1" t="s">
        <v>1436</v>
      </c>
      <c r="I643" s="1" t="s">
        <v>1428</v>
      </c>
      <c r="J643" s="1" t="s">
        <v>229</v>
      </c>
      <c r="K643" s="1" t="s">
        <v>118</v>
      </c>
      <c r="L643" s="1" t="s">
        <v>97</v>
      </c>
      <c r="V643" s="20">
        <v>90397500</v>
      </c>
      <c r="W643" s="20">
        <v>7011084</v>
      </c>
      <c r="X643" s="20">
        <v>4080000</v>
      </c>
      <c r="Z643" s="20">
        <v>13188120</v>
      </c>
      <c r="AA643" s="20">
        <v>64456800</v>
      </c>
      <c r="AB643" s="20">
        <v>179133504</v>
      </c>
      <c r="AL643" s="20">
        <v>95054800</v>
      </c>
      <c r="AM643" s="20">
        <v>12869946</v>
      </c>
      <c r="AN643" s="20">
        <v>1632000</v>
      </c>
      <c r="AP643" s="20">
        <v>11598920</v>
      </c>
      <c r="AQ643" s="20">
        <v>84495600</v>
      </c>
      <c r="AR643" s="20">
        <v>205651266</v>
      </c>
      <c r="BB643" s="20">
        <v>96172200</v>
      </c>
      <c r="BC643" s="20">
        <v>8928300</v>
      </c>
      <c r="BD643" s="28">
        <v>6768000</v>
      </c>
      <c r="BE643" s="28">
        <v>983100</v>
      </c>
      <c r="BF643" s="28">
        <v>13601140</v>
      </c>
      <c r="BG643" s="28">
        <v>86028000</v>
      </c>
      <c r="BH643" s="28">
        <v>212480740</v>
      </c>
      <c r="BI643" s="28">
        <v>597265510</v>
      </c>
    </row>
    <row r="644" spans="1:61" hidden="1" x14ac:dyDescent="0.3">
      <c r="A644" s="1" t="s">
        <v>739</v>
      </c>
      <c r="B644" s="1" t="s">
        <v>1428</v>
      </c>
      <c r="C644" s="1" t="s">
        <v>1437</v>
      </c>
      <c r="D644" s="1" t="s">
        <v>1438</v>
      </c>
      <c r="E644" s="1" t="s">
        <v>1437</v>
      </c>
      <c r="F644" s="1" t="s">
        <v>1438</v>
      </c>
      <c r="G644" s="1" t="s">
        <v>1439</v>
      </c>
      <c r="H644" s="1" t="s">
        <v>1440</v>
      </c>
      <c r="I644" s="1" t="s">
        <v>1428</v>
      </c>
      <c r="J644" s="1" t="s">
        <v>229</v>
      </c>
      <c r="K644" s="1" t="s">
        <v>118</v>
      </c>
      <c r="L644" s="1" t="s">
        <v>97</v>
      </c>
      <c r="V644" s="20">
        <v>63914100</v>
      </c>
      <c r="W644" s="20">
        <v>7002656</v>
      </c>
      <c r="X644" s="20">
        <v>408000</v>
      </c>
      <c r="Y644" s="20">
        <v>1416000</v>
      </c>
      <c r="Z644" s="20">
        <v>31597960</v>
      </c>
      <c r="AA644" s="20">
        <v>56877600</v>
      </c>
      <c r="AB644" s="20">
        <v>161216316</v>
      </c>
      <c r="AL644" s="20">
        <v>222182150</v>
      </c>
      <c r="AM644" s="20">
        <v>8368266</v>
      </c>
      <c r="AN644" s="20">
        <v>876000</v>
      </c>
      <c r="AO644" s="20">
        <v>1800800</v>
      </c>
      <c r="AP644" s="20">
        <v>27192520</v>
      </c>
      <c r="AQ644" s="20">
        <v>51936000</v>
      </c>
      <c r="AR644" s="20">
        <v>312355736</v>
      </c>
      <c r="BB644" s="20">
        <v>93465700</v>
      </c>
      <c r="BC644" s="20">
        <v>7088400</v>
      </c>
      <c r="BD644" s="28">
        <v>2448000</v>
      </c>
      <c r="BE644" s="28">
        <v>3093600</v>
      </c>
      <c r="BF644" s="28">
        <v>30414780</v>
      </c>
      <c r="BG644" s="28">
        <v>48280800</v>
      </c>
      <c r="BH644" s="28">
        <v>184791280</v>
      </c>
      <c r="BI644" s="28">
        <v>658363332</v>
      </c>
    </row>
    <row r="645" spans="1:61" hidden="1" x14ac:dyDescent="0.3">
      <c r="A645" s="1" t="s">
        <v>739</v>
      </c>
      <c r="B645" s="1" t="s">
        <v>1428</v>
      </c>
      <c r="C645" s="1" t="s">
        <v>1441</v>
      </c>
      <c r="D645" s="1" t="s">
        <v>1442</v>
      </c>
      <c r="E645" s="1" t="s">
        <v>1441</v>
      </c>
      <c r="F645" s="1" t="s">
        <v>1442</v>
      </c>
      <c r="G645" s="1" t="s">
        <v>1443</v>
      </c>
      <c r="H645" s="1" t="s">
        <v>1444</v>
      </c>
      <c r="I645" s="1" t="s">
        <v>1428</v>
      </c>
      <c r="J645" s="1" t="s">
        <v>229</v>
      </c>
      <c r="K645" s="1" t="s">
        <v>118</v>
      </c>
      <c r="L645" s="1" t="s">
        <v>97</v>
      </c>
      <c r="V645" s="20">
        <v>45020400</v>
      </c>
      <c r="W645" s="20">
        <v>2791218</v>
      </c>
      <c r="X645" s="20">
        <v>816000</v>
      </c>
      <c r="Y645" s="20">
        <v>523200</v>
      </c>
      <c r="Z645" s="20">
        <v>9178480</v>
      </c>
      <c r="AA645" s="20">
        <v>15651600</v>
      </c>
      <c r="AB645" s="20">
        <v>73980898</v>
      </c>
      <c r="AL645" s="20">
        <v>50722750</v>
      </c>
      <c r="AM645" s="20">
        <v>4613360</v>
      </c>
      <c r="AN645" s="20">
        <v>1632000</v>
      </c>
      <c r="AO645" s="20">
        <v>384800</v>
      </c>
      <c r="AP645" s="20">
        <v>9803380</v>
      </c>
      <c r="AQ645" s="20">
        <v>20253600</v>
      </c>
      <c r="AR645" s="20">
        <v>87409890</v>
      </c>
      <c r="BB645" s="20">
        <v>56482950</v>
      </c>
      <c r="BC645" s="20">
        <v>4250850</v>
      </c>
      <c r="BD645" s="28">
        <v>1284000</v>
      </c>
      <c r="BE645" s="28">
        <v>1169600</v>
      </c>
      <c r="BF645" s="28">
        <v>10808900</v>
      </c>
      <c r="BG645" s="28">
        <v>25323600</v>
      </c>
      <c r="BH645" s="28">
        <v>99319900</v>
      </c>
      <c r="BI645" s="28">
        <v>260710688</v>
      </c>
    </row>
    <row r="646" spans="1:61" hidden="1" x14ac:dyDescent="0.3">
      <c r="A646" s="1" t="s">
        <v>739</v>
      </c>
      <c r="B646" s="1" t="s">
        <v>113</v>
      </c>
      <c r="C646" s="1" t="s">
        <v>1445</v>
      </c>
      <c r="D646" s="1" t="s">
        <v>1446</v>
      </c>
      <c r="E646" s="1" t="s">
        <v>1445</v>
      </c>
      <c r="F646" s="1" t="s">
        <v>1446</v>
      </c>
      <c r="G646" s="1" t="s">
        <v>1447</v>
      </c>
      <c r="H646" s="1" t="s">
        <v>1448</v>
      </c>
      <c r="I646" s="1" t="s">
        <v>113</v>
      </c>
      <c r="J646" s="1" t="s">
        <v>229</v>
      </c>
      <c r="K646" s="1" t="s">
        <v>118</v>
      </c>
      <c r="L646" s="1" t="s">
        <v>97</v>
      </c>
      <c r="S646" s="20">
        <v>1230036200</v>
      </c>
      <c r="T646" s="20">
        <v>169209600</v>
      </c>
      <c r="U646" s="20">
        <v>469338600</v>
      </c>
      <c r="AB646" s="20">
        <v>1868584400</v>
      </c>
      <c r="AI646" s="20">
        <v>947414200</v>
      </c>
      <c r="AJ646" s="20">
        <v>183206400</v>
      </c>
      <c r="AK646" s="20">
        <v>434663400</v>
      </c>
      <c r="AR646" s="20">
        <v>1565284000</v>
      </c>
      <c r="AY646" s="20">
        <v>1538263400</v>
      </c>
      <c r="AZ646" s="20">
        <v>325382400</v>
      </c>
      <c r="BA646" s="20">
        <v>485378000</v>
      </c>
      <c r="BH646" s="28">
        <v>2349023800</v>
      </c>
      <c r="BI646" s="28">
        <v>5782892200</v>
      </c>
    </row>
    <row r="647" spans="1:61" hidden="1" x14ac:dyDescent="0.3">
      <c r="A647" s="1" t="s">
        <v>739</v>
      </c>
      <c r="B647" s="1" t="s">
        <v>108</v>
      </c>
      <c r="C647" s="1" t="s">
        <v>1449</v>
      </c>
      <c r="D647" s="1" t="s">
        <v>1450</v>
      </c>
      <c r="E647" s="1" t="s">
        <v>1451</v>
      </c>
      <c r="F647" s="1" t="s">
        <v>573</v>
      </c>
      <c r="G647" s="1" t="s">
        <v>1452</v>
      </c>
      <c r="H647" s="1" t="s">
        <v>1451</v>
      </c>
      <c r="I647" s="1" t="s">
        <v>548</v>
      </c>
      <c r="J647" s="1" t="s">
        <v>229</v>
      </c>
      <c r="K647" s="1" t="s">
        <v>118</v>
      </c>
      <c r="L647" s="1" t="s">
        <v>103</v>
      </c>
      <c r="M647" s="20">
        <v>6766800</v>
      </c>
      <c r="O647" s="20">
        <v>408000</v>
      </c>
      <c r="P647" s="20">
        <v>577200</v>
      </c>
      <c r="Q647" s="20">
        <v>1317600</v>
      </c>
      <c r="R647" s="20">
        <v>2005200</v>
      </c>
      <c r="AB647" s="20">
        <v>11074800</v>
      </c>
      <c r="AC647" s="20">
        <v>9066300</v>
      </c>
      <c r="AD647" s="20">
        <v>804600</v>
      </c>
      <c r="AE647" s="20">
        <v>408000</v>
      </c>
      <c r="AF647" s="20">
        <v>384800</v>
      </c>
      <c r="AG647" s="20">
        <v>658800</v>
      </c>
      <c r="AH647" s="20">
        <v>1930800</v>
      </c>
      <c r="AR647" s="20">
        <v>13253300</v>
      </c>
      <c r="BI647" s="28">
        <v>24328100</v>
      </c>
    </row>
    <row r="648" spans="1:61" hidden="1" x14ac:dyDescent="0.3">
      <c r="A648" s="1" t="s">
        <v>739</v>
      </c>
      <c r="B648" s="1" t="s">
        <v>108</v>
      </c>
      <c r="C648" s="1" t="s">
        <v>1449</v>
      </c>
      <c r="D648" s="1" t="s">
        <v>1450</v>
      </c>
      <c r="E648" s="1" t="s">
        <v>1453</v>
      </c>
      <c r="F648" s="1" t="s">
        <v>573</v>
      </c>
      <c r="G648" s="1" t="s">
        <v>1454</v>
      </c>
      <c r="H648" s="1" t="s">
        <v>1453</v>
      </c>
      <c r="I648" s="1" t="s">
        <v>548</v>
      </c>
      <c r="J648" s="1" t="s">
        <v>229</v>
      </c>
      <c r="K648" s="1" t="s">
        <v>118</v>
      </c>
      <c r="L648" s="1" t="s">
        <v>103</v>
      </c>
      <c r="M648" s="20">
        <v>5776350</v>
      </c>
      <c r="N648" s="20">
        <v>1072800</v>
      </c>
      <c r="O648" s="20">
        <v>612000</v>
      </c>
      <c r="P648" s="20">
        <v>577200</v>
      </c>
      <c r="Q648" s="20">
        <v>2185200</v>
      </c>
      <c r="R648" s="20">
        <v>2377200</v>
      </c>
      <c r="AB648" s="20">
        <v>12600750</v>
      </c>
      <c r="AC648" s="20">
        <v>4414500</v>
      </c>
      <c r="AD648" s="20">
        <v>268200</v>
      </c>
      <c r="AE648" s="20">
        <v>612000</v>
      </c>
      <c r="AF648" s="20">
        <v>192400</v>
      </c>
      <c r="AG648" s="20">
        <v>1699200</v>
      </c>
      <c r="AH648" s="20">
        <v>1560000</v>
      </c>
      <c r="AR648" s="20">
        <v>8746300</v>
      </c>
      <c r="BI648" s="28">
        <v>21347050</v>
      </c>
    </row>
    <row r="649" spans="1:61" hidden="1" x14ac:dyDescent="0.3">
      <c r="A649" s="1" t="s">
        <v>739</v>
      </c>
      <c r="B649" s="1" t="s">
        <v>108</v>
      </c>
      <c r="C649" s="1" t="s">
        <v>1449</v>
      </c>
      <c r="D649" s="1" t="s">
        <v>1450</v>
      </c>
      <c r="E649" s="1" t="s">
        <v>1455</v>
      </c>
      <c r="F649" s="1" t="s">
        <v>573</v>
      </c>
      <c r="G649" s="1" t="s">
        <v>1456</v>
      </c>
      <c r="H649" s="1" t="s">
        <v>1455</v>
      </c>
      <c r="I649" s="1" t="s">
        <v>548</v>
      </c>
      <c r="J649" s="1" t="s">
        <v>229</v>
      </c>
      <c r="K649" s="1" t="s">
        <v>118</v>
      </c>
      <c r="L649" s="1" t="s">
        <v>103</v>
      </c>
      <c r="M649" s="20">
        <v>10774500</v>
      </c>
      <c r="N649" s="20">
        <v>2145600</v>
      </c>
      <c r="O649" s="20">
        <v>1020000</v>
      </c>
      <c r="P649" s="20">
        <v>2308800</v>
      </c>
      <c r="Q649" s="20">
        <v>1560600</v>
      </c>
      <c r="R649" s="20">
        <v>5984400</v>
      </c>
      <c r="AB649" s="20">
        <v>23793900</v>
      </c>
      <c r="AC649" s="20">
        <v>12342300</v>
      </c>
      <c r="AD649" s="20">
        <v>3043200</v>
      </c>
      <c r="AE649" s="20">
        <v>1020000</v>
      </c>
      <c r="AF649" s="20">
        <v>577200</v>
      </c>
      <c r="AG649" s="20">
        <v>1326600</v>
      </c>
      <c r="AH649" s="20">
        <v>4502400</v>
      </c>
      <c r="AR649" s="20">
        <v>22811700</v>
      </c>
      <c r="BI649" s="28">
        <v>46605600</v>
      </c>
    </row>
    <row r="650" spans="1:61" hidden="1" x14ac:dyDescent="0.3">
      <c r="A650" s="1" t="s">
        <v>739</v>
      </c>
      <c r="B650" s="1" t="s">
        <v>108</v>
      </c>
      <c r="C650" s="1" t="s">
        <v>1449</v>
      </c>
      <c r="D650" s="1" t="s">
        <v>1450</v>
      </c>
      <c r="E650" s="1" t="s">
        <v>1457</v>
      </c>
      <c r="F650" s="1" t="s">
        <v>573</v>
      </c>
      <c r="G650" s="1" t="s">
        <v>1458</v>
      </c>
      <c r="H650" s="1" t="s">
        <v>1457</v>
      </c>
      <c r="I650" s="1" t="s">
        <v>548</v>
      </c>
      <c r="J650" s="1" t="s">
        <v>229</v>
      </c>
      <c r="K650" s="1" t="s">
        <v>118</v>
      </c>
      <c r="L650" s="1" t="s">
        <v>103</v>
      </c>
      <c r="M650" s="20">
        <v>2145300</v>
      </c>
      <c r="N650" s="20">
        <v>536400</v>
      </c>
      <c r="O650" s="20">
        <v>408000</v>
      </c>
      <c r="P650" s="20">
        <v>577200</v>
      </c>
      <c r="Q650" s="20">
        <v>1369800</v>
      </c>
      <c r="R650" s="20">
        <v>2168400</v>
      </c>
      <c r="AB650" s="20">
        <v>7205100</v>
      </c>
      <c r="AC650" s="20">
        <v>5533050</v>
      </c>
      <c r="AE650" s="20">
        <v>612000</v>
      </c>
      <c r="AG650" s="20">
        <v>711000</v>
      </c>
      <c r="AH650" s="20">
        <v>1797600</v>
      </c>
      <c r="AR650" s="20">
        <v>8653650</v>
      </c>
      <c r="BI650" s="28">
        <v>15858750</v>
      </c>
    </row>
    <row r="651" spans="1:61" hidden="1" x14ac:dyDescent="0.3">
      <c r="A651" s="1" t="s">
        <v>739</v>
      </c>
      <c r="B651" s="1" t="s">
        <v>108</v>
      </c>
      <c r="C651" s="1" t="s">
        <v>1449</v>
      </c>
      <c r="D651" s="1" t="s">
        <v>1450</v>
      </c>
      <c r="E651" s="1" t="s">
        <v>1459</v>
      </c>
      <c r="F651" s="1" t="s">
        <v>573</v>
      </c>
      <c r="G651" s="1" t="s">
        <v>1460</v>
      </c>
      <c r="H651" s="1" t="s">
        <v>1459</v>
      </c>
      <c r="I651" s="1" t="s">
        <v>548</v>
      </c>
      <c r="J651" s="1" t="s">
        <v>229</v>
      </c>
      <c r="K651" s="1" t="s">
        <v>118</v>
      </c>
      <c r="L651" s="1" t="s">
        <v>103</v>
      </c>
      <c r="M651" s="20">
        <v>6382500</v>
      </c>
      <c r="N651" s="20">
        <v>985200</v>
      </c>
      <c r="O651" s="20">
        <v>204000</v>
      </c>
      <c r="P651" s="20">
        <v>962000</v>
      </c>
      <c r="Q651" s="20">
        <v>754200</v>
      </c>
      <c r="R651" s="20">
        <v>1371600</v>
      </c>
      <c r="AB651" s="20">
        <v>10659500</v>
      </c>
      <c r="AC651" s="20">
        <v>3951000</v>
      </c>
      <c r="AD651" s="20">
        <v>536400</v>
      </c>
      <c r="AE651" s="20">
        <v>408000</v>
      </c>
      <c r="AF651" s="20">
        <v>384800</v>
      </c>
      <c r="AG651" s="20">
        <v>901800</v>
      </c>
      <c r="AH651" s="20">
        <v>1208400</v>
      </c>
      <c r="AR651" s="20">
        <v>7390400</v>
      </c>
      <c r="BI651" s="28">
        <v>18049900</v>
      </c>
    </row>
    <row r="652" spans="1:61" hidden="1" x14ac:dyDescent="0.3">
      <c r="A652" s="1" t="s">
        <v>739</v>
      </c>
      <c r="B652" s="1" t="s">
        <v>108</v>
      </c>
      <c r="C652" s="1" t="s">
        <v>1449</v>
      </c>
      <c r="D652" s="1" t="s">
        <v>1450</v>
      </c>
      <c r="E652" s="1" t="s">
        <v>1461</v>
      </c>
      <c r="F652" s="1" t="s">
        <v>573</v>
      </c>
      <c r="G652" s="1" t="s">
        <v>1462</v>
      </c>
      <c r="H652" s="1" t="s">
        <v>1461</v>
      </c>
      <c r="I652" s="1" t="s">
        <v>548</v>
      </c>
      <c r="J652" s="1" t="s">
        <v>229</v>
      </c>
      <c r="K652" s="1" t="s">
        <v>118</v>
      </c>
      <c r="L652" s="1" t="s">
        <v>103</v>
      </c>
      <c r="M652" s="20">
        <v>5059800</v>
      </c>
      <c r="N652" s="20">
        <v>1341000</v>
      </c>
      <c r="O652" s="20">
        <v>612000</v>
      </c>
      <c r="Q652" s="20">
        <v>1317600</v>
      </c>
      <c r="R652" s="20">
        <v>1074000</v>
      </c>
      <c r="AB652" s="20">
        <v>9404400</v>
      </c>
      <c r="AC652" s="20">
        <v>4720800</v>
      </c>
      <c r="AD652" s="20">
        <v>268200</v>
      </c>
      <c r="AE652" s="20">
        <v>408000</v>
      </c>
      <c r="AG652" s="20">
        <v>658800</v>
      </c>
      <c r="AH652" s="20">
        <v>788400</v>
      </c>
      <c r="AR652" s="20">
        <v>6844200</v>
      </c>
      <c r="BI652" s="28">
        <v>16248600</v>
      </c>
    </row>
    <row r="653" spans="1:61" hidden="1" x14ac:dyDescent="0.3">
      <c r="A653" s="1" t="s">
        <v>739</v>
      </c>
      <c r="B653" s="1" t="s">
        <v>108</v>
      </c>
      <c r="C653" s="1" t="s">
        <v>1449</v>
      </c>
      <c r="D653" s="1" t="s">
        <v>1450</v>
      </c>
      <c r="E653" s="1" t="s">
        <v>1463</v>
      </c>
      <c r="F653" s="1" t="s">
        <v>573</v>
      </c>
      <c r="G653" s="1" t="s">
        <v>1464</v>
      </c>
      <c r="H653" s="1" t="s">
        <v>1463</v>
      </c>
      <c r="I653" s="1" t="s">
        <v>548</v>
      </c>
      <c r="J653" s="1" t="s">
        <v>229</v>
      </c>
      <c r="K653" s="1" t="s">
        <v>118</v>
      </c>
      <c r="L653" s="1" t="s">
        <v>103</v>
      </c>
      <c r="M653" s="20">
        <v>8605650</v>
      </c>
      <c r="N653" s="20">
        <v>2145600</v>
      </c>
      <c r="O653" s="20">
        <v>612000</v>
      </c>
      <c r="P653" s="20">
        <v>962000</v>
      </c>
      <c r="Q653" s="20">
        <v>1551600</v>
      </c>
      <c r="R653" s="20">
        <v>3171600</v>
      </c>
      <c r="AB653" s="20">
        <v>17048450</v>
      </c>
      <c r="AC653" s="20">
        <v>8115900</v>
      </c>
      <c r="AD653" s="20">
        <v>1609200</v>
      </c>
      <c r="AE653" s="20">
        <v>816000</v>
      </c>
      <c r="AF653" s="20">
        <v>384800</v>
      </c>
      <c r="AG653" s="20">
        <v>945000</v>
      </c>
      <c r="AH653" s="20">
        <v>2714400</v>
      </c>
      <c r="AR653" s="20">
        <v>14585300</v>
      </c>
      <c r="BI653" s="28">
        <v>31633750</v>
      </c>
    </row>
    <row r="654" spans="1:61" hidden="1" x14ac:dyDescent="0.3">
      <c r="A654" s="1" t="s">
        <v>739</v>
      </c>
      <c r="B654" s="1" t="s">
        <v>108</v>
      </c>
      <c r="C654" s="1" t="s">
        <v>1449</v>
      </c>
      <c r="D654" s="1" t="s">
        <v>1450</v>
      </c>
      <c r="E654" s="1" t="s">
        <v>1465</v>
      </c>
      <c r="F654" s="1" t="s">
        <v>573</v>
      </c>
      <c r="G654" s="1" t="s">
        <v>1466</v>
      </c>
      <c r="H654" s="1" t="s">
        <v>1465</v>
      </c>
      <c r="I654" s="1" t="s">
        <v>548</v>
      </c>
      <c r="J654" s="1" t="s">
        <v>229</v>
      </c>
      <c r="K654" s="1" t="s">
        <v>118</v>
      </c>
      <c r="L654" s="1" t="s">
        <v>103</v>
      </c>
      <c r="M654" s="20">
        <v>6814500</v>
      </c>
      <c r="N654" s="20">
        <v>1253400</v>
      </c>
      <c r="O654" s="20">
        <v>816000</v>
      </c>
      <c r="P654" s="20">
        <v>769600</v>
      </c>
      <c r="Q654" s="20">
        <v>477000</v>
      </c>
      <c r="R654" s="20">
        <v>2617200</v>
      </c>
      <c r="AB654" s="20">
        <v>12747700</v>
      </c>
      <c r="AC654" s="20">
        <v>6124050</v>
      </c>
      <c r="AD654" s="20">
        <v>2238600</v>
      </c>
      <c r="AE654" s="20">
        <v>612000</v>
      </c>
      <c r="AF654" s="20">
        <v>192400</v>
      </c>
      <c r="AG654" s="20">
        <v>667800</v>
      </c>
      <c r="AH654" s="20">
        <v>3120000</v>
      </c>
      <c r="AR654" s="20">
        <v>12954850</v>
      </c>
      <c r="BI654" s="28">
        <v>25702550</v>
      </c>
    </row>
    <row r="655" spans="1:61" hidden="1" x14ac:dyDescent="0.3">
      <c r="A655" s="1" t="s">
        <v>739</v>
      </c>
      <c r="B655" s="1" t="s">
        <v>108</v>
      </c>
      <c r="C655" s="1" t="s">
        <v>1449</v>
      </c>
      <c r="D655" s="1" t="s">
        <v>1450</v>
      </c>
      <c r="E655" s="1" t="s">
        <v>1467</v>
      </c>
      <c r="F655" s="1" t="s">
        <v>573</v>
      </c>
      <c r="G655" s="1" t="s">
        <v>1468</v>
      </c>
      <c r="H655" s="1" t="s">
        <v>1467</v>
      </c>
      <c r="I655" s="1" t="s">
        <v>548</v>
      </c>
      <c r="J655" s="1" t="s">
        <v>229</v>
      </c>
      <c r="K655" s="1" t="s">
        <v>118</v>
      </c>
      <c r="L655" s="1" t="s">
        <v>103</v>
      </c>
      <c r="M655" s="20">
        <v>9275700</v>
      </c>
      <c r="N655" s="20">
        <v>1521600</v>
      </c>
      <c r="O655" s="20">
        <v>816000</v>
      </c>
      <c r="P655" s="20">
        <v>962000</v>
      </c>
      <c r="Q655" s="20">
        <v>1135800</v>
      </c>
      <c r="R655" s="20">
        <v>3451200</v>
      </c>
      <c r="AB655" s="20">
        <v>17162300</v>
      </c>
      <c r="AC655" s="20">
        <v>10006500</v>
      </c>
      <c r="AD655" s="20">
        <v>1253400</v>
      </c>
      <c r="AE655" s="20">
        <v>408000</v>
      </c>
      <c r="AF655" s="20">
        <v>192400</v>
      </c>
      <c r="AG655" s="20">
        <v>754200</v>
      </c>
      <c r="AH655" s="20">
        <v>2139600</v>
      </c>
      <c r="AR655" s="20">
        <v>14754100</v>
      </c>
      <c r="BI655" s="28">
        <v>31916400</v>
      </c>
    </row>
    <row r="656" spans="1:61" hidden="1" x14ac:dyDescent="0.3">
      <c r="A656" s="1" t="s">
        <v>739</v>
      </c>
      <c r="B656" s="1" t="s">
        <v>108</v>
      </c>
      <c r="C656" s="1" t="s">
        <v>1449</v>
      </c>
      <c r="D656" s="1" t="s">
        <v>1450</v>
      </c>
      <c r="E656" s="1" t="s">
        <v>1469</v>
      </c>
      <c r="F656" s="1" t="s">
        <v>573</v>
      </c>
      <c r="G656" s="1" t="s">
        <v>1470</v>
      </c>
      <c r="H656" s="1" t="s">
        <v>1469</v>
      </c>
      <c r="I656" s="1" t="s">
        <v>548</v>
      </c>
      <c r="J656" s="1" t="s">
        <v>229</v>
      </c>
      <c r="K656" s="1" t="s">
        <v>118</v>
      </c>
      <c r="L656" s="1" t="s">
        <v>103</v>
      </c>
      <c r="M656" s="20">
        <v>4652100</v>
      </c>
      <c r="O656" s="20">
        <v>816000</v>
      </c>
      <c r="Q656" s="20">
        <v>1126800</v>
      </c>
      <c r="R656" s="20">
        <v>2474400</v>
      </c>
      <c r="AB656" s="20">
        <v>9069300</v>
      </c>
      <c r="AC656" s="20">
        <v>3117600</v>
      </c>
      <c r="AD656" s="20">
        <v>985200</v>
      </c>
      <c r="AE656" s="20">
        <v>204000</v>
      </c>
      <c r="AG656" s="20">
        <v>754200</v>
      </c>
      <c r="AH656" s="20">
        <v>2114400</v>
      </c>
      <c r="AR656" s="20">
        <v>7175400</v>
      </c>
      <c r="BI656" s="28">
        <v>16244700</v>
      </c>
    </row>
    <row r="657" spans="1:61" hidden="1" x14ac:dyDescent="0.3">
      <c r="A657" s="1" t="s">
        <v>739</v>
      </c>
      <c r="B657" s="1" t="s">
        <v>108</v>
      </c>
      <c r="C657" s="1" t="s">
        <v>1449</v>
      </c>
      <c r="D657" s="1" t="s">
        <v>1450</v>
      </c>
      <c r="E657" s="1" t="s">
        <v>1471</v>
      </c>
      <c r="F657" s="1" t="s">
        <v>573</v>
      </c>
      <c r="G657" s="1" t="s">
        <v>1472</v>
      </c>
      <c r="H657" s="1" t="s">
        <v>1471</v>
      </c>
      <c r="I657" s="1" t="s">
        <v>548</v>
      </c>
      <c r="J657" s="1" t="s">
        <v>229</v>
      </c>
      <c r="K657" s="1" t="s">
        <v>118</v>
      </c>
      <c r="L657" s="1" t="s">
        <v>103</v>
      </c>
      <c r="M657" s="20">
        <v>3823950</v>
      </c>
      <c r="N657" s="20">
        <v>536400</v>
      </c>
      <c r="O657" s="20">
        <v>612000</v>
      </c>
      <c r="Q657" s="20">
        <v>424800</v>
      </c>
      <c r="R657" s="20">
        <v>2008800</v>
      </c>
      <c r="AB657" s="20">
        <v>7405950</v>
      </c>
      <c r="AC657" s="20">
        <v>5167950</v>
      </c>
      <c r="AD657" s="20">
        <v>268200</v>
      </c>
      <c r="AE657" s="20">
        <v>408000</v>
      </c>
      <c r="AG657" s="20">
        <v>988200</v>
      </c>
      <c r="AH657" s="20">
        <v>1665600</v>
      </c>
      <c r="AR657" s="20">
        <v>8497950</v>
      </c>
      <c r="BI657" s="28">
        <v>15903900</v>
      </c>
    </row>
    <row r="658" spans="1:61" hidden="1" x14ac:dyDescent="0.3">
      <c r="A658" s="1" t="s">
        <v>739</v>
      </c>
      <c r="B658" s="1" t="s">
        <v>108</v>
      </c>
      <c r="C658" s="1" t="s">
        <v>1449</v>
      </c>
      <c r="D658" s="1" t="s">
        <v>1450</v>
      </c>
      <c r="E658" s="1" t="s">
        <v>1473</v>
      </c>
      <c r="F658" s="1" t="s">
        <v>573</v>
      </c>
      <c r="G658" s="1" t="s">
        <v>1474</v>
      </c>
      <c r="H658" s="1" t="s">
        <v>1473</v>
      </c>
      <c r="I658" s="1" t="s">
        <v>548</v>
      </c>
      <c r="J658" s="1" t="s">
        <v>229</v>
      </c>
      <c r="K658" s="1" t="s">
        <v>118</v>
      </c>
      <c r="L658" s="1" t="s">
        <v>103</v>
      </c>
      <c r="M658" s="20">
        <v>2628900</v>
      </c>
      <c r="N658" s="20">
        <v>268200</v>
      </c>
      <c r="O658" s="20">
        <v>612000</v>
      </c>
      <c r="Q658" s="20">
        <v>381600</v>
      </c>
      <c r="R658" s="20">
        <v>856800</v>
      </c>
      <c r="AB658" s="20">
        <v>4747500</v>
      </c>
      <c r="AC658" s="20">
        <v>1783650</v>
      </c>
      <c r="AE658" s="20">
        <v>408000</v>
      </c>
      <c r="AG658" s="20">
        <v>477000</v>
      </c>
      <c r="AH658" s="20">
        <v>571200</v>
      </c>
      <c r="AR658" s="20">
        <v>3239850</v>
      </c>
      <c r="BI658" s="28">
        <v>7987350</v>
      </c>
    </row>
    <row r="659" spans="1:61" hidden="1" x14ac:dyDescent="0.3">
      <c r="A659" s="1" t="s">
        <v>739</v>
      </c>
      <c r="B659" s="1" t="s">
        <v>108</v>
      </c>
      <c r="C659" s="1" t="s">
        <v>1449</v>
      </c>
      <c r="D659" s="1" t="s">
        <v>1450</v>
      </c>
      <c r="E659" s="1" t="s">
        <v>1475</v>
      </c>
      <c r="F659" s="1" t="s">
        <v>573</v>
      </c>
      <c r="G659" s="1" t="s">
        <v>1476</v>
      </c>
      <c r="H659" s="1" t="s">
        <v>1475</v>
      </c>
      <c r="I659" s="1" t="s">
        <v>548</v>
      </c>
      <c r="J659" s="1" t="s">
        <v>229</v>
      </c>
      <c r="K659" s="1" t="s">
        <v>118</v>
      </c>
      <c r="L659" s="1" t="s">
        <v>103</v>
      </c>
      <c r="M659" s="20">
        <v>8927100</v>
      </c>
      <c r="N659" s="20">
        <v>804600</v>
      </c>
      <c r="O659" s="20">
        <v>204000</v>
      </c>
      <c r="P659" s="20">
        <v>1924000</v>
      </c>
      <c r="Q659" s="20">
        <v>1413000</v>
      </c>
      <c r="R659" s="20">
        <v>2702400</v>
      </c>
      <c r="AB659" s="20">
        <v>15975100</v>
      </c>
      <c r="AC659" s="20">
        <v>11234850</v>
      </c>
      <c r="AD659" s="20">
        <v>1072800</v>
      </c>
      <c r="AE659" s="20">
        <v>612000</v>
      </c>
      <c r="AG659" s="20">
        <v>745200</v>
      </c>
      <c r="AH659" s="20">
        <v>2094000</v>
      </c>
      <c r="AR659" s="20">
        <v>15758850</v>
      </c>
      <c r="BI659" s="28">
        <v>31733950</v>
      </c>
    </row>
    <row r="660" spans="1:61" hidden="1" x14ac:dyDescent="0.3">
      <c r="A660" s="1" t="s">
        <v>739</v>
      </c>
      <c r="B660" s="1" t="s">
        <v>108</v>
      </c>
      <c r="C660" s="1" t="s">
        <v>1449</v>
      </c>
      <c r="D660" s="1" t="s">
        <v>1450</v>
      </c>
      <c r="E660" s="1" t="s">
        <v>1477</v>
      </c>
      <c r="F660" s="1" t="s">
        <v>1478</v>
      </c>
      <c r="G660" s="1" t="s">
        <v>1479</v>
      </c>
      <c r="H660" s="1" t="s">
        <v>1477</v>
      </c>
      <c r="I660" s="1" t="s">
        <v>548</v>
      </c>
      <c r="J660" s="1" t="s">
        <v>229</v>
      </c>
      <c r="K660" s="1" t="s">
        <v>118</v>
      </c>
      <c r="L660" s="1" t="s">
        <v>103</v>
      </c>
      <c r="M660" s="20">
        <v>6483600</v>
      </c>
      <c r="N660" s="20">
        <v>536400</v>
      </c>
      <c r="O660" s="20">
        <v>204000</v>
      </c>
      <c r="P660" s="20">
        <v>384800</v>
      </c>
      <c r="Q660" s="20">
        <v>892800</v>
      </c>
      <c r="R660" s="20">
        <v>914400</v>
      </c>
      <c r="AB660" s="20">
        <v>9416000</v>
      </c>
      <c r="AC660" s="20">
        <v>6257100</v>
      </c>
      <c r="AD660" s="20">
        <v>1072800</v>
      </c>
      <c r="AE660" s="20">
        <v>612000</v>
      </c>
      <c r="AF660" s="20">
        <v>384800</v>
      </c>
      <c r="AG660" s="20">
        <v>658800</v>
      </c>
      <c r="AH660" s="20">
        <v>1428000</v>
      </c>
      <c r="AR660" s="20">
        <v>10413500</v>
      </c>
      <c r="BI660" s="28">
        <v>19829500</v>
      </c>
    </row>
    <row r="661" spans="1:61" hidden="1" x14ac:dyDescent="0.3">
      <c r="A661" s="1" t="s">
        <v>739</v>
      </c>
      <c r="B661" s="1" t="s">
        <v>108</v>
      </c>
      <c r="C661" s="1" t="s">
        <v>1449</v>
      </c>
      <c r="D661" s="1" t="s">
        <v>1450</v>
      </c>
      <c r="E661" s="1" t="s">
        <v>1480</v>
      </c>
      <c r="F661" s="1" t="s">
        <v>1481</v>
      </c>
      <c r="G661" s="1" t="s">
        <v>1482</v>
      </c>
      <c r="H661" s="1" t="s">
        <v>1480</v>
      </c>
      <c r="I661" s="1" t="s">
        <v>548</v>
      </c>
      <c r="J661" s="1" t="s">
        <v>229</v>
      </c>
      <c r="K661" s="1" t="s">
        <v>118</v>
      </c>
      <c r="L661" s="1" t="s">
        <v>103</v>
      </c>
      <c r="M661" s="20">
        <v>10321200</v>
      </c>
      <c r="N661" s="20">
        <v>1877400</v>
      </c>
      <c r="O661" s="20">
        <v>612000</v>
      </c>
      <c r="P661" s="20">
        <v>1346800</v>
      </c>
      <c r="Q661" s="20">
        <v>3121200</v>
      </c>
      <c r="R661" s="20">
        <v>3054000</v>
      </c>
      <c r="AB661" s="20">
        <v>20332600</v>
      </c>
      <c r="AC661" s="20">
        <v>9370500</v>
      </c>
      <c r="AD661" s="20">
        <v>1341000</v>
      </c>
      <c r="AE661" s="20">
        <v>612000</v>
      </c>
      <c r="AF661" s="20">
        <v>769600</v>
      </c>
      <c r="AG661" s="20">
        <v>1240200</v>
      </c>
      <c r="AH661" s="20">
        <v>2894400</v>
      </c>
      <c r="AR661" s="20">
        <v>16227700</v>
      </c>
      <c r="BI661" s="28">
        <v>36560300</v>
      </c>
    </row>
    <row r="662" spans="1:61" hidden="1" x14ac:dyDescent="0.3">
      <c r="A662" s="1" t="s">
        <v>739</v>
      </c>
      <c r="B662" s="1" t="s">
        <v>108</v>
      </c>
      <c r="C662" s="1" t="s">
        <v>1449</v>
      </c>
      <c r="D662" s="1" t="s">
        <v>1450</v>
      </c>
      <c r="E662" s="1" t="s">
        <v>1483</v>
      </c>
      <c r="F662" s="1" t="s">
        <v>1481</v>
      </c>
      <c r="G662" s="1" t="s">
        <v>1484</v>
      </c>
      <c r="H662" s="1" t="s">
        <v>1483</v>
      </c>
      <c r="I662" s="1" t="s">
        <v>548</v>
      </c>
      <c r="J662" s="1" t="s">
        <v>229</v>
      </c>
      <c r="K662" s="1" t="s">
        <v>118</v>
      </c>
      <c r="L662" s="1" t="s">
        <v>103</v>
      </c>
      <c r="M662" s="20">
        <v>6567750</v>
      </c>
      <c r="N662" s="20">
        <v>1341000</v>
      </c>
      <c r="O662" s="20">
        <v>408000</v>
      </c>
      <c r="P662" s="20">
        <v>384800</v>
      </c>
      <c r="Q662" s="20">
        <v>658800</v>
      </c>
      <c r="R662" s="20">
        <v>1645200</v>
      </c>
      <c r="AB662" s="20">
        <v>11005550</v>
      </c>
      <c r="AC662" s="20">
        <v>7343100</v>
      </c>
      <c r="AD662" s="20">
        <v>1789800</v>
      </c>
      <c r="AE662" s="20">
        <v>408000</v>
      </c>
      <c r="AF662" s="20">
        <v>577200</v>
      </c>
      <c r="AG662" s="20">
        <v>754200</v>
      </c>
      <c r="AH662" s="20">
        <v>1968000</v>
      </c>
      <c r="AR662" s="20">
        <v>12840300</v>
      </c>
      <c r="BI662" s="28">
        <v>23845850</v>
      </c>
    </row>
    <row r="663" spans="1:61" hidden="1" x14ac:dyDescent="0.3">
      <c r="A663" s="1" t="s">
        <v>739</v>
      </c>
      <c r="B663" s="1" t="s">
        <v>108</v>
      </c>
      <c r="C663" s="1" t="s">
        <v>1449</v>
      </c>
      <c r="D663" s="1" t="s">
        <v>1450</v>
      </c>
      <c r="E663" s="1" t="s">
        <v>1485</v>
      </c>
      <c r="F663" s="1" t="s">
        <v>573</v>
      </c>
      <c r="G663" s="1" t="s">
        <v>1486</v>
      </c>
      <c r="H663" s="1" t="s">
        <v>1485</v>
      </c>
      <c r="I663" s="1" t="s">
        <v>548</v>
      </c>
      <c r="J663" s="1" t="s">
        <v>229</v>
      </c>
      <c r="K663" s="1" t="s">
        <v>118</v>
      </c>
      <c r="L663" s="1" t="s">
        <v>103</v>
      </c>
      <c r="M663" s="20">
        <v>4213500</v>
      </c>
      <c r="N663" s="20">
        <v>985200</v>
      </c>
      <c r="O663" s="20">
        <v>204000</v>
      </c>
      <c r="P663" s="20">
        <v>384800</v>
      </c>
      <c r="Q663" s="20">
        <v>1170000</v>
      </c>
      <c r="R663" s="20">
        <v>2017200</v>
      </c>
      <c r="AB663" s="20">
        <v>8974700</v>
      </c>
      <c r="AC663" s="20">
        <v>2582400</v>
      </c>
      <c r="AD663" s="20">
        <v>268200</v>
      </c>
      <c r="AE663" s="20">
        <v>204000</v>
      </c>
      <c r="AG663" s="20">
        <v>1040400</v>
      </c>
      <c r="AH663" s="20">
        <v>2445600</v>
      </c>
      <c r="AR663" s="20">
        <v>6540600</v>
      </c>
      <c r="BI663" s="28">
        <v>15515300</v>
      </c>
    </row>
    <row r="664" spans="1:61" hidden="1" x14ac:dyDescent="0.3">
      <c r="A664" s="1" t="s">
        <v>739</v>
      </c>
      <c r="B664" s="1" t="s">
        <v>108</v>
      </c>
      <c r="C664" s="1" t="s">
        <v>1449</v>
      </c>
      <c r="D664" s="1" t="s">
        <v>1450</v>
      </c>
      <c r="E664" s="1" t="s">
        <v>1487</v>
      </c>
      <c r="F664" s="1" t="s">
        <v>573</v>
      </c>
      <c r="G664" s="1" t="s">
        <v>1488</v>
      </c>
      <c r="H664" s="1" t="s">
        <v>1487</v>
      </c>
      <c r="I664" s="1" t="s">
        <v>548</v>
      </c>
      <c r="J664" s="1" t="s">
        <v>229</v>
      </c>
      <c r="K664" s="1" t="s">
        <v>118</v>
      </c>
      <c r="L664" s="1" t="s">
        <v>103</v>
      </c>
      <c r="M664" s="20">
        <v>5928000</v>
      </c>
      <c r="N664" s="20">
        <v>536400</v>
      </c>
      <c r="O664" s="20">
        <v>204000</v>
      </c>
      <c r="P664" s="20">
        <v>192400</v>
      </c>
      <c r="Q664" s="20">
        <v>1083600</v>
      </c>
      <c r="R664" s="20">
        <v>2882400</v>
      </c>
      <c r="AB664" s="20">
        <v>10826800</v>
      </c>
      <c r="AC664" s="20">
        <v>3749400</v>
      </c>
      <c r="AD664" s="20">
        <v>804600</v>
      </c>
      <c r="AE664" s="20">
        <v>408000</v>
      </c>
      <c r="AF664" s="20">
        <v>192400</v>
      </c>
      <c r="AG664" s="20">
        <v>806400</v>
      </c>
      <c r="AH664" s="20">
        <v>1665600</v>
      </c>
      <c r="AR664" s="20">
        <v>7626400</v>
      </c>
      <c r="BI664" s="28">
        <v>18453200</v>
      </c>
    </row>
    <row r="665" spans="1:61" hidden="1" x14ac:dyDescent="0.3">
      <c r="A665" s="1" t="s">
        <v>739</v>
      </c>
      <c r="B665" s="1" t="s">
        <v>108</v>
      </c>
      <c r="C665" s="1" t="s">
        <v>1449</v>
      </c>
      <c r="D665" s="1" t="s">
        <v>1450</v>
      </c>
      <c r="E665" s="1" t="s">
        <v>1489</v>
      </c>
      <c r="F665" s="1" t="s">
        <v>573</v>
      </c>
      <c r="G665" s="1" t="s">
        <v>1490</v>
      </c>
      <c r="H665" s="1" t="s">
        <v>1489</v>
      </c>
      <c r="I665" s="1" t="s">
        <v>548</v>
      </c>
      <c r="J665" s="1" t="s">
        <v>229</v>
      </c>
      <c r="K665" s="1" t="s">
        <v>118</v>
      </c>
      <c r="L665" s="1" t="s">
        <v>103</v>
      </c>
      <c r="M665" s="20">
        <v>3276300</v>
      </c>
      <c r="N665" s="20">
        <v>268200</v>
      </c>
      <c r="O665" s="20">
        <v>204000</v>
      </c>
      <c r="P665" s="20">
        <v>577200</v>
      </c>
      <c r="Q665" s="20">
        <v>1222200</v>
      </c>
      <c r="R665" s="20">
        <v>1702800</v>
      </c>
      <c r="AB665" s="20">
        <v>7250700</v>
      </c>
      <c r="AC665" s="20">
        <v>4130100</v>
      </c>
      <c r="AD665" s="20">
        <v>717000</v>
      </c>
      <c r="AE665" s="20">
        <v>612000</v>
      </c>
      <c r="AG665" s="20">
        <v>711000</v>
      </c>
      <c r="AH665" s="20">
        <v>1200000</v>
      </c>
      <c r="AR665" s="20">
        <v>7370100</v>
      </c>
      <c r="BI665" s="28">
        <v>14620800</v>
      </c>
    </row>
    <row r="666" spans="1:61" hidden="1" x14ac:dyDescent="0.3">
      <c r="A666" s="1" t="s">
        <v>739</v>
      </c>
      <c r="B666" s="1" t="s">
        <v>108</v>
      </c>
      <c r="C666" s="1" t="s">
        <v>1449</v>
      </c>
      <c r="D666" s="1" t="s">
        <v>1450</v>
      </c>
      <c r="E666" s="1" t="s">
        <v>1491</v>
      </c>
      <c r="F666" s="1" t="s">
        <v>573</v>
      </c>
      <c r="G666" s="1" t="s">
        <v>1492</v>
      </c>
      <c r="H666" s="1" t="s">
        <v>1491</v>
      </c>
      <c r="I666" s="1" t="s">
        <v>548</v>
      </c>
      <c r="J666" s="1" t="s">
        <v>229</v>
      </c>
      <c r="K666" s="1" t="s">
        <v>118</v>
      </c>
      <c r="L666" s="1" t="s">
        <v>103</v>
      </c>
      <c r="M666" s="20">
        <v>8326800</v>
      </c>
      <c r="N666" s="20">
        <v>536400</v>
      </c>
      <c r="O666" s="20">
        <v>816000</v>
      </c>
      <c r="P666" s="20">
        <v>962000</v>
      </c>
      <c r="Q666" s="20">
        <v>1699200</v>
      </c>
      <c r="R666" s="20">
        <v>3824400</v>
      </c>
      <c r="AB666" s="20">
        <v>16164800</v>
      </c>
      <c r="AC666" s="20">
        <v>5841300</v>
      </c>
      <c r="AE666" s="20">
        <v>408000</v>
      </c>
      <c r="AF666" s="20">
        <v>384800</v>
      </c>
      <c r="AG666" s="20">
        <v>2037600</v>
      </c>
      <c r="AH666" s="20">
        <v>3501600</v>
      </c>
      <c r="AR666" s="20">
        <v>12173300</v>
      </c>
      <c r="BI666" s="28">
        <v>28338100</v>
      </c>
    </row>
    <row r="667" spans="1:61" hidden="1" x14ac:dyDescent="0.3">
      <c r="A667" s="1" t="s">
        <v>739</v>
      </c>
      <c r="B667" s="1" t="s">
        <v>108</v>
      </c>
      <c r="C667" s="1" t="s">
        <v>1449</v>
      </c>
      <c r="D667" s="1" t="s">
        <v>1450</v>
      </c>
      <c r="E667" s="1" t="s">
        <v>1493</v>
      </c>
      <c r="F667" s="1" t="s">
        <v>573</v>
      </c>
      <c r="G667" s="1" t="s">
        <v>1494</v>
      </c>
      <c r="H667" s="1" t="s">
        <v>1493</v>
      </c>
      <c r="I667" s="1" t="s">
        <v>548</v>
      </c>
      <c r="J667" s="1" t="s">
        <v>229</v>
      </c>
      <c r="K667" s="1" t="s">
        <v>118</v>
      </c>
      <c r="L667" s="1" t="s">
        <v>103</v>
      </c>
      <c r="M667" s="20">
        <v>10406550</v>
      </c>
      <c r="N667" s="20">
        <v>985200</v>
      </c>
      <c r="O667" s="20">
        <v>1428000</v>
      </c>
      <c r="P667" s="20">
        <v>577200</v>
      </c>
      <c r="Q667" s="20">
        <v>1985400</v>
      </c>
      <c r="R667" s="20">
        <v>4783200</v>
      </c>
      <c r="AB667" s="20">
        <v>20165550</v>
      </c>
      <c r="AC667" s="20">
        <v>9901500</v>
      </c>
      <c r="AD667" s="20">
        <v>1253400</v>
      </c>
      <c r="AE667" s="20">
        <v>1224000</v>
      </c>
      <c r="AF667" s="20">
        <v>384800</v>
      </c>
      <c r="AG667" s="20">
        <v>1560600</v>
      </c>
      <c r="AH667" s="20">
        <v>2902800</v>
      </c>
      <c r="AR667" s="20">
        <v>17227100</v>
      </c>
      <c r="BI667" s="28">
        <v>37392650</v>
      </c>
    </row>
    <row r="668" spans="1:61" hidden="1" x14ac:dyDescent="0.3">
      <c r="A668" s="1" t="s">
        <v>739</v>
      </c>
      <c r="B668" s="1" t="s">
        <v>108</v>
      </c>
      <c r="C668" s="1" t="s">
        <v>1449</v>
      </c>
      <c r="D668" s="1" t="s">
        <v>1450</v>
      </c>
      <c r="E668" s="1" t="s">
        <v>1495</v>
      </c>
      <c r="F668" s="1" t="s">
        <v>573</v>
      </c>
      <c r="G668" s="1" t="s">
        <v>1496</v>
      </c>
      <c r="H668" s="1" t="s">
        <v>1495</v>
      </c>
      <c r="I668" s="1" t="s">
        <v>548</v>
      </c>
      <c r="J668" s="1" t="s">
        <v>229</v>
      </c>
      <c r="K668" s="1" t="s">
        <v>118</v>
      </c>
      <c r="L668" s="1" t="s">
        <v>103</v>
      </c>
      <c r="M668" s="20">
        <v>14092050</v>
      </c>
      <c r="N668" s="20">
        <v>3399000</v>
      </c>
      <c r="O668" s="20">
        <v>1428000</v>
      </c>
      <c r="P668" s="20">
        <v>2501200</v>
      </c>
      <c r="Q668" s="20">
        <v>2921400</v>
      </c>
      <c r="R668" s="20">
        <v>7611600</v>
      </c>
      <c r="AB668" s="20">
        <v>31953250</v>
      </c>
      <c r="AC668" s="20">
        <v>10581600</v>
      </c>
      <c r="AD668" s="20">
        <v>1789800</v>
      </c>
      <c r="AE668" s="20">
        <v>1632000</v>
      </c>
      <c r="AF668" s="20">
        <v>1731600</v>
      </c>
      <c r="AG668" s="20">
        <v>1517400</v>
      </c>
      <c r="AH668" s="20">
        <v>4576800</v>
      </c>
      <c r="AR668" s="20">
        <v>21829200</v>
      </c>
      <c r="BI668" s="28">
        <v>53782450</v>
      </c>
    </row>
    <row r="669" spans="1:61" hidden="1" x14ac:dyDescent="0.3">
      <c r="A669" s="1" t="s">
        <v>739</v>
      </c>
      <c r="B669" s="1" t="s">
        <v>108</v>
      </c>
      <c r="C669" s="1" t="s">
        <v>1449</v>
      </c>
      <c r="D669" s="1" t="s">
        <v>1450</v>
      </c>
      <c r="E669" s="1" t="s">
        <v>1497</v>
      </c>
      <c r="F669" s="1" t="s">
        <v>573</v>
      </c>
      <c r="G669" s="1" t="s">
        <v>1498</v>
      </c>
      <c r="H669" s="1" t="s">
        <v>1497</v>
      </c>
      <c r="I669" s="1" t="s">
        <v>548</v>
      </c>
      <c r="J669" s="1" t="s">
        <v>229</v>
      </c>
      <c r="K669" s="1" t="s">
        <v>118</v>
      </c>
      <c r="L669" s="1" t="s">
        <v>103</v>
      </c>
      <c r="M669" s="20">
        <v>7470750</v>
      </c>
      <c r="N669" s="20">
        <v>804600</v>
      </c>
      <c r="O669" s="20">
        <v>612000</v>
      </c>
      <c r="P669" s="20">
        <v>384800</v>
      </c>
      <c r="Q669" s="20">
        <v>563400</v>
      </c>
      <c r="R669" s="20">
        <v>2691600</v>
      </c>
      <c r="AB669" s="20">
        <v>12527150</v>
      </c>
      <c r="AC669" s="20">
        <v>4312950</v>
      </c>
      <c r="AD669" s="20">
        <v>717000</v>
      </c>
      <c r="AE669" s="20">
        <v>204000</v>
      </c>
      <c r="AF669" s="20">
        <v>192400</v>
      </c>
      <c r="AG669" s="20">
        <v>1413000</v>
      </c>
      <c r="AH669" s="20">
        <v>2017200</v>
      </c>
      <c r="AR669" s="20">
        <v>8856550</v>
      </c>
      <c r="BI669" s="28">
        <v>21383700</v>
      </c>
    </row>
    <row r="670" spans="1:61" hidden="1" x14ac:dyDescent="0.3">
      <c r="A670" s="1" t="s">
        <v>739</v>
      </c>
      <c r="B670" s="1" t="s">
        <v>108</v>
      </c>
      <c r="C670" s="1" t="s">
        <v>1449</v>
      </c>
      <c r="D670" s="1" t="s">
        <v>1450</v>
      </c>
      <c r="E670" s="1" t="s">
        <v>1499</v>
      </c>
      <c r="F670" s="1" t="s">
        <v>573</v>
      </c>
      <c r="G670" s="1" t="s">
        <v>1500</v>
      </c>
      <c r="H670" s="1" t="s">
        <v>1499</v>
      </c>
      <c r="I670" s="1" t="s">
        <v>548</v>
      </c>
      <c r="J670" s="1" t="s">
        <v>229</v>
      </c>
      <c r="K670" s="1" t="s">
        <v>118</v>
      </c>
      <c r="L670" s="1" t="s">
        <v>103</v>
      </c>
      <c r="M670" s="20">
        <v>4487400</v>
      </c>
      <c r="N670" s="20">
        <v>1789800</v>
      </c>
      <c r="O670" s="20">
        <v>612000</v>
      </c>
      <c r="P670" s="20">
        <v>769600</v>
      </c>
      <c r="Q670" s="20">
        <v>1846800</v>
      </c>
      <c r="R670" s="20">
        <v>1911600</v>
      </c>
      <c r="AB670" s="20">
        <v>11417200</v>
      </c>
      <c r="AC670" s="20">
        <v>6596550</v>
      </c>
      <c r="AD670" s="20">
        <v>1072800</v>
      </c>
      <c r="AE670" s="20">
        <v>204000</v>
      </c>
      <c r="AF670" s="20">
        <v>384800</v>
      </c>
      <c r="AG670" s="20">
        <v>1135800</v>
      </c>
      <c r="AH670" s="20">
        <v>2482800</v>
      </c>
      <c r="AR670" s="20">
        <v>11876750</v>
      </c>
      <c r="BI670" s="28">
        <v>23293950</v>
      </c>
    </row>
    <row r="671" spans="1:61" hidden="1" x14ac:dyDescent="0.3">
      <c r="A671" s="1" t="s">
        <v>739</v>
      </c>
      <c r="B671" s="1" t="s">
        <v>108</v>
      </c>
      <c r="C671" s="1" t="s">
        <v>1449</v>
      </c>
      <c r="D671" s="1" t="s">
        <v>1450</v>
      </c>
      <c r="E671" s="1" t="s">
        <v>1501</v>
      </c>
      <c r="F671" s="1" t="s">
        <v>573</v>
      </c>
      <c r="G671" s="1" t="s">
        <v>1502</v>
      </c>
      <c r="H671" s="1" t="s">
        <v>1501</v>
      </c>
      <c r="I671" s="1" t="s">
        <v>548</v>
      </c>
      <c r="J671" s="1" t="s">
        <v>229</v>
      </c>
      <c r="K671" s="1" t="s">
        <v>118</v>
      </c>
      <c r="L671" s="1" t="s">
        <v>103</v>
      </c>
      <c r="M671" s="20">
        <v>5607900</v>
      </c>
      <c r="N671" s="20">
        <v>1521600</v>
      </c>
      <c r="O671" s="20">
        <v>1224000</v>
      </c>
      <c r="P671" s="20">
        <v>1154400</v>
      </c>
      <c r="Q671" s="20">
        <v>1326600</v>
      </c>
      <c r="R671" s="20">
        <v>6022800</v>
      </c>
      <c r="AB671" s="20">
        <v>16857300</v>
      </c>
      <c r="AC671" s="20">
        <v>5188200</v>
      </c>
      <c r="AE671" s="20">
        <v>204000</v>
      </c>
      <c r="AF671" s="20">
        <v>962000</v>
      </c>
      <c r="AG671" s="20">
        <v>1569600</v>
      </c>
      <c r="AH671" s="20">
        <v>5271600</v>
      </c>
      <c r="AR671" s="20">
        <v>13195400</v>
      </c>
      <c r="BI671" s="28">
        <v>30052700</v>
      </c>
    </row>
    <row r="672" spans="1:61" hidden="1" x14ac:dyDescent="0.3">
      <c r="A672" s="1" t="s">
        <v>739</v>
      </c>
      <c r="B672" s="1" t="s">
        <v>108</v>
      </c>
      <c r="C672" s="1" t="s">
        <v>1449</v>
      </c>
      <c r="D672" s="1" t="s">
        <v>1450</v>
      </c>
      <c r="E672" s="1" t="s">
        <v>1503</v>
      </c>
      <c r="F672" s="1" t="s">
        <v>573</v>
      </c>
      <c r="G672" s="1" t="s">
        <v>1504</v>
      </c>
      <c r="H672" s="1" t="s">
        <v>1503</v>
      </c>
      <c r="I672" s="1" t="s">
        <v>548</v>
      </c>
      <c r="J672" s="1" t="s">
        <v>229</v>
      </c>
      <c r="K672" s="1" t="s">
        <v>118</v>
      </c>
      <c r="L672" s="1" t="s">
        <v>103</v>
      </c>
      <c r="M672" s="20">
        <v>4211250</v>
      </c>
      <c r="N672" s="20">
        <v>536400</v>
      </c>
      <c r="Q672" s="20">
        <v>95400</v>
      </c>
      <c r="R672" s="20">
        <v>2445600</v>
      </c>
      <c r="AB672" s="20">
        <v>7288650</v>
      </c>
      <c r="AC672" s="20">
        <v>5293350</v>
      </c>
      <c r="AD672" s="20">
        <v>536400</v>
      </c>
      <c r="AG672" s="20">
        <v>190800</v>
      </c>
      <c r="AH672" s="20">
        <v>1456800</v>
      </c>
      <c r="AR672" s="20">
        <v>7477350</v>
      </c>
      <c r="BI672" s="28">
        <v>14766000</v>
      </c>
    </row>
    <row r="673" spans="1:61" hidden="1" x14ac:dyDescent="0.3">
      <c r="A673" s="1" t="s">
        <v>739</v>
      </c>
      <c r="B673" s="1" t="s">
        <v>108</v>
      </c>
      <c r="C673" s="1" t="s">
        <v>1449</v>
      </c>
      <c r="D673" s="1" t="s">
        <v>1450</v>
      </c>
      <c r="E673" s="1" t="s">
        <v>1505</v>
      </c>
      <c r="F673" s="1" t="s">
        <v>573</v>
      </c>
      <c r="G673" s="1" t="s">
        <v>1506</v>
      </c>
      <c r="H673" s="1" t="s">
        <v>1505</v>
      </c>
      <c r="I673" s="1" t="s">
        <v>548</v>
      </c>
      <c r="J673" s="1" t="s">
        <v>229</v>
      </c>
      <c r="K673" s="1" t="s">
        <v>118</v>
      </c>
      <c r="L673" s="1" t="s">
        <v>103</v>
      </c>
      <c r="M673" s="20">
        <v>3282300</v>
      </c>
      <c r="O673" s="20">
        <v>204000</v>
      </c>
      <c r="P673" s="20">
        <v>577200</v>
      </c>
      <c r="Q673" s="20">
        <v>892800</v>
      </c>
      <c r="R673" s="20">
        <v>2274000</v>
      </c>
      <c r="AB673" s="20">
        <v>7230300</v>
      </c>
      <c r="AC673" s="20">
        <v>5048250</v>
      </c>
      <c r="AD673" s="20">
        <v>268200</v>
      </c>
      <c r="AG673" s="20">
        <v>711000</v>
      </c>
      <c r="AH673" s="20">
        <v>1266000</v>
      </c>
      <c r="AR673" s="20">
        <v>7293450</v>
      </c>
      <c r="BI673" s="28">
        <v>14523750</v>
      </c>
    </row>
    <row r="674" spans="1:61" hidden="1" x14ac:dyDescent="0.3">
      <c r="A674" s="1" t="s">
        <v>739</v>
      </c>
      <c r="B674" s="1" t="s">
        <v>108</v>
      </c>
      <c r="C674" s="1" t="s">
        <v>1449</v>
      </c>
      <c r="D674" s="1" t="s">
        <v>1450</v>
      </c>
      <c r="E674" s="1" t="s">
        <v>1507</v>
      </c>
      <c r="F674" s="1" t="s">
        <v>573</v>
      </c>
      <c r="G674" s="1" t="s">
        <v>1508</v>
      </c>
      <c r="H674" s="1" t="s">
        <v>1507</v>
      </c>
      <c r="I674" s="1" t="s">
        <v>548</v>
      </c>
      <c r="J674" s="1" t="s">
        <v>229</v>
      </c>
      <c r="K674" s="1" t="s">
        <v>118</v>
      </c>
      <c r="L674" s="1" t="s">
        <v>103</v>
      </c>
      <c r="M674" s="20">
        <v>14238000</v>
      </c>
      <c r="N674" s="20">
        <v>2413800</v>
      </c>
      <c r="O674" s="20">
        <v>1020000</v>
      </c>
      <c r="P674" s="20">
        <v>4617600</v>
      </c>
      <c r="Q674" s="20">
        <v>2367000</v>
      </c>
      <c r="R674" s="20">
        <v>11472000</v>
      </c>
      <c r="AB674" s="20">
        <v>36128400</v>
      </c>
      <c r="AC674" s="20">
        <v>9579300</v>
      </c>
      <c r="AD674" s="20">
        <v>2326200</v>
      </c>
      <c r="AE674" s="20">
        <v>612000</v>
      </c>
      <c r="AF674" s="20">
        <v>1924000</v>
      </c>
      <c r="AG674" s="20">
        <v>1603800</v>
      </c>
      <c r="AH674" s="20">
        <v>10411200</v>
      </c>
      <c r="AR674" s="20">
        <v>26456500</v>
      </c>
      <c r="BI674" s="28">
        <v>62584900</v>
      </c>
    </row>
    <row r="675" spans="1:61" hidden="1" x14ac:dyDescent="0.3">
      <c r="A675" s="1" t="s">
        <v>739</v>
      </c>
      <c r="B675" s="1" t="s">
        <v>108</v>
      </c>
      <c r="C675" s="1" t="s">
        <v>1449</v>
      </c>
      <c r="D675" s="1" t="s">
        <v>1450</v>
      </c>
      <c r="E675" s="1" t="s">
        <v>1509</v>
      </c>
      <c r="F675" s="1" t="s">
        <v>573</v>
      </c>
      <c r="G675" s="1" t="s">
        <v>1510</v>
      </c>
      <c r="H675" s="1" t="s">
        <v>1509</v>
      </c>
      <c r="I675" s="1" t="s">
        <v>548</v>
      </c>
      <c r="J675" s="1" t="s">
        <v>229</v>
      </c>
      <c r="K675" s="1" t="s">
        <v>118</v>
      </c>
      <c r="L675" s="1" t="s">
        <v>103</v>
      </c>
      <c r="M675" s="20">
        <v>1617300</v>
      </c>
      <c r="N675" s="20">
        <v>268200</v>
      </c>
      <c r="O675" s="20">
        <v>204000</v>
      </c>
      <c r="P675" s="20">
        <v>192400</v>
      </c>
      <c r="Q675" s="20">
        <v>381600</v>
      </c>
      <c r="R675" s="20">
        <v>142800</v>
      </c>
      <c r="AB675" s="20">
        <v>2806300</v>
      </c>
      <c r="AC675" s="20">
        <v>1292700</v>
      </c>
      <c r="AG675" s="20">
        <v>572400</v>
      </c>
      <c r="AH675" s="20">
        <v>285600</v>
      </c>
      <c r="AR675" s="20">
        <v>2150700</v>
      </c>
      <c r="BI675" s="28">
        <v>4957000</v>
      </c>
    </row>
    <row r="676" spans="1:61" hidden="1" x14ac:dyDescent="0.3">
      <c r="A676" s="1" t="s">
        <v>739</v>
      </c>
      <c r="B676" s="1" t="s">
        <v>108</v>
      </c>
      <c r="C676" s="1" t="s">
        <v>1449</v>
      </c>
      <c r="D676" s="1" t="s">
        <v>1450</v>
      </c>
      <c r="E676" s="1" t="s">
        <v>1511</v>
      </c>
      <c r="F676" s="1" t="s">
        <v>573</v>
      </c>
      <c r="G676" s="1" t="s">
        <v>1512</v>
      </c>
      <c r="H676" s="1" t="s">
        <v>1511</v>
      </c>
      <c r="I676" s="1" t="s">
        <v>548</v>
      </c>
      <c r="J676" s="1" t="s">
        <v>229</v>
      </c>
      <c r="K676" s="1" t="s">
        <v>118</v>
      </c>
      <c r="L676" s="1" t="s">
        <v>103</v>
      </c>
      <c r="M676" s="20">
        <v>4401000</v>
      </c>
      <c r="N676" s="20">
        <v>536400</v>
      </c>
      <c r="O676" s="20">
        <v>408000</v>
      </c>
      <c r="P676" s="20">
        <v>384800</v>
      </c>
      <c r="Q676" s="20">
        <v>563400</v>
      </c>
      <c r="R676" s="20">
        <v>1968000</v>
      </c>
      <c r="AB676" s="20">
        <v>8261600</v>
      </c>
      <c r="AC676" s="20">
        <v>3991050</v>
      </c>
      <c r="AD676" s="20">
        <v>268200</v>
      </c>
      <c r="AE676" s="20">
        <v>204000</v>
      </c>
      <c r="AG676" s="20">
        <v>415800</v>
      </c>
      <c r="AH676" s="20">
        <v>2216400</v>
      </c>
      <c r="AR676" s="20">
        <v>7095450</v>
      </c>
      <c r="BI676" s="28">
        <v>15357050</v>
      </c>
    </row>
    <row r="677" spans="1:61" hidden="1" x14ac:dyDescent="0.3">
      <c r="A677" s="1" t="s">
        <v>739</v>
      </c>
      <c r="B677" s="1" t="s">
        <v>108</v>
      </c>
      <c r="C677" s="1" t="s">
        <v>1449</v>
      </c>
      <c r="D677" s="1" t="s">
        <v>1450</v>
      </c>
      <c r="E677" s="1" t="s">
        <v>1513</v>
      </c>
      <c r="F677" s="1" t="s">
        <v>561</v>
      </c>
      <c r="G677" s="1" t="s">
        <v>1514</v>
      </c>
      <c r="H677" s="1" t="s">
        <v>1513</v>
      </c>
      <c r="I677" s="1" t="s">
        <v>548</v>
      </c>
      <c r="J677" s="1" t="s">
        <v>229</v>
      </c>
      <c r="K677" s="1" t="s">
        <v>118</v>
      </c>
      <c r="L677" s="1" t="s">
        <v>103</v>
      </c>
      <c r="M677" s="20">
        <v>5917800</v>
      </c>
      <c r="N677" s="20">
        <v>536400</v>
      </c>
      <c r="O677" s="20">
        <v>612000</v>
      </c>
      <c r="P677" s="20">
        <v>192400</v>
      </c>
      <c r="Q677" s="20">
        <v>1040400</v>
      </c>
      <c r="R677" s="20">
        <v>3322800</v>
      </c>
      <c r="AB677" s="20">
        <v>11621800</v>
      </c>
      <c r="AC677" s="20">
        <v>6205500</v>
      </c>
      <c r="AD677" s="20">
        <v>1521600</v>
      </c>
      <c r="AE677" s="20">
        <v>204000</v>
      </c>
      <c r="AG677" s="20">
        <v>1474200</v>
      </c>
      <c r="AH677" s="20">
        <v>2503200</v>
      </c>
      <c r="AR677" s="20">
        <v>11908500</v>
      </c>
      <c r="BI677" s="28">
        <v>23530300</v>
      </c>
    </row>
    <row r="678" spans="1:61" hidden="1" x14ac:dyDescent="0.3">
      <c r="A678" s="1" t="s">
        <v>739</v>
      </c>
      <c r="B678" s="1" t="s">
        <v>108</v>
      </c>
      <c r="C678" s="1" t="s">
        <v>1449</v>
      </c>
      <c r="D678" s="1" t="s">
        <v>1450</v>
      </c>
      <c r="E678" s="1" t="s">
        <v>1515</v>
      </c>
      <c r="F678" s="1" t="s">
        <v>561</v>
      </c>
      <c r="G678" s="1" t="s">
        <v>1516</v>
      </c>
      <c r="H678" s="1" t="s">
        <v>1515</v>
      </c>
      <c r="I678" s="1" t="s">
        <v>548</v>
      </c>
      <c r="J678" s="1" t="s">
        <v>229</v>
      </c>
      <c r="K678" s="1" t="s">
        <v>118</v>
      </c>
      <c r="L678" s="1" t="s">
        <v>103</v>
      </c>
      <c r="M678" s="20">
        <v>5896950</v>
      </c>
      <c r="N678" s="20">
        <v>804600</v>
      </c>
      <c r="O678" s="20">
        <v>408000</v>
      </c>
      <c r="P678" s="20">
        <v>577200</v>
      </c>
      <c r="Q678" s="20">
        <v>1404000</v>
      </c>
      <c r="R678" s="20">
        <v>2514000</v>
      </c>
      <c r="AB678" s="20">
        <v>11604750</v>
      </c>
      <c r="AC678" s="20">
        <v>6210000</v>
      </c>
      <c r="AD678" s="20">
        <v>448800</v>
      </c>
      <c r="AF678" s="20">
        <v>384800</v>
      </c>
      <c r="AG678" s="20">
        <v>702000</v>
      </c>
      <c r="AH678" s="20">
        <v>1828800</v>
      </c>
      <c r="AR678" s="20">
        <v>9574400</v>
      </c>
      <c r="BI678" s="28">
        <v>21179150</v>
      </c>
    </row>
    <row r="679" spans="1:61" hidden="1" x14ac:dyDescent="0.3">
      <c r="A679" s="1" t="s">
        <v>739</v>
      </c>
      <c r="B679" s="1" t="s">
        <v>108</v>
      </c>
      <c r="C679" s="1" t="s">
        <v>1449</v>
      </c>
      <c r="D679" s="1" t="s">
        <v>1450</v>
      </c>
      <c r="E679" s="1" t="s">
        <v>1517</v>
      </c>
      <c r="F679" s="1" t="s">
        <v>561</v>
      </c>
      <c r="G679" s="1" t="s">
        <v>1518</v>
      </c>
      <c r="H679" s="1" t="s">
        <v>1517</v>
      </c>
      <c r="I679" s="1" t="s">
        <v>548</v>
      </c>
      <c r="J679" s="1" t="s">
        <v>229</v>
      </c>
      <c r="K679" s="1" t="s">
        <v>118</v>
      </c>
      <c r="L679" s="1" t="s">
        <v>103</v>
      </c>
      <c r="M679" s="20">
        <v>6780600</v>
      </c>
      <c r="N679" s="20">
        <v>536400</v>
      </c>
      <c r="O679" s="20">
        <v>612000</v>
      </c>
      <c r="P679" s="20">
        <v>384800</v>
      </c>
      <c r="Q679" s="20">
        <v>1360800</v>
      </c>
      <c r="R679" s="20">
        <v>2226000</v>
      </c>
      <c r="AB679" s="20">
        <v>11900600</v>
      </c>
      <c r="AC679" s="20">
        <v>5376750</v>
      </c>
      <c r="AE679" s="20">
        <v>816000</v>
      </c>
      <c r="AF679" s="20">
        <v>192400</v>
      </c>
      <c r="AG679" s="20">
        <v>892800</v>
      </c>
      <c r="AH679" s="20">
        <v>2340000</v>
      </c>
      <c r="AR679" s="20">
        <v>9617950</v>
      </c>
      <c r="BI679" s="28">
        <v>21518550</v>
      </c>
    </row>
    <row r="680" spans="1:61" hidden="1" x14ac:dyDescent="0.3">
      <c r="A680" s="1" t="s">
        <v>739</v>
      </c>
      <c r="B680" s="1" t="s">
        <v>108</v>
      </c>
      <c r="C680" s="1" t="s">
        <v>1449</v>
      </c>
      <c r="D680" s="1" t="s">
        <v>1450</v>
      </c>
      <c r="E680" s="1" t="s">
        <v>1519</v>
      </c>
      <c r="F680" s="1" t="s">
        <v>561</v>
      </c>
      <c r="G680" s="1" t="s">
        <v>1520</v>
      </c>
      <c r="H680" s="1" t="s">
        <v>1519</v>
      </c>
      <c r="I680" s="1" t="s">
        <v>548</v>
      </c>
      <c r="J680" s="1" t="s">
        <v>229</v>
      </c>
      <c r="K680" s="1" t="s">
        <v>118</v>
      </c>
      <c r="L680" s="1" t="s">
        <v>103</v>
      </c>
      <c r="M680" s="20">
        <v>6051000</v>
      </c>
      <c r="N680" s="20">
        <v>804600</v>
      </c>
      <c r="O680" s="20">
        <v>816000</v>
      </c>
      <c r="P680" s="20">
        <v>962000</v>
      </c>
      <c r="Q680" s="20">
        <v>520200</v>
      </c>
      <c r="R680" s="20">
        <v>2294400</v>
      </c>
      <c r="AB680" s="20">
        <v>11448200</v>
      </c>
      <c r="AC680" s="20">
        <v>4357800</v>
      </c>
      <c r="AE680" s="20">
        <v>204000</v>
      </c>
      <c r="AF680" s="20">
        <v>192400</v>
      </c>
      <c r="AG680" s="20">
        <v>763200</v>
      </c>
      <c r="AH680" s="20">
        <v>1245600</v>
      </c>
      <c r="AR680" s="20">
        <v>6763000</v>
      </c>
      <c r="BI680" s="28">
        <v>18211200</v>
      </c>
    </row>
    <row r="681" spans="1:61" hidden="1" x14ac:dyDescent="0.3">
      <c r="A681" s="1" t="s">
        <v>739</v>
      </c>
      <c r="B681" s="1" t="s">
        <v>108</v>
      </c>
      <c r="C681" s="1" t="s">
        <v>1449</v>
      </c>
      <c r="D681" s="1" t="s">
        <v>1450</v>
      </c>
      <c r="E681" s="1" t="s">
        <v>1521</v>
      </c>
      <c r="F681" s="1" t="s">
        <v>561</v>
      </c>
      <c r="G681" s="1" t="s">
        <v>1522</v>
      </c>
      <c r="H681" s="1" t="s">
        <v>1521</v>
      </c>
      <c r="I681" s="1" t="s">
        <v>548</v>
      </c>
      <c r="J681" s="1" t="s">
        <v>229</v>
      </c>
      <c r="K681" s="1" t="s">
        <v>118</v>
      </c>
      <c r="L681" s="1" t="s">
        <v>103</v>
      </c>
      <c r="M681" s="20">
        <v>2996850</v>
      </c>
      <c r="N681" s="20">
        <v>536400</v>
      </c>
      <c r="O681" s="20">
        <v>204000</v>
      </c>
      <c r="P681" s="20">
        <v>192400</v>
      </c>
      <c r="Q681" s="20">
        <v>477000</v>
      </c>
      <c r="R681" s="20">
        <v>1568400</v>
      </c>
      <c r="AB681" s="20">
        <v>5975050</v>
      </c>
      <c r="AC681" s="20">
        <v>2272350</v>
      </c>
      <c r="AG681" s="20">
        <v>286200</v>
      </c>
      <c r="AH681" s="20">
        <v>914400</v>
      </c>
      <c r="AR681" s="20">
        <v>3472950</v>
      </c>
      <c r="BI681" s="28">
        <v>9448000</v>
      </c>
    </row>
    <row r="682" spans="1:61" hidden="1" x14ac:dyDescent="0.3">
      <c r="A682" s="1" t="s">
        <v>739</v>
      </c>
      <c r="B682" s="1" t="s">
        <v>108</v>
      </c>
      <c r="C682" s="1" t="s">
        <v>1449</v>
      </c>
      <c r="D682" s="1" t="s">
        <v>1450</v>
      </c>
      <c r="E682" s="1" t="s">
        <v>1523</v>
      </c>
      <c r="F682" s="1" t="s">
        <v>561</v>
      </c>
      <c r="G682" s="1" t="s">
        <v>1524</v>
      </c>
      <c r="H682" s="1" t="s">
        <v>1523</v>
      </c>
      <c r="I682" s="1" t="s">
        <v>548</v>
      </c>
      <c r="J682" s="1" t="s">
        <v>229</v>
      </c>
      <c r="K682" s="1" t="s">
        <v>118</v>
      </c>
      <c r="L682" s="1" t="s">
        <v>103</v>
      </c>
      <c r="M682" s="20">
        <v>4314900</v>
      </c>
      <c r="N682" s="20">
        <v>985200</v>
      </c>
      <c r="O682" s="20">
        <v>408000</v>
      </c>
      <c r="P682" s="20">
        <v>962000</v>
      </c>
      <c r="Q682" s="20">
        <v>1083600</v>
      </c>
      <c r="R682" s="20">
        <v>2414400</v>
      </c>
      <c r="AB682" s="20">
        <v>10168100</v>
      </c>
      <c r="AC682" s="20">
        <v>4368150</v>
      </c>
      <c r="AD682" s="20">
        <v>268200</v>
      </c>
      <c r="AE682" s="20">
        <v>408000</v>
      </c>
      <c r="AF682" s="20">
        <v>769600</v>
      </c>
      <c r="AG682" s="20">
        <v>1369800</v>
      </c>
      <c r="AH682" s="20">
        <v>1342800</v>
      </c>
      <c r="AR682" s="20">
        <v>8526550</v>
      </c>
      <c r="BI682" s="28">
        <v>18694650</v>
      </c>
    </row>
    <row r="683" spans="1:61" hidden="1" x14ac:dyDescent="0.3">
      <c r="A683" s="1" t="s">
        <v>739</v>
      </c>
      <c r="B683" s="1" t="s">
        <v>108</v>
      </c>
      <c r="C683" s="1" t="s">
        <v>1449</v>
      </c>
      <c r="D683" s="1" t="s">
        <v>1450</v>
      </c>
      <c r="E683" s="1" t="s">
        <v>1525</v>
      </c>
      <c r="F683" s="1" t="s">
        <v>573</v>
      </c>
      <c r="G683" s="1" t="s">
        <v>1526</v>
      </c>
      <c r="H683" s="1" t="s">
        <v>1525</v>
      </c>
      <c r="I683" s="1" t="s">
        <v>548</v>
      </c>
      <c r="J683" s="1" t="s">
        <v>229</v>
      </c>
      <c r="K683" s="1" t="s">
        <v>118</v>
      </c>
      <c r="L683" s="1" t="s">
        <v>103</v>
      </c>
      <c r="M683" s="20">
        <v>4497600</v>
      </c>
      <c r="N683" s="20">
        <v>1609200</v>
      </c>
      <c r="O683" s="20">
        <v>204000</v>
      </c>
      <c r="P683" s="20">
        <v>1346800</v>
      </c>
      <c r="Q683" s="20">
        <v>424800</v>
      </c>
      <c r="R683" s="20">
        <v>1968000</v>
      </c>
      <c r="AB683" s="20">
        <v>10050400</v>
      </c>
      <c r="AC683" s="20">
        <v>4532100</v>
      </c>
      <c r="AD683" s="20">
        <v>804600</v>
      </c>
      <c r="AE683" s="20">
        <v>204000</v>
      </c>
      <c r="AG683" s="20">
        <v>1317600</v>
      </c>
      <c r="AH683" s="20">
        <v>1645200</v>
      </c>
      <c r="AR683" s="20">
        <v>8503500</v>
      </c>
      <c r="BI683" s="28">
        <v>18553900</v>
      </c>
    </row>
    <row r="684" spans="1:61" hidden="1" x14ac:dyDescent="0.3">
      <c r="A684" s="1" t="s">
        <v>739</v>
      </c>
      <c r="B684" s="1" t="s">
        <v>108</v>
      </c>
      <c r="C684" s="1" t="s">
        <v>1449</v>
      </c>
      <c r="D684" s="1" t="s">
        <v>1450</v>
      </c>
      <c r="E684" s="1" t="s">
        <v>1527</v>
      </c>
      <c r="F684" s="1" t="s">
        <v>573</v>
      </c>
      <c r="G684" s="1" t="s">
        <v>1528</v>
      </c>
      <c r="H684" s="1" t="s">
        <v>1527</v>
      </c>
      <c r="I684" s="1" t="s">
        <v>548</v>
      </c>
      <c r="J684" s="1" t="s">
        <v>229</v>
      </c>
      <c r="K684" s="1" t="s">
        <v>118</v>
      </c>
      <c r="L684" s="1" t="s">
        <v>103</v>
      </c>
      <c r="M684" s="20">
        <v>1781850</v>
      </c>
      <c r="P684" s="20">
        <v>192400</v>
      </c>
      <c r="Q684" s="20">
        <v>615600</v>
      </c>
      <c r="R684" s="20">
        <v>951600</v>
      </c>
      <c r="AB684" s="20">
        <v>3541450</v>
      </c>
      <c r="AC684" s="20">
        <v>834000</v>
      </c>
      <c r="AE684" s="20">
        <v>204000</v>
      </c>
      <c r="AG684" s="20">
        <v>711000</v>
      </c>
      <c r="AH684" s="20">
        <v>960000</v>
      </c>
      <c r="AR684" s="20">
        <v>2709000</v>
      </c>
      <c r="BI684" s="28">
        <v>6250450</v>
      </c>
    </row>
    <row r="685" spans="1:61" hidden="1" x14ac:dyDescent="0.3">
      <c r="A685" s="1" t="s">
        <v>739</v>
      </c>
      <c r="B685" s="1" t="s">
        <v>108</v>
      </c>
      <c r="C685" s="1" t="s">
        <v>1449</v>
      </c>
      <c r="D685" s="1" t="s">
        <v>1450</v>
      </c>
      <c r="E685" s="1" t="s">
        <v>1529</v>
      </c>
      <c r="F685" s="1" t="s">
        <v>573</v>
      </c>
      <c r="G685" s="1" t="s">
        <v>1530</v>
      </c>
      <c r="H685" s="1" t="s">
        <v>1529</v>
      </c>
      <c r="I685" s="1" t="s">
        <v>548</v>
      </c>
      <c r="J685" s="1" t="s">
        <v>229</v>
      </c>
      <c r="K685" s="1" t="s">
        <v>118</v>
      </c>
      <c r="L685" s="1" t="s">
        <v>103</v>
      </c>
      <c r="M685" s="20">
        <v>3686700</v>
      </c>
      <c r="N685" s="20">
        <v>1072800</v>
      </c>
      <c r="O685" s="20">
        <v>408000</v>
      </c>
      <c r="P685" s="20">
        <v>384800</v>
      </c>
      <c r="Q685" s="20">
        <v>945000</v>
      </c>
      <c r="R685" s="20">
        <v>1171200</v>
      </c>
      <c r="AB685" s="20">
        <v>7668500</v>
      </c>
      <c r="AC685" s="20">
        <v>3329850</v>
      </c>
      <c r="AD685" s="20">
        <v>268200</v>
      </c>
      <c r="AE685" s="20">
        <v>816000</v>
      </c>
      <c r="AF685" s="20">
        <v>192400</v>
      </c>
      <c r="AG685" s="20">
        <v>1040400</v>
      </c>
      <c r="AH685" s="20">
        <v>1228800</v>
      </c>
      <c r="AR685" s="20">
        <v>6875650</v>
      </c>
      <c r="BI685" s="28">
        <v>14544150</v>
      </c>
    </row>
    <row r="686" spans="1:61" hidden="1" x14ac:dyDescent="0.3">
      <c r="A686" s="1" t="s">
        <v>739</v>
      </c>
      <c r="B686" s="1" t="s">
        <v>108</v>
      </c>
      <c r="C686" s="1" t="s">
        <v>1449</v>
      </c>
      <c r="D686" s="1" t="s">
        <v>1450</v>
      </c>
      <c r="E686" s="1" t="s">
        <v>1531</v>
      </c>
      <c r="F686" s="1" t="s">
        <v>573</v>
      </c>
      <c r="G686" s="1" t="s">
        <v>1532</v>
      </c>
      <c r="H686" s="1" t="s">
        <v>1531</v>
      </c>
      <c r="I686" s="1" t="s">
        <v>548</v>
      </c>
      <c r="J686" s="1" t="s">
        <v>229</v>
      </c>
      <c r="K686" s="1" t="s">
        <v>118</v>
      </c>
      <c r="L686" s="1" t="s">
        <v>103</v>
      </c>
      <c r="AC686" s="20">
        <v>7919850</v>
      </c>
      <c r="AD686" s="20">
        <v>1072800</v>
      </c>
      <c r="AE686" s="20">
        <v>1224000</v>
      </c>
      <c r="AF686" s="20">
        <v>384800</v>
      </c>
      <c r="AG686" s="20">
        <v>754200</v>
      </c>
      <c r="AH686" s="20">
        <v>1665600</v>
      </c>
      <c r="AR686" s="20">
        <v>13021250</v>
      </c>
      <c r="BI686" s="28">
        <v>13021250</v>
      </c>
    </row>
    <row r="687" spans="1:61" hidden="1" x14ac:dyDescent="0.3">
      <c r="A687" s="1" t="s">
        <v>739</v>
      </c>
      <c r="B687" s="1" t="s">
        <v>108</v>
      </c>
      <c r="C687" s="1" t="s">
        <v>1533</v>
      </c>
      <c r="D687" s="1" t="s">
        <v>1534</v>
      </c>
      <c r="E687" s="1" t="s">
        <v>1535</v>
      </c>
      <c r="F687" s="1" t="s">
        <v>573</v>
      </c>
      <c r="G687" s="1" t="s">
        <v>1536</v>
      </c>
      <c r="H687" s="1" t="s">
        <v>1535</v>
      </c>
      <c r="I687" s="1" t="s">
        <v>548</v>
      </c>
      <c r="J687" s="1" t="s">
        <v>229</v>
      </c>
      <c r="K687" s="1" t="s">
        <v>118</v>
      </c>
      <c r="L687" s="1" t="s">
        <v>103</v>
      </c>
      <c r="M687" s="20">
        <v>4529700</v>
      </c>
      <c r="N687" s="20">
        <v>1072800</v>
      </c>
      <c r="O687" s="20">
        <v>204000</v>
      </c>
      <c r="P687" s="20">
        <v>962000</v>
      </c>
      <c r="Q687" s="20">
        <v>1569600</v>
      </c>
      <c r="R687" s="20">
        <v>2236800</v>
      </c>
      <c r="AB687" s="20">
        <v>10574900</v>
      </c>
      <c r="AC687" s="20">
        <v>5806950</v>
      </c>
      <c r="AD687" s="20">
        <v>1341000</v>
      </c>
      <c r="AE687" s="20">
        <v>408000</v>
      </c>
      <c r="AF687" s="20">
        <v>384800</v>
      </c>
      <c r="AG687" s="20">
        <v>2071800</v>
      </c>
      <c r="AH687" s="20">
        <v>2065200</v>
      </c>
      <c r="AR687" s="20">
        <v>12077750</v>
      </c>
      <c r="AS687" s="20">
        <v>5609100</v>
      </c>
      <c r="AT687" s="20">
        <v>1341000</v>
      </c>
      <c r="AU687" s="20">
        <v>204000</v>
      </c>
      <c r="AV687" s="20">
        <v>1831200</v>
      </c>
      <c r="AW687" s="20">
        <v>1612800</v>
      </c>
      <c r="AX687" s="20">
        <v>1749600</v>
      </c>
      <c r="BH687" s="28">
        <v>12347700</v>
      </c>
      <c r="BI687" s="28">
        <v>35000350</v>
      </c>
    </row>
    <row r="688" spans="1:61" hidden="1" x14ac:dyDescent="0.3">
      <c r="A688" s="1" t="s">
        <v>739</v>
      </c>
      <c r="B688" s="1" t="s">
        <v>108</v>
      </c>
      <c r="C688" s="1" t="s">
        <v>1533</v>
      </c>
      <c r="D688" s="1" t="s">
        <v>1534</v>
      </c>
      <c r="E688" s="1" t="s">
        <v>1537</v>
      </c>
      <c r="F688" s="1" t="s">
        <v>573</v>
      </c>
      <c r="G688" s="1" t="s">
        <v>1538</v>
      </c>
      <c r="H688" s="1" t="s">
        <v>1537</v>
      </c>
      <c r="I688" s="1" t="s">
        <v>548</v>
      </c>
      <c r="J688" s="1" t="s">
        <v>229</v>
      </c>
      <c r="K688" s="1" t="s">
        <v>118</v>
      </c>
      <c r="L688" s="1" t="s">
        <v>103</v>
      </c>
      <c r="M688" s="20">
        <v>4219200</v>
      </c>
      <c r="N688" s="20">
        <v>268200</v>
      </c>
      <c r="O688" s="20">
        <v>408000</v>
      </c>
      <c r="P688" s="20">
        <v>577200</v>
      </c>
      <c r="Q688" s="20">
        <v>1231200</v>
      </c>
      <c r="R688" s="20">
        <v>2625600</v>
      </c>
      <c r="AB688" s="20">
        <v>9329400</v>
      </c>
      <c r="AC688" s="20">
        <v>5867550</v>
      </c>
      <c r="AD688" s="20">
        <v>268200</v>
      </c>
      <c r="AE688" s="20">
        <v>816000</v>
      </c>
      <c r="AF688" s="20">
        <v>577200</v>
      </c>
      <c r="AG688" s="20">
        <v>1179000</v>
      </c>
      <c r="AH688" s="20">
        <v>2350800</v>
      </c>
      <c r="AR688" s="20">
        <v>11058750</v>
      </c>
      <c r="AS688" s="20">
        <v>6608400</v>
      </c>
      <c r="AT688" s="20">
        <v>536400</v>
      </c>
      <c r="AU688" s="20">
        <v>408000</v>
      </c>
      <c r="AV688" s="20">
        <v>2339200</v>
      </c>
      <c r="AW688" s="20">
        <v>1092600</v>
      </c>
      <c r="AX688" s="20">
        <v>1536000</v>
      </c>
      <c r="BH688" s="28">
        <v>12520600</v>
      </c>
      <c r="BI688" s="28">
        <v>32908750</v>
      </c>
    </row>
    <row r="689" spans="1:61" hidden="1" x14ac:dyDescent="0.3">
      <c r="A689" s="1" t="s">
        <v>739</v>
      </c>
      <c r="B689" s="1" t="s">
        <v>108</v>
      </c>
      <c r="C689" s="1" t="s">
        <v>1533</v>
      </c>
      <c r="D689" s="1" t="s">
        <v>1534</v>
      </c>
      <c r="E689" s="1" t="s">
        <v>1539</v>
      </c>
      <c r="F689" s="1" t="s">
        <v>573</v>
      </c>
      <c r="G689" s="1" t="s">
        <v>1540</v>
      </c>
      <c r="H689" s="1" t="s">
        <v>1539</v>
      </c>
      <c r="I689" s="1" t="s">
        <v>548</v>
      </c>
      <c r="J689" s="1" t="s">
        <v>229</v>
      </c>
      <c r="K689" s="1" t="s">
        <v>118</v>
      </c>
      <c r="L689" s="1" t="s">
        <v>103</v>
      </c>
      <c r="M689" s="20">
        <v>4020450</v>
      </c>
      <c r="N689" s="20">
        <v>1072800</v>
      </c>
      <c r="O689" s="20">
        <v>408000</v>
      </c>
      <c r="P689" s="20">
        <v>192400</v>
      </c>
      <c r="Q689" s="20">
        <v>1092600</v>
      </c>
      <c r="R689" s="20">
        <v>1837200</v>
      </c>
      <c r="AB689" s="20">
        <v>8623450</v>
      </c>
      <c r="AC689" s="20">
        <v>4776750</v>
      </c>
      <c r="AD689" s="20">
        <v>717000</v>
      </c>
      <c r="AE689" s="20">
        <v>612000</v>
      </c>
      <c r="AF689" s="20">
        <v>192400</v>
      </c>
      <c r="AG689" s="20">
        <v>1274400</v>
      </c>
      <c r="AH689" s="20">
        <v>2054400</v>
      </c>
      <c r="AR689" s="20">
        <v>9626950</v>
      </c>
      <c r="AS689" s="20">
        <v>6593100</v>
      </c>
      <c r="AT689" s="20">
        <v>804600</v>
      </c>
      <c r="AV689" s="20">
        <v>2092800</v>
      </c>
      <c r="AW689" s="20">
        <v>945000</v>
      </c>
      <c r="AX689" s="20">
        <v>1929600</v>
      </c>
      <c r="BH689" s="28">
        <v>12365100</v>
      </c>
      <c r="BI689" s="28">
        <v>30615500</v>
      </c>
    </row>
    <row r="690" spans="1:61" hidden="1" x14ac:dyDescent="0.3">
      <c r="A690" s="1" t="s">
        <v>739</v>
      </c>
      <c r="B690" s="1" t="s">
        <v>108</v>
      </c>
      <c r="C690" s="1" t="s">
        <v>1533</v>
      </c>
      <c r="D690" s="1" t="s">
        <v>1534</v>
      </c>
      <c r="E690" s="1" t="s">
        <v>1541</v>
      </c>
      <c r="F690" s="1" t="s">
        <v>573</v>
      </c>
      <c r="G690" s="1" t="s">
        <v>1542</v>
      </c>
      <c r="H690" s="1" t="s">
        <v>1541</v>
      </c>
      <c r="I690" s="1" t="s">
        <v>548</v>
      </c>
      <c r="J690" s="1" t="s">
        <v>229</v>
      </c>
      <c r="K690" s="1" t="s">
        <v>118</v>
      </c>
      <c r="L690" s="1" t="s">
        <v>103</v>
      </c>
      <c r="M690" s="20">
        <v>2635500</v>
      </c>
      <c r="N690" s="20">
        <v>536400</v>
      </c>
      <c r="O690" s="20">
        <v>408000</v>
      </c>
      <c r="Q690" s="20">
        <v>667800</v>
      </c>
      <c r="R690" s="20">
        <v>1131600</v>
      </c>
      <c r="AB690" s="20">
        <v>5379300</v>
      </c>
      <c r="AC690" s="20">
        <v>1944900</v>
      </c>
      <c r="AD690" s="20">
        <v>268200</v>
      </c>
      <c r="AE690" s="20">
        <v>408000</v>
      </c>
      <c r="AG690" s="20">
        <v>190800</v>
      </c>
      <c r="AH690" s="20">
        <v>608400</v>
      </c>
      <c r="AR690" s="20">
        <v>3420300</v>
      </c>
      <c r="AS690" s="20">
        <v>3005400</v>
      </c>
      <c r="AT690" s="20">
        <v>536400</v>
      </c>
      <c r="AV690" s="20">
        <v>1046400</v>
      </c>
      <c r="AW690" s="20">
        <v>667800</v>
      </c>
      <c r="AX690" s="20">
        <v>927600</v>
      </c>
      <c r="BH690" s="28">
        <v>6183600</v>
      </c>
      <c r="BI690" s="28">
        <v>14983200</v>
      </c>
    </row>
    <row r="691" spans="1:61" hidden="1" x14ac:dyDescent="0.3">
      <c r="A691" s="1" t="s">
        <v>739</v>
      </c>
      <c r="B691" s="1" t="s">
        <v>108</v>
      </c>
      <c r="C691" s="1" t="s">
        <v>1533</v>
      </c>
      <c r="D691" s="1" t="s">
        <v>1534</v>
      </c>
      <c r="E691" s="1" t="s">
        <v>1543</v>
      </c>
      <c r="F691" s="1" t="s">
        <v>573</v>
      </c>
      <c r="G691" s="1" t="s">
        <v>1544</v>
      </c>
      <c r="H691" s="1" t="s">
        <v>1543</v>
      </c>
      <c r="I691" s="1" t="s">
        <v>548</v>
      </c>
      <c r="J691" s="1" t="s">
        <v>229</v>
      </c>
      <c r="K691" s="1" t="s">
        <v>118</v>
      </c>
      <c r="L691" s="1" t="s">
        <v>103</v>
      </c>
      <c r="M691" s="20">
        <v>6303450</v>
      </c>
      <c r="N691" s="20">
        <v>1072800</v>
      </c>
      <c r="O691" s="20">
        <v>612000</v>
      </c>
      <c r="P691" s="20">
        <v>384800</v>
      </c>
      <c r="Q691" s="20">
        <v>1378800</v>
      </c>
      <c r="R691" s="20">
        <v>2654400</v>
      </c>
      <c r="AB691" s="20">
        <v>12406250</v>
      </c>
      <c r="AC691" s="20">
        <v>6654450</v>
      </c>
      <c r="AE691" s="20">
        <v>612000</v>
      </c>
      <c r="AF691" s="20">
        <v>192400</v>
      </c>
      <c r="AG691" s="20">
        <v>2462400</v>
      </c>
      <c r="AH691" s="20">
        <v>1665600</v>
      </c>
      <c r="AR691" s="20">
        <v>11586850</v>
      </c>
      <c r="AS691" s="20">
        <v>6521850</v>
      </c>
      <c r="AT691" s="20">
        <v>1521600</v>
      </c>
      <c r="AU691" s="20">
        <v>408000</v>
      </c>
      <c r="AV691" s="20">
        <v>715600</v>
      </c>
      <c r="AW691" s="20">
        <v>1040400</v>
      </c>
      <c r="AX691" s="20">
        <v>2450400</v>
      </c>
      <c r="BH691" s="28">
        <v>12657850</v>
      </c>
      <c r="BI691" s="28">
        <v>36650950</v>
      </c>
    </row>
    <row r="692" spans="1:61" hidden="1" x14ac:dyDescent="0.3">
      <c r="A692" s="1" t="s">
        <v>739</v>
      </c>
      <c r="B692" s="1" t="s">
        <v>108</v>
      </c>
      <c r="C692" s="1" t="s">
        <v>1533</v>
      </c>
      <c r="D692" s="1" t="s">
        <v>1534</v>
      </c>
      <c r="E692" s="1" t="s">
        <v>1545</v>
      </c>
      <c r="F692" s="1" t="s">
        <v>573</v>
      </c>
      <c r="G692" s="1" t="s">
        <v>1546</v>
      </c>
      <c r="H692" s="1" t="s">
        <v>1545</v>
      </c>
      <c r="I692" s="1" t="s">
        <v>548</v>
      </c>
      <c r="J692" s="1" t="s">
        <v>229</v>
      </c>
      <c r="K692" s="1" t="s">
        <v>118</v>
      </c>
      <c r="L692" s="1" t="s">
        <v>103</v>
      </c>
      <c r="M692" s="20">
        <v>3059250</v>
      </c>
      <c r="N692" s="20">
        <v>536400</v>
      </c>
      <c r="O692" s="20">
        <v>204000</v>
      </c>
      <c r="P692" s="20">
        <v>384800</v>
      </c>
      <c r="Q692" s="20">
        <v>806400</v>
      </c>
      <c r="R692" s="20">
        <v>1951200</v>
      </c>
      <c r="AB692" s="20">
        <v>6942050</v>
      </c>
      <c r="AC692" s="20">
        <v>5353350</v>
      </c>
      <c r="AD692" s="20">
        <v>268200</v>
      </c>
      <c r="AE692" s="20">
        <v>612000</v>
      </c>
      <c r="AF692" s="20">
        <v>192400</v>
      </c>
      <c r="AG692" s="20">
        <v>1092600</v>
      </c>
      <c r="AH692" s="20">
        <v>1845600</v>
      </c>
      <c r="AR692" s="20">
        <v>9364150</v>
      </c>
      <c r="AS692" s="20">
        <v>4825500</v>
      </c>
      <c r="AT692" s="20">
        <v>804600</v>
      </c>
      <c r="AV692" s="20">
        <v>977200</v>
      </c>
      <c r="AW692" s="20">
        <v>1092600</v>
      </c>
      <c r="AX692" s="20">
        <v>2132400</v>
      </c>
      <c r="BH692" s="28">
        <v>9832300</v>
      </c>
      <c r="BI692" s="28">
        <v>26138500</v>
      </c>
    </row>
    <row r="693" spans="1:61" hidden="1" x14ac:dyDescent="0.3">
      <c r="A693" s="1" t="s">
        <v>739</v>
      </c>
      <c r="B693" s="1" t="s">
        <v>108</v>
      </c>
      <c r="C693" s="1" t="s">
        <v>1533</v>
      </c>
      <c r="D693" s="1" t="s">
        <v>1534</v>
      </c>
      <c r="E693" s="1" t="s">
        <v>1547</v>
      </c>
      <c r="F693" s="1" t="s">
        <v>573</v>
      </c>
      <c r="G693" s="1" t="s">
        <v>1548</v>
      </c>
      <c r="H693" s="1" t="s">
        <v>1547</v>
      </c>
      <c r="I693" s="1" t="s">
        <v>548</v>
      </c>
      <c r="J693" s="1" t="s">
        <v>229</v>
      </c>
      <c r="K693" s="1" t="s">
        <v>118</v>
      </c>
      <c r="L693" s="1" t="s">
        <v>103</v>
      </c>
      <c r="M693" s="20">
        <v>3664500</v>
      </c>
      <c r="N693" s="20">
        <v>536400</v>
      </c>
      <c r="O693" s="20">
        <v>204000</v>
      </c>
      <c r="Q693" s="20">
        <v>797400</v>
      </c>
      <c r="R693" s="20">
        <v>714000</v>
      </c>
      <c r="AB693" s="20">
        <v>5916300</v>
      </c>
      <c r="AC693" s="20">
        <v>2844150</v>
      </c>
      <c r="AE693" s="20">
        <v>408000</v>
      </c>
      <c r="AG693" s="20">
        <v>477000</v>
      </c>
      <c r="AH693" s="20">
        <v>1074000</v>
      </c>
      <c r="AR693" s="20">
        <v>4803150</v>
      </c>
      <c r="AS693" s="20">
        <v>2946900</v>
      </c>
      <c r="AT693" s="20">
        <v>536400</v>
      </c>
      <c r="AU693" s="20">
        <v>204000</v>
      </c>
      <c r="AV693" s="20">
        <v>261600</v>
      </c>
      <c r="AW693" s="20">
        <v>711000</v>
      </c>
      <c r="AX693" s="20">
        <v>1182000</v>
      </c>
      <c r="BH693" s="28">
        <v>5841900</v>
      </c>
      <c r="BI693" s="28">
        <v>16561350</v>
      </c>
    </row>
    <row r="694" spans="1:61" hidden="1" x14ac:dyDescent="0.3">
      <c r="A694" s="1" t="s">
        <v>739</v>
      </c>
      <c r="B694" s="1" t="s">
        <v>108</v>
      </c>
      <c r="C694" s="1" t="s">
        <v>1533</v>
      </c>
      <c r="D694" s="1" t="s">
        <v>1534</v>
      </c>
      <c r="E694" s="1" t="s">
        <v>1549</v>
      </c>
      <c r="F694" s="1" t="s">
        <v>573</v>
      </c>
      <c r="G694" s="1" t="s">
        <v>1550</v>
      </c>
      <c r="H694" s="1" t="s">
        <v>1549</v>
      </c>
      <c r="I694" s="1" t="s">
        <v>548</v>
      </c>
      <c r="J694" s="1" t="s">
        <v>229</v>
      </c>
      <c r="K694" s="1" t="s">
        <v>118</v>
      </c>
      <c r="L694" s="1" t="s">
        <v>103</v>
      </c>
      <c r="M694" s="20">
        <v>2435100</v>
      </c>
      <c r="N694" s="20">
        <v>1072800</v>
      </c>
      <c r="O694" s="20">
        <v>204000</v>
      </c>
      <c r="P694" s="20">
        <v>192400</v>
      </c>
      <c r="Q694" s="20">
        <v>477000</v>
      </c>
      <c r="R694" s="20">
        <v>885600</v>
      </c>
      <c r="AB694" s="20">
        <v>5266900</v>
      </c>
      <c r="AC694" s="20">
        <v>2968800</v>
      </c>
      <c r="AE694" s="20">
        <v>408000</v>
      </c>
      <c r="AF694" s="20">
        <v>192400</v>
      </c>
      <c r="AG694" s="20">
        <v>667800</v>
      </c>
      <c r="AH694" s="20">
        <v>914400</v>
      </c>
      <c r="AR694" s="20">
        <v>5151400</v>
      </c>
      <c r="AS694" s="20">
        <v>3909600</v>
      </c>
      <c r="AT694" s="20">
        <v>1072800</v>
      </c>
      <c r="AU694" s="20">
        <v>204000</v>
      </c>
      <c r="AV694" s="20">
        <v>1046400</v>
      </c>
      <c r="AW694" s="20">
        <v>858600</v>
      </c>
      <c r="AX694" s="20">
        <v>1374000</v>
      </c>
      <c r="BH694" s="28">
        <v>8465400</v>
      </c>
      <c r="BI694" s="28">
        <v>18883700</v>
      </c>
    </row>
    <row r="695" spans="1:61" hidden="1" x14ac:dyDescent="0.3">
      <c r="A695" s="1" t="s">
        <v>739</v>
      </c>
      <c r="B695" s="1" t="s">
        <v>108</v>
      </c>
      <c r="C695" s="1" t="s">
        <v>1551</v>
      </c>
      <c r="D695" s="1" t="s">
        <v>1552</v>
      </c>
      <c r="E695" s="1" t="s">
        <v>1553</v>
      </c>
      <c r="F695" s="1" t="s">
        <v>573</v>
      </c>
      <c r="G695" s="1" t="s">
        <v>1554</v>
      </c>
      <c r="H695" s="1" t="s">
        <v>1553</v>
      </c>
      <c r="I695" s="1" t="s">
        <v>548</v>
      </c>
      <c r="J695" s="1" t="s">
        <v>229</v>
      </c>
      <c r="K695" s="1" t="s">
        <v>118</v>
      </c>
      <c r="L695" s="1" t="s">
        <v>103</v>
      </c>
      <c r="M695" s="20">
        <v>3712650</v>
      </c>
      <c r="N695" s="20">
        <v>1521600</v>
      </c>
      <c r="O695" s="20">
        <v>408000</v>
      </c>
      <c r="P695" s="20">
        <v>577200</v>
      </c>
      <c r="Q695" s="20">
        <v>1092600</v>
      </c>
      <c r="R695" s="20">
        <v>1522800</v>
      </c>
      <c r="AB695" s="20">
        <v>8834850</v>
      </c>
      <c r="AC695" s="20">
        <v>3092100</v>
      </c>
      <c r="AD695" s="20">
        <v>536400</v>
      </c>
      <c r="AE695" s="20">
        <v>408000</v>
      </c>
      <c r="AF695" s="20">
        <v>192400</v>
      </c>
      <c r="AG695" s="20">
        <v>1274400</v>
      </c>
      <c r="AH695" s="20">
        <v>1494000</v>
      </c>
      <c r="AR695" s="20">
        <v>6997300</v>
      </c>
      <c r="AS695" s="20">
        <v>6425400</v>
      </c>
      <c r="AT695" s="20">
        <v>1877400</v>
      </c>
      <c r="AU695" s="20">
        <v>612000</v>
      </c>
      <c r="AV695" s="20">
        <v>1046400</v>
      </c>
      <c r="AW695" s="20">
        <v>1699200</v>
      </c>
      <c r="AX695" s="20">
        <v>2286000</v>
      </c>
      <c r="BH695" s="28">
        <v>13946400</v>
      </c>
      <c r="BI695" s="28">
        <v>29778550</v>
      </c>
    </row>
    <row r="696" spans="1:61" hidden="1" x14ac:dyDescent="0.3">
      <c r="A696" s="1" t="s">
        <v>739</v>
      </c>
      <c r="B696" s="1" t="s">
        <v>108</v>
      </c>
      <c r="C696" s="1" t="s">
        <v>1551</v>
      </c>
      <c r="D696" s="1" t="s">
        <v>1552</v>
      </c>
      <c r="E696" s="1" t="s">
        <v>1555</v>
      </c>
      <c r="F696" s="1" t="s">
        <v>573</v>
      </c>
      <c r="G696" s="1" t="s">
        <v>1556</v>
      </c>
      <c r="H696" s="1" t="s">
        <v>1555</v>
      </c>
      <c r="I696" s="1" t="s">
        <v>548</v>
      </c>
      <c r="J696" s="1" t="s">
        <v>229</v>
      </c>
      <c r="K696" s="1" t="s">
        <v>118</v>
      </c>
      <c r="L696" s="1" t="s">
        <v>103</v>
      </c>
      <c r="M696" s="20">
        <v>3356700</v>
      </c>
      <c r="N696" s="20">
        <v>536400</v>
      </c>
      <c r="O696" s="20">
        <v>204000</v>
      </c>
      <c r="P696" s="20">
        <v>384800</v>
      </c>
      <c r="Q696" s="20">
        <v>945000</v>
      </c>
      <c r="R696" s="20">
        <v>2722800</v>
      </c>
      <c r="AB696" s="20">
        <v>8149700</v>
      </c>
      <c r="AC696" s="20">
        <v>2610150</v>
      </c>
      <c r="AD696" s="20">
        <v>804600</v>
      </c>
      <c r="AE696" s="20">
        <v>408000</v>
      </c>
      <c r="AF696" s="20">
        <v>384800</v>
      </c>
      <c r="AG696" s="20">
        <v>988200</v>
      </c>
      <c r="AH696" s="20">
        <v>922800</v>
      </c>
      <c r="AR696" s="20">
        <v>6118550</v>
      </c>
      <c r="AS696" s="20">
        <v>3975600</v>
      </c>
      <c r="AT696" s="20">
        <v>1072800</v>
      </c>
      <c r="AU696" s="20">
        <v>612000</v>
      </c>
      <c r="AV696" s="20">
        <v>523200</v>
      </c>
      <c r="AW696" s="20">
        <v>1083600</v>
      </c>
      <c r="AX696" s="20">
        <v>1382400</v>
      </c>
      <c r="BH696" s="28">
        <v>8649600</v>
      </c>
      <c r="BI696" s="28">
        <v>22917850</v>
      </c>
    </row>
    <row r="697" spans="1:61" hidden="1" x14ac:dyDescent="0.3">
      <c r="A697" s="1" t="s">
        <v>739</v>
      </c>
      <c r="B697" s="1" t="s">
        <v>108</v>
      </c>
      <c r="C697" s="1" t="s">
        <v>1551</v>
      </c>
      <c r="D697" s="1" t="s">
        <v>1552</v>
      </c>
      <c r="E697" s="1" t="s">
        <v>1557</v>
      </c>
      <c r="F697" s="1" t="s">
        <v>573</v>
      </c>
      <c r="G697" s="1" t="s">
        <v>1558</v>
      </c>
      <c r="H697" s="1" t="s">
        <v>1557</v>
      </c>
      <c r="I697" s="1" t="s">
        <v>548</v>
      </c>
      <c r="J697" s="1" t="s">
        <v>229</v>
      </c>
      <c r="K697" s="1" t="s">
        <v>118</v>
      </c>
      <c r="L697" s="1" t="s">
        <v>103</v>
      </c>
      <c r="M697" s="20">
        <v>4561800</v>
      </c>
      <c r="N697" s="20">
        <v>717000</v>
      </c>
      <c r="O697" s="20">
        <v>408000</v>
      </c>
      <c r="P697" s="20">
        <v>1154400</v>
      </c>
      <c r="Q697" s="20">
        <v>1049400</v>
      </c>
      <c r="R697" s="20">
        <v>1200000</v>
      </c>
      <c r="AB697" s="20">
        <v>9090600</v>
      </c>
      <c r="AC697" s="20">
        <v>3601650</v>
      </c>
      <c r="AD697" s="20">
        <v>804600</v>
      </c>
      <c r="AE697" s="20">
        <v>612000</v>
      </c>
      <c r="AF697" s="20">
        <v>577200</v>
      </c>
      <c r="AG697" s="20">
        <v>1135800</v>
      </c>
      <c r="AH697" s="20">
        <v>1028400</v>
      </c>
      <c r="AR697" s="20">
        <v>7759650</v>
      </c>
      <c r="AS697" s="20">
        <v>4959000</v>
      </c>
      <c r="AT697" s="20">
        <v>1341000</v>
      </c>
      <c r="AU697" s="20">
        <v>408000</v>
      </c>
      <c r="AV697" s="20">
        <v>1816000</v>
      </c>
      <c r="AW697" s="20">
        <v>858600</v>
      </c>
      <c r="AX697" s="20">
        <v>1776000</v>
      </c>
      <c r="BH697" s="28">
        <v>11158600</v>
      </c>
      <c r="BI697" s="28">
        <v>28008850</v>
      </c>
    </row>
    <row r="698" spans="1:61" hidden="1" x14ac:dyDescent="0.3">
      <c r="A698" s="1" t="s">
        <v>739</v>
      </c>
      <c r="B698" s="1" t="s">
        <v>108</v>
      </c>
      <c r="C698" s="1" t="s">
        <v>1551</v>
      </c>
      <c r="D698" s="1" t="s">
        <v>1552</v>
      </c>
      <c r="E698" s="1" t="s">
        <v>1559</v>
      </c>
      <c r="F698" s="1" t="s">
        <v>573</v>
      </c>
      <c r="G698" s="1" t="s">
        <v>1560</v>
      </c>
      <c r="H698" s="1" t="s">
        <v>1559</v>
      </c>
      <c r="I698" s="1" t="s">
        <v>548</v>
      </c>
      <c r="J698" s="1" t="s">
        <v>229</v>
      </c>
      <c r="K698" s="1" t="s">
        <v>118</v>
      </c>
      <c r="L698" s="1" t="s">
        <v>103</v>
      </c>
      <c r="M698" s="20">
        <v>6759750</v>
      </c>
      <c r="N698" s="20">
        <v>717000</v>
      </c>
      <c r="O698" s="20">
        <v>612000</v>
      </c>
      <c r="P698" s="20">
        <v>1346800</v>
      </c>
      <c r="Q698" s="20">
        <v>2037600</v>
      </c>
      <c r="R698" s="20">
        <v>2085600</v>
      </c>
      <c r="AB698" s="20">
        <v>13558750</v>
      </c>
      <c r="AC698" s="20">
        <v>2699400</v>
      </c>
      <c r="AD698" s="20">
        <v>1253400</v>
      </c>
      <c r="AE698" s="20">
        <v>408000</v>
      </c>
      <c r="AF698" s="20">
        <v>1154400</v>
      </c>
      <c r="AG698" s="20">
        <v>1326600</v>
      </c>
      <c r="AH698" s="20">
        <v>2542800</v>
      </c>
      <c r="AR698" s="20">
        <v>9384600</v>
      </c>
      <c r="AS698" s="20">
        <v>4942800</v>
      </c>
      <c r="AT698" s="20">
        <v>1609200</v>
      </c>
      <c r="AU698" s="20">
        <v>408000</v>
      </c>
      <c r="AV698" s="20">
        <v>908000</v>
      </c>
      <c r="AW698" s="20">
        <v>1422000</v>
      </c>
      <c r="AX698" s="20">
        <v>1749600</v>
      </c>
      <c r="BH698" s="28">
        <v>11039600</v>
      </c>
      <c r="BI698" s="28">
        <v>33982950</v>
      </c>
    </row>
    <row r="699" spans="1:61" hidden="1" x14ac:dyDescent="0.3">
      <c r="A699" s="1" t="s">
        <v>739</v>
      </c>
      <c r="B699" s="1" t="s">
        <v>108</v>
      </c>
      <c r="C699" s="1" t="s">
        <v>1551</v>
      </c>
      <c r="D699" s="1" t="s">
        <v>1552</v>
      </c>
      <c r="E699" s="1" t="s">
        <v>1561</v>
      </c>
      <c r="F699" s="1" t="s">
        <v>561</v>
      </c>
      <c r="G699" s="1" t="s">
        <v>1562</v>
      </c>
      <c r="H699" s="1" t="s">
        <v>1561</v>
      </c>
      <c r="I699" s="1" t="s">
        <v>548</v>
      </c>
      <c r="J699" s="1" t="s">
        <v>229</v>
      </c>
      <c r="K699" s="1" t="s">
        <v>118</v>
      </c>
      <c r="L699" s="1" t="s">
        <v>103</v>
      </c>
      <c r="M699" s="20">
        <v>3084150</v>
      </c>
      <c r="N699" s="20">
        <v>717000</v>
      </c>
      <c r="O699" s="20">
        <v>408000</v>
      </c>
      <c r="P699" s="20">
        <v>384800</v>
      </c>
      <c r="Q699" s="20">
        <v>954000</v>
      </c>
      <c r="R699" s="20">
        <v>571200</v>
      </c>
      <c r="AB699" s="20">
        <v>6119150</v>
      </c>
      <c r="AC699" s="20">
        <v>3451200</v>
      </c>
      <c r="AD699" s="20">
        <v>536400</v>
      </c>
      <c r="AE699" s="20">
        <v>408000</v>
      </c>
      <c r="AG699" s="20">
        <v>477000</v>
      </c>
      <c r="AH699" s="20">
        <v>714000</v>
      </c>
      <c r="AR699" s="20">
        <v>5586600</v>
      </c>
      <c r="AS699" s="20">
        <v>3844200</v>
      </c>
      <c r="AT699" s="20">
        <v>268200</v>
      </c>
      <c r="AW699" s="20">
        <v>858600</v>
      </c>
      <c r="AX699" s="20">
        <v>718800</v>
      </c>
      <c r="BH699" s="28">
        <v>5689800</v>
      </c>
      <c r="BI699" s="28">
        <v>17395550</v>
      </c>
    </row>
    <row r="700" spans="1:61" hidden="1" x14ac:dyDescent="0.3">
      <c r="A700" s="1" t="s">
        <v>739</v>
      </c>
      <c r="B700" s="1" t="s">
        <v>108</v>
      </c>
      <c r="C700" s="1" t="s">
        <v>1551</v>
      </c>
      <c r="D700" s="1" t="s">
        <v>1552</v>
      </c>
      <c r="E700" s="1" t="s">
        <v>1563</v>
      </c>
      <c r="F700" s="1" t="s">
        <v>573</v>
      </c>
      <c r="G700" s="1" t="s">
        <v>1564</v>
      </c>
      <c r="H700" s="1" t="s">
        <v>1563</v>
      </c>
      <c r="I700" s="1" t="s">
        <v>548</v>
      </c>
      <c r="J700" s="1" t="s">
        <v>229</v>
      </c>
      <c r="K700" s="1" t="s">
        <v>118</v>
      </c>
      <c r="L700" s="1" t="s">
        <v>103</v>
      </c>
      <c r="M700" s="20">
        <v>1031550</v>
      </c>
      <c r="O700" s="20">
        <v>204000</v>
      </c>
      <c r="Q700" s="20">
        <v>1040400</v>
      </c>
      <c r="R700" s="20">
        <v>285600</v>
      </c>
      <c r="AB700" s="20">
        <v>2561550</v>
      </c>
      <c r="AC700" s="20">
        <v>2539650</v>
      </c>
      <c r="AE700" s="20">
        <v>612000</v>
      </c>
      <c r="AG700" s="20">
        <v>1040400</v>
      </c>
      <c r="AH700" s="20">
        <v>894000</v>
      </c>
      <c r="AR700" s="20">
        <v>5086050</v>
      </c>
      <c r="AS700" s="20">
        <v>3993600</v>
      </c>
      <c r="AU700" s="20">
        <v>408000</v>
      </c>
      <c r="AV700" s="20">
        <v>1308000</v>
      </c>
      <c r="AW700" s="20">
        <v>520200</v>
      </c>
      <c r="AX700" s="20">
        <v>793200</v>
      </c>
      <c r="BH700" s="28">
        <v>7023000</v>
      </c>
      <c r="BI700" s="28">
        <v>14670600</v>
      </c>
    </row>
    <row r="701" spans="1:61" hidden="1" x14ac:dyDescent="0.3">
      <c r="A701" s="1" t="s">
        <v>739</v>
      </c>
      <c r="B701" s="1" t="s">
        <v>108</v>
      </c>
      <c r="C701" s="1" t="s">
        <v>1551</v>
      </c>
      <c r="D701" s="1" t="s">
        <v>1552</v>
      </c>
      <c r="E701" s="1" t="s">
        <v>1565</v>
      </c>
      <c r="F701" s="1" t="s">
        <v>561</v>
      </c>
      <c r="G701" s="1" t="s">
        <v>1566</v>
      </c>
      <c r="H701" s="1" t="s">
        <v>1565</v>
      </c>
      <c r="I701" s="1" t="s">
        <v>548</v>
      </c>
      <c r="J701" s="1" t="s">
        <v>229</v>
      </c>
      <c r="K701" s="1" t="s">
        <v>118</v>
      </c>
      <c r="L701" s="1" t="s">
        <v>103</v>
      </c>
      <c r="M701" s="20">
        <v>3213750</v>
      </c>
      <c r="N701" s="20">
        <v>536400</v>
      </c>
      <c r="O701" s="20">
        <v>408000</v>
      </c>
      <c r="Q701" s="20">
        <v>945000</v>
      </c>
      <c r="R701" s="20">
        <v>999600</v>
      </c>
      <c r="AB701" s="20">
        <v>6102750</v>
      </c>
      <c r="AC701" s="20">
        <v>3972450</v>
      </c>
      <c r="AE701" s="20">
        <v>204000</v>
      </c>
      <c r="AG701" s="20">
        <v>849600</v>
      </c>
      <c r="AH701" s="20">
        <v>1036800</v>
      </c>
      <c r="AR701" s="20">
        <v>6062850</v>
      </c>
      <c r="AS701" s="20">
        <v>6788850</v>
      </c>
      <c r="AT701" s="20">
        <v>1072800</v>
      </c>
      <c r="AU701" s="20">
        <v>204000</v>
      </c>
      <c r="AV701" s="20">
        <v>523200</v>
      </c>
      <c r="AW701" s="20">
        <v>901800</v>
      </c>
      <c r="AX701" s="20">
        <v>1507200</v>
      </c>
      <c r="BH701" s="28">
        <v>10997850</v>
      </c>
      <c r="BI701" s="28">
        <v>23163450</v>
      </c>
    </row>
    <row r="702" spans="1:61" hidden="1" x14ac:dyDescent="0.3">
      <c r="A702" s="1" t="s">
        <v>739</v>
      </c>
      <c r="B702" s="1" t="s">
        <v>108</v>
      </c>
      <c r="C702" s="1" t="s">
        <v>1551</v>
      </c>
      <c r="D702" s="1" t="s">
        <v>1552</v>
      </c>
      <c r="E702" s="1" t="s">
        <v>1567</v>
      </c>
      <c r="F702" s="1" t="s">
        <v>573</v>
      </c>
      <c r="G702" s="1" t="s">
        <v>1568</v>
      </c>
      <c r="H702" s="1" t="s">
        <v>1567</v>
      </c>
      <c r="I702" s="1" t="s">
        <v>548</v>
      </c>
      <c r="J702" s="1" t="s">
        <v>229</v>
      </c>
      <c r="K702" s="1" t="s">
        <v>118</v>
      </c>
      <c r="L702" s="1" t="s">
        <v>103</v>
      </c>
      <c r="M702" s="20">
        <v>4351200</v>
      </c>
      <c r="N702" s="20">
        <v>1072800</v>
      </c>
      <c r="O702" s="20">
        <v>1020000</v>
      </c>
      <c r="P702" s="20">
        <v>577200</v>
      </c>
      <c r="Q702" s="20">
        <v>1656000</v>
      </c>
      <c r="R702" s="20">
        <v>1322400</v>
      </c>
      <c r="AB702" s="20">
        <v>9999600</v>
      </c>
      <c r="AC702" s="20">
        <v>5748000</v>
      </c>
      <c r="AD702" s="20">
        <v>1341000</v>
      </c>
      <c r="AE702" s="20">
        <v>612000</v>
      </c>
      <c r="AG702" s="20">
        <v>1603800</v>
      </c>
      <c r="AH702" s="20">
        <v>1285200</v>
      </c>
      <c r="AR702" s="20">
        <v>10590000</v>
      </c>
      <c r="AS702" s="20">
        <v>6643500</v>
      </c>
      <c r="AT702" s="20">
        <v>1609200</v>
      </c>
      <c r="AU702" s="20">
        <v>408000</v>
      </c>
      <c r="AV702" s="20">
        <v>2092800</v>
      </c>
      <c r="AW702" s="20">
        <v>849600</v>
      </c>
      <c r="AX702" s="20">
        <v>1942800</v>
      </c>
      <c r="BH702" s="28">
        <v>13545900</v>
      </c>
      <c r="BI702" s="28">
        <v>34135500</v>
      </c>
    </row>
    <row r="703" spans="1:61" hidden="1" x14ac:dyDescent="0.3">
      <c r="A703" s="1" t="s">
        <v>739</v>
      </c>
      <c r="B703" s="1" t="s">
        <v>108</v>
      </c>
      <c r="C703" s="1" t="s">
        <v>1551</v>
      </c>
      <c r="D703" s="1" t="s">
        <v>1552</v>
      </c>
      <c r="E703" s="1" t="s">
        <v>1569</v>
      </c>
      <c r="F703" s="1" t="s">
        <v>573</v>
      </c>
      <c r="G703" s="1" t="s">
        <v>1570</v>
      </c>
      <c r="H703" s="1" t="s">
        <v>1569</v>
      </c>
      <c r="I703" s="1" t="s">
        <v>548</v>
      </c>
      <c r="J703" s="1" t="s">
        <v>229</v>
      </c>
      <c r="K703" s="1" t="s">
        <v>118</v>
      </c>
      <c r="L703" s="1" t="s">
        <v>103</v>
      </c>
      <c r="M703" s="20">
        <v>3682800</v>
      </c>
      <c r="O703" s="20">
        <v>612000</v>
      </c>
      <c r="Q703" s="20">
        <v>711000</v>
      </c>
      <c r="R703" s="20">
        <v>1514400</v>
      </c>
      <c r="AB703" s="20">
        <v>6520200</v>
      </c>
      <c r="AC703" s="20">
        <v>4152600</v>
      </c>
      <c r="AD703" s="20">
        <v>804600</v>
      </c>
      <c r="AE703" s="20">
        <v>612000</v>
      </c>
      <c r="AG703" s="20">
        <v>954000</v>
      </c>
      <c r="AH703" s="20">
        <v>1605600</v>
      </c>
      <c r="AR703" s="20">
        <v>8128800</v>
      </c>
      <c r="AS703" s="20">
        <v>6171300</v>
      </c>
      <c r="AT703" s="20">
        <v>1341000</v>
      </c>
      <c r="AU703" s="20">
        <v>408000</v>
      </c>
      <c r="AV703" s="20">
        <v>1046400</v>
      </c>
      <c r="AW703" s="20">
        <v>520200</v>
      </c>
      <c r="AX703" s="20">
        <v>1450800</v>
      </c>
      <c r="BH703" s="28">
        <v>10937700</v>
      </c>
      <c r="BI703" s="28">
        <v>25586700</v>
      </c>
    </row>
    <row r="704" spans="1:61" hidden="1" x14ac:dyDescent="0.3">
      <c r="A704" s="1" t="s">
        <v>739</v>
      </c>
      <c r="B704" s="1" t="s">
        <v>108</v>
      </c>
      <c r="C704" s="1" t="s">
        <v>1551</v>
      </c>
      <c r="D704" s="1" t="s">
        <v>1552</v>
      </c>
      <c r="E704" s="1" t="s">
        <v>1571</v>
      </c>
      <c r="F704" s="1" t="s">
        <v>573</v>
      </c>
      <c r="G704" s="1" t="s">
        <v>1572</v>
      </c>
      <c r="H704" s="1" t="s">
        <v>1571</v>
      </c>
      <c r="I704" s="1" t="s">
        <v>548</v>
      </c>
      <c r="J704" s="1" t="s">
        <v>229</v>
      </c>
      <c r="K704" s="1" t="s">
        <v>118</v>
      </c>
      <c r="L704" s="1" t="s">
        <v>103</v>
      </c>
      <c r="M704" s="20">
        <v>5193600</v>
      </c>
      <c r="N704" s="20">
        <v>536400</v>
      </c>
      <c r="O704" s="20">
        <v>204000</v>
      </c>
      <c r="Q704" s="20">
        <v>763200</v>
      </c>
      <c r="R704" s="20">
        <v>1228800</v>
      </c>
      <c r="AB704" s="20">
        <v>7926000</v>
      </c>
      <c r="AC704" s="20">
        <v>3506100</v>
      </c>
      <c r="AD704" s="20">
        <v>536400</v>
      </c>
      <c r="AE704" s="20">
        <v>408000</v>
      </c>
      <c r="AG704" s="20">
        <v>763200</v>
      </c>
      <c r="AH704" s="20">
        <v>1485600</v>
      </c>
      <c r="AR704" s="20">
        <v>6699300</v>
      </c>
      <c r="AS704" s="20">
        <v>5757900</v>
      </c>
      <c r="AU704" s="20">
        <v>204000</v>
      </c>
      <c r="AV704" s="20">
        <v>523200</v>
      </c>
      <c r="AW704" s="20">
        <v>763200</v>
      </c>
      <c r="AX704" s="20">
        <v>1202400</v>
      </c>
      <c r="BH704" s="28">
        <v>8450700</v>
      </c>
      <c r="BI704" s="28">
        <v>23076000</v>
      </c>
    </row>
    <row r="705" spans="1:61" hidden="1" x14ac:dyDescent="0.3">
      <c r="A705" s="1" t="s">
        <v>739</v>
      </c>
      <c r="B705" s="1" t="s">
        <v>108</v>
      </c>
      <c r="C705" s="1" t="s">
        <v>1551</v>
      </c>
      <c r="D705" s="1" t="s">
        <v>1552</v>
      </c>
      <c r="E705" s="1" t="s">
        <v>1573</v>
      </c>
      <c r="F705" s="1" t="s">
        <v>561</v>
      </c>
      <c r="G705" s="1" t="s">
        <v>1574</v>
      </c>
      <c r="H705" s="1" t="s">
        <v>1573</v>
      </c>
      <c r="I705" s="1" t="s">
        <v>548</v>
      </c>
      <c r="J705" s="1" t="s">
        <v>229</v>
      </c>
      <c r="K705" s="1" t="s">
        <v>118</v>
      </c>
      <c r="L705" s="1" t="s">
        <v>103</v>
      </c>
      <c r="M705" s="20">
        <v>1604250</v>
      </c>
      <c r="O705" s="20">
        <v>408000</v>
      </c>
      <c r="P705" s="20">
        <v>384800</v>
      </c>
      <c r="Q705" s="20">
        <v>1188000</v>
      </c>
      <c r="R705" s="20">
        <v>1028400</v>
      </c>
      <c r="AB705" s="20">
        <v>4613450</v>
      </c>
      <c r="AC705" s="20">
        <v>2052900</v>
      </c>
      <c r="AE705" s="20">
        <v>204000</v>
      </c>
      <c r="AG705" s="20">
        <v>1422000</v>
      </c>
      <c r="AH705" s="20">
        <v>1322400</v>
      </c>
      <c r="AR705" s="20">
        <v>5001300</v>
      </c>
      <c r="AS705" s="20">
        <v>2568750</v>
      </c>
      <c r="AU705" s="20">
        <v>204000</v>
      </c>
      <c r="AV705" s="20">
        <v>1046400</v>
      </c>
      <c r="AW705" s="20">
        <v>806400</v>
      </c>
      <c r="AX705" s="20">
        <v>578400</v>
      </c>
      <c r="BH705" s="28">
        <v>5203950</v>
      </c>
      <c r="BI705" s="28">
        <v>14818700</v>
      </c>
    </row>
    <row r="706" spans="1:61" hidden="1" x14ac:dyDescent="0.3">
      <c r="A706" s="1" t="s">
        <v>739</v>
      </c>
      <c r="B706" s="1" t="s">
        <v>108</v>
      </c>
      <c r="C706" s="1" t="s">
        <v>1551</v>
      </c>
      <c r="D706" s="1" t="s">
        <v>1552</v>
      </c>
      <c r="E706" s="1" t="s">
        <v>1575</v>
      </c>
      <c r="F706" s="1" t="s">
        <v>573</v>
      </c>
      <c r="G706" s="1" t="s">
        <v>1576</v>
      </c>
      <c r="H706" s="1" t="s">
        <v>1575</v>
      </c>
      <c r="I706" s="1" t="s">
        <v>548</v>
      </c>
      <c r="J706" s="1" t="s">
        <v>229</v>
      </c>
      <c r="K706" s="1" t="s">
        <v>118</v>
      </c>
      <c r="L706" s="1" t="s">
        <v>103</v>
      </c>
      <c r="M706" s="20">
        <v>4178250</v>
      </c>
      <c r="N706" s="20">
        <v>268200</v>
      </c>
      <c r="O706" s="20">
        <v>408000</v>
      </c>
      <c r="P706" s="20">
        <v>192400</v>
      </c>
      <c r="Q706" s="20">
        <v>667800</v>
      </c>
      <c r="R706" s="20">
        <v>1094400</v>
      </c>
      <c r="AB706" s="20">
        <v>6809050</v>
      </c>
      <c r="AC706" s="20">
        <v>4130700</v>
      </c>
      <c r="AD706" s="20">
        <v>804600</v>
      </c>
      <c r="AE706" s="20">
        <v>408000</v>
      </c>
      <c r="AF706" s="20">
        <v>384800</v>
      </c>
      <c r="AG706" s="20">
        <v>806400</v>
      </c>
      <c r="AH706" s="20">
        <v>1208400</v>
      </c>
      <c r="AR706" s="20">
        <v>7742900</v>
      </c>
      <c r="AS706" s="20">
        <v>3871350</v>
      </c>
      <c r="AT706" s="20">
        <v>536400</v>
      </c>
      <c r="AU706" s="20">
        <v>408000</v>
      </c>
      <c r="AV706" s="20">
        <v>523200</v>
      </c>
      <c r="AW706" s="20">
        <v>945000</v>
      </c>
      <c r="AX706" s="20">
        <v>1107600</v>
      </c>
      <c r="BH706" s="28">
        <v>7391550</v>
      </c>
      <c r="BI706" s="28">
        <v>21943500</v>
      </c>
    </row>
    <row r="707" spans="1:61" hidden="1" x14ac:dyDescent="0.3">
      <c r="A707" s="1" t="s">
        <v>739</v>
      </c>
      <c r="B707" s="1" t="s">
        <v>108</v>
      </c>
      <c r="C707" s="1" t="s">
        <v>1551</v>
      </c>
      <c r="D707" s="1" t="s">
        <v>1552</v>
      </c>
      <c r="E707" s="1" t="s">
        <v>1577</v>
      </c>
      <c r="F707" s="1" t="s">
        <v>573</v>
      </c>
      <c r="G707" s="1" t="s">
        <v>1578</v>
      </c>
      <c r="H707" s="1" t="s">
        <v>1577</v>
      </c>
      <c r="I707" s="1" t="s">
        <v>548</v>
      </c>
      <c r="J707" s="1" t="s">
        <v>229</v>
      </c>
      <c r="K707" s="1" t="s">
        <v>118</v>
      </c>
      <c r="L707" s="1" t="s">
        <v>103</v>
      </c>
      <c r="M707" s="20">
        <v>4280250</v>
      </c>
      <c r="N707" s="20">
        <v>268200</v>
      </c>
      <c r="O707" s="20">
        <v>204000</v>
      </c>
      <c r="P707" s="20">
        <v>192400</v>
      </c>
      <c r="Q707" s="20">
        <v>702000</v>
      </c>
      <c r="R707" s="20">
        <v>1102800</v>
      </c>
      <c r="AB707" s="20">
        <v>6749650</v>
      </c>
      <c r="AC707" s="20">
        <v>2835900</v>
      </c>
      <c r="AD707" s="20">
        <v>804600</v>
      </c>
      <c r="AE707" s="20">
        <v>204000</v>
      </c>
      <c r="AG707" s="20">
        <v>572400</v>
      </c>
      <c r="AH707" s="20">
        <v>885600</v>
      </c>
      <c r="AR707" s="20">
        <v>5302500</v>
      </c>
      <c r="AS707" s="20">
        <v>4148250</v>
      </c>
      <c r="AT707" s="20">
        <v>804600</v>
      </c>
      <c r="AV707" s="20">
        <v>523200</v>
      </c>
      <c r="AW707" s="20">
        <v>520200</v>
      </c>
      <c r="AX707" s="20">
        <v>1030800</v>
      </c>
      <c r="BH707" s="28">
        <v>7027050</v>
      </c>
      <c r="BI707" s="28">
        <v>19079200</v>
      </c>
    </row>
    <row r="708" spans="1:61" hidden="1" x14ac:dyDescent="0.3">
      <c r="A708" s="1" t="s">
        <v>739</v>
      </c>
      <c r="B708" s="1" t="s">
        <v>108</v>
      </c>
      <c r="C708" s="1" t="s">
        <v>1551</v>
      </c>
      <c r="D708" s="1" t="s">
        <v>1552</v>
      </c>
      <c r="E708" s="1" t="s">
        <v>1579</v>
      </c>
      <c r="F708" s="1" t="s">
        <v>573</v>
      </c>
      <c r="G708" s="1" t="s">
        <v>1580</v>
      </c>
      <c r="H708" s="1" t="s">
        <v>1579</v>
      </c>
      <c r="I708" s="1" t="s">
        <v>548</v>
      </c>
      <c r="J708" s="1" t="s">
        <v>229</v>
      </c>
      <c r="K708" s="1" t="s">
        <v>118</v>
      </c>
      <c r="L708" s="1" t="s">
        <v>103</v>
      </c>
      <c r="M708" s="20">
        <v>3949950</v>
      </c>
      <c r="N708" s="20">
        <v>268200</v>
      </c>
      <c r="O708" s="20">
        <v>408000</v>
      </c>
      <c r="P708" s="20">
        <v>384800</v>
      </c>
      <c r="Q708" s="20">
        <v>572400</v>
      </c>
      <c r="R708" s="20">
        <v>1245600</v>
      </c>
      <c r="AB708" s="20">
        <v>6828950</v>
      </c>
      <c r="AC708" s="20">
        <v>4089150</v>
      </c>
      <c r="AD708" s="20">
        <v>536400</v>
      </c>
      <c r="AE708" s="20">
        <v>612000</v>
      </c>
      <c r="AG708" s="20">
        <v>711000</v>
      </c>
      <c r="AH708" s="20">
        <v>1171200</v>
      </c>
      <c r="AR708" s="20">
        <v>7119750</v>
      </c>
      <c r="AS708" s="20">
        <v>5538750</v>
      </c>
      <c r="AT708" s="20">
        <v>1609200</v>
      </c>
      <c r="AU708" s="20">
        <v>204000</v>
      </c>
      <c r="AV708" s="20">
        <v>977200</v>
      </c>
      <c r="AW708" s="20">
        <v>381600</v>
      </c>
      <c r="AX708" s="20">
        <v>1347600</v>
      </c>
      <c r="BH708" s="28">
        <v>10058350</v>
      </c>
      <c r="BI708" s="28">
        <v>24007050</v>
      </c>
    </row>
    <row r="709" spans="1:61" hidden="1" x14ac:dyDescent="0.3">
      <c r="A709" s="1" t="s">
        <v>739</v>
      </c>
      <c r="B709" s="1" t="s">
        <v>108</v>
      </c>
      <c r="C709" s="1" t="s">
        <v>1581</v>
      </c>
      <c r="D709" s="1" t="s">
        <v>1582</v>
      </c>
      <c r="E709" s="1" t="s">
        <v>1583</v>
      </c>
      <c r="F709" s="1" t="s">
        <v>573</v>
      </c>
      <c r="G709" s="1" t="s">
        <v>1584</v>
      </c>
      <c r="H709" s="1" t="s">
        <v>1583</v>
      </c>
      <c r="I709" s="1" t="s">
        <v>548</v>
      </c>
      <c r="J709" s="1" t="s">
        <v>229</v>
      </c>
      <c r="K709" s="1" t="s">
        <v>118</v>
      </c>
      <c r="L709" s="1" t="s">
        <v>103</v>
      </c>
      <c r="M709" s="20">
        <v>3631650</v>
      </c>
      <c r="N709" s="20">
        <v>804600</v>
      </c>
      <c r="O709" s="20">
        <v>408000</v>
      </c>
      <c r="P709" s="20">
        <v>384800</v>
      </c>
      <c r="Q709" s="20">
        <v>1933200</v>
      </c>
      <c r="R709" s="20">
        <v>885600</v>
      </c>
      <c r="AB709" s="20">
        <v>8047850</v>
      </c>
      <c r="AC709" s="20">
        <v>3323400</v>
      </c>
      <c r="AD709" s="20">
        <v>536400</v>
      </c>
      <c r="AE709" s="20">
        <v>408000</v>
      </c>
      <c r="AF709" s="20">
        <v>384800</v>
      </c>
      <c r="AG709" s="20">
        <v>1135800</v>
      </c>
      <c r="AH709" s="20">
        <v>1686000</v>
      </c>
      <c r="AR709" s="20">
        <v>7474400</v>
      </c>
      <c r="AS709" s="20">
        <v>4797600</v>
      </c>
      <c r="AT709" s="20">
        <v>804600</v>
      </c>
      <c r="AU709" s="20">
        <v>408000</v>
      </c>
      <c r="AV709" s="20">
        <v>784800</v>
      </c>
      <c r="AW709" s="20">
        <v>1317600</v>
      </c>
      <c r="AX709" s="20">
        <v>1347600</v>
      </c>
      <c r="BH709" s="28">
        <v>9460200</v>
      </c>
      <c r="BI709" s="28">
        <v>24982450</v>
      </c>
    </row>
    <row r="710" spans="1:61" hidden="1" x14ac:dyDescent="0.3">
      <c r="A710" s="1" t="s">
        <v>739</v>
      </c>
      <c r="B710" s="1" t="s">
        <v>108</v>
      </c>
      <c r="C710" s="1" t="s">
        <v>1581</v>
      </c>
      <c r="D710" s="1" t="s">
        <v>1582</v>
      </c>
      <c r="E710" s="1" t="s">
        <v>1585</v>
      </c>
      <c r="F710" s="1" t="s">
        <v>1586</v>
      </c>
      <c r="G710" s="1" t="s">
        <v>1587</v>
      </c>
      <c r="H710" s="1" t="s">
        <v>1585</v>
      </c>
      <c r="I710" s="1" t="s">
        <v>548</v>
      </c>
      <c r="J710" s="1" t="s">
        <v>229</v>
      </c>
      <c r="K710" s="1" t="s">
        <v>118</v>
      </c>
      <c r="L710" s="1" t="s">
        <v>103</v>
      </c>
      <c r="M710" s="20">
        <v>13766850</v>
      </c>
      <c r="N710" s="20">
        <v>804600</v>
      </c>
      <c r="O710" s="20">
        <v>1428000</v>
      </c>
      <c r="Q710" s="20">
        <v>4075200</v>
      </c>
      <c r="R710" s="20">
        <v>9391200</v>
      </c>
      <c r="AB710" s="20">
        <v>29465850</v>
      </c>
      <c r="AC710" s="20">
        <v>14562450</v>
      </c>
      <c r="AD710" s="20">
        <v>268200</v>
      </c>
      <c r="AE710" s="20">
        <v>612000</v>
      </c>
      <c r="AG710" s="20">
        <v>2385000</v>
      </c>
      <c r="AH710" s="20">
        <v>13090800</v>
      </c>
      <c r="AR710" s="20">
        <v>30918450</v>
      </c>
      <c r="AS710" s="20">
        <v>17026350</v>
      </c>
      <c r="AT710" s="20">
        <v>3667200</v>
      </c>
      <c r="AU710" s="20">
        <v>612000</v>
      </c>
      <c r="AV710" s="20">
        <v>1308000</v>
      </c>
      <c r="AW710" s="20">
        <v>2896200</v>
      </c>
      <c r="AX710" s="20">
        <v>15072000</v>
      </c>
      <c r="BH710" s="28">
        <v>40581750</v>
      </c>
      <c r="BI710" s="28">
        <v>100966050</v>
      </c>
    </row>
    <row r="711" spans="1:61" hidden="1" x14ac:dyDescent="0.3">
      <c r="A711" s="1" t="s">
        <v>739</v>
      </c>
      <c r="B711" s="1" t="s">
        <v>108</v>
      </c>
      <c r="C711" s="1" t="s">
        <v>1581</v>
      </c>
      <c r="D711" s="1" t="s">
        <v>1582</v>
      </c>
      <c r="E711" s="1" t="s">
        <v>1588</v>
      </c>
      <c r="F711" s="1" t="s">
        <v>573</v>
      </c>
      <c r="G711" s="1" t="s">
        <v>1589</v>
      </c>
      <c r="H711" s="1" t="s">
        <v>1588</v>
      </c>
      <c r="I711" s="1" t="s">
        <v>548</v>
      </c>
      <c r="J711" s="1" t="s">
        <v>229</v>
      </c>
      <c r="K711" s="1" t="s">
        <v>118</v>
      </c>
      <c r="L711" s="1" t="s">
        <v>103</v>
      </c>
      <c r="M711" s="20">
        <v>12174150</v>
      </c>
      <c r="N711" s="20">
        <v>3486600</v>
      </c>
      <c r="O711" s="20">
        <v>816000</v>
      </c>
      <c r="P711" s="20">
        <v>384800</v>
      </c>
      <c r="Q711" s="20">
        <v>1179000</v>
      </c>
      <c r="R711" s="20">
        <v>1930800</v>
      </c>
      <c r="AB711" s="20">
        <v>19971350</v>
      </c>
      <c r="AC711" s="20">
        <v>10416000</v>
      </c>
      <c r="AD711" s="20">
        <v>1341000</v>
      </c>
      <c r="AE711" s="20">
        <v>612000</v>
      </c>
      <c r="AF711" s="20">
        <v>192400</v>
      </c>
      <c r="AG711" s="20">
        <v>945000</v>
      </c>
      <c r="AH711" s="20">
        <v>1885200</v>
      </c>
      <c r="AR711" s="20">
        <v>15391600</v>
      </c>
      <c r="AS711" s="20">
        <v>11301600</v>
      </c>
      <c r="AT711" s="20">
        <v>1609200</v>
      </c>
      <c r="AU711" s="20">
        <v>408000</v>
      </c>
      <c r="AV711" s="20">
        <v>2670000</v>
      </c>
      <c r="AW711" s="20">
        <v>1135800</v>
      </c>
      <c r="AX711" s="20">
        <v>2718000</v>
      </c>
      <c r="BH711" s="28">
        <v>19842600</v>
      </c>
      <c r="BI711" s="28">
        <v>55205550</v>
      </c>
    </row>
    <row r="712" spans="1:61" hidden="1" x14ac:dyDescent="0.3">
      <c r="A712" s="1" t="s">
        <v>739</v>
      </c>
      <c r="B712" s="1" t="s">
        <v>108</v>
      </c>
      <c r="C712" s="1" t="s">
        <v>1581</v>
      </c>
      <c r="D712" s="1" t="s">
        <v>1582</v>
      </c>
      <c r="E712" s="1" t="s">
        <v>1590</v>
      </c>
      <c r="F712" s="1" t="s">
        <v>573</v>
      </c>
      <c r="G712" s="1" t="s">
        <v>1591</v>
      </c>
      <c r="H712" s="1" t="s">
        <v>1590</v>
      </c>
      <c r="I712" s="1" t="s">
        <v>548</v>
      </c>
      <c r="J712" s="1" t="s">
        <v>229</v>
      </c>
      <c r="K712" s="1" t="s">
        <v>118</v>
      </c>
      <c r="L712" s="1" t="s">
        <v>103</v>
      </c>
      <c r="M712" s="20">
        <v>3261750</v>
      </c>
      <c r="O712" s="20">
        <v>204000</v>
      </c>
      <c r="Q712" s="20">
        <v>711000</v>
      </c>
      <c r="R712" s="20">
        <v>1057200</v>
      </c>
      <c r="AB712" s="20">
        <v>5233950</v>
      </c>
      <c r="AC712" s="20">
        <v>4239300</v>
      </c>
      <c r="AD712" s="20">
        <v>268200</v>
      </c>
      <c r="AE712" s="20">
        <v>612000</v>
      </c>
      <c r="AG712" s="20">
        <v>1699200</v>
      </c>
      <c r="AH712" s="20">
        <v>2188800</v>
      </c>
      <c r="AR712" s="20">
        <v>9007500</v>
      </c>
      <c r="AS712" s="20">
        <v>6221850</v>
      </c>
      <c r="AT712" s="20">
        <v>536400</v>
      </c>
      <c r="AU712" s="20">
        <v>204000</v>
      </c>
      <c r="AV712" s="20">
        <v>784800</v>
      </c>
      <c r="AW712" s="20">
        <v>424800</v>
      </c>
      <c r="AX712" s="20">
        <v>1285200</v>
      </c>
      <c r="BH712" s="28">
        <v>9457050</v>
      </c>
      <c r="BI712" s="28">
        <v>23698500</v>
      </c>
    </row>
    <row r="713" spans="1:61" hidden="1" x14ac:dyDescent="0.3">
      <c r="A713" s="1" t="s">
        <v>739</v>
      </c>
      <c r="B713" s="1" t="s">
        <v>108</v>
      </c>
      <c r="C713" s="1" t="s">
        <v>1581</v>
      </c>
      <c r="D713" s="1" t="s">
        <v>1582</v>
      </c>
      <c r="E713" s="1" t="s">
        <v>1592</v>
      </c>
      <c r="F713" s="1" t="s">
        <v>573</v>
      </c>
      <c r="G713" s="1" t="s">
        <v>1593</v>
      </c>
      <c r="H713" s="1" t="s">
        <v>1592</v>
      </c>
      <c r="I713" s="1" t="s">
        <v>548</v>
      </c>
      <c r="J713" s="1" t="s">
        <v>229</v>
      </c>
      <c r="K713" s="1" t="s">
        <v>118</v>
      </c>
      <c r="L713" s="1" t="s">
        <v>103</v>
      </c>
      <c r="M713" s="20">
        <v>5108100</v>
      </c>
      <c r="N713" s="20">
        <v>1609200</v>
      </c>
      <c r="O713" s="20">
        <v>408000</v>
      </c>
      <c r="Q713" s="20">
        <v>997200</v>
      </c>
      <c r="R713" s="20">
        <v>1208400</v>
      </c>
      <c r="AB713" s="20">
        <v>9330900</v>
      </c>
      <c r="AC713" s="20">
        <v>4946550</v>
      </c>
      <c r="AD713" s="20">
        <v>1072800</v>
      </c>
      <c r="AE713" s="20">
        <v>816000</v>
      </c>
      <c r="AG713" s="20">
        <v>1274400</v>
      </c>
      <c r="AH713" s="20">
        <v>2017200</v>
      </c>
      <c r="AR713" s="20">
        <v>10126950</v>
      </c>
      <c r="AS713" s="20">
        <v>6324900</v>
      </c>
      <c r="AT713" s="20">
        <v>3486600</v>
      </c>
      <c r="AU713" s="20">
        <v>408000</v>
      </c>
      <c r="AV713" s="20">
        <v>261600</v>
      </c>
      <c r="AW713" s="20">
        <v>754200</v>
      </c>
      <c r="AX713" s="20">
        <v>1699200</v>
      </c>
      <c r="BH713" s="28">
        <v>12934500</v>
      </c>
      <c r="BI713" s="28">
        <v>32392350</v>
      </c>
    </row>
    <row r="714" spans="1:61" hidden="1" x14ac:dyDescent="0.3">
      <c r="A714" s="1" t="s">
        <v>739</v>
      </c>
      <c r="B714" s="1" t="s">
        <v>108</v>
      </c>
      <c r="C714" s="1" t="s">
        <v>1581</v>
      </c>
      <c r="D714" s="1" t="s">
        <v>1582</v>
      </c>
      <c r="E714" s="1" t="s">
        <v>1594</v>
      </c>
      <c r="F714" s="1" t="s">
        <v>573</v>
      </c>
      <c r="G714" s="1" t="s">
        <v>1595</v>
      </c>
      <c r="H714" s="1" t="s">
        <v>1594</v>
      </c>
      <c r="I714" s="1" t="s">
        <v>548</v>
      </c>
      <c r="J714" s="1" t="s">
        <v>229</v>
      </c>
      <c r="K714" s="1" t="s">
        <v>118</v>
      </c>
      <c r="L714" s="1" t="s">
        <v>103</v>
      </c>
      <c r="M714" s="20">
        <v>3426600</v>
      </c>
      <c r="N714" s="20">
        <v>536400</v>
      </c>
      <c r="P714" s="20">
        <v>192400</v>
      </c>
      <c r="Q714" s="20">
        <v>190800</v>
      </c>
      <c r="R714" s="20">
        <v>999600</v>
      </c>
      <c r="AB714" s="20">
        <v>5345800</v>
      </c>
      <c r="AC714" s="20">
        <v>4207500</v>
      </c>
      <c r="AD714" s="20">
        <v>1072800</v>
      </c>
      <c r="AE714" s="20">
        <v>408000</v>
      </c>
      <c r="AF714" s="20">
        <v>192400</v>
      </c>
      <c r="AH714" s="20">
        <v>1179600</v>
      </c>
      <c r="AR714" s="20">
        <v>7060300</v>
      </c>
      <c r="AS714" s="20">
        <v>5706750</v>
      </c>
      <c r="AT714" s="20">
        <v>804600</v>
      </c>
      <c r="AV714" s="20">
        <v>523200</v>
      </c>
      <c r="AW714" s="20">
        <v>190800</v>
      </c>
      <c r="AX714" s="20">
        <v>1002000</v>
      </c>
      <c r="BH714" s="28">
        <v>8227350</v>
      </c>
      <c r="BI714" s="28">
        <v>20633450</v>
      </c>
    </row>
    <row r="715" spans="1:61" hidden="1" x14ac:dyDescent="0.3">
      <c r="A715" s="1" t="s">
        <v>739</v>
      </c>
      <c r="B715" s="1" t="s">
        <v>108</v>
      </c>
      <c r="C715" s="1" t="s">
        <v>1581</v>
      </c>
      <c r="D715" s="1" t="s">
        <v>1582</v>
      </c>
      <c r="E715" s="1" t="s">
        <v>1596</v>
      </c>
      <c r="F715" s="1" t="s">
        <v>573</v>
      </c>
      <c r="G715" s="1" t="s">
        <v>1597</v>
      </c>
      <c r="H715" s="1" t="s">
        <v>1596</v>
      </c>
      <c r="I715" s="1" t="s">
        <v>548</v>
      </c>
      <c r="J715" s="1" t="s">
        <v>229</v>
      </c>
      <c r="K715" s="1" t="s">
        <v>118</v>
      </c>
      <c r="L715" s="1" t="s">
        <v>103</v>
      </c>
      <c r="M715" s="20">
        <v>3419250</v>
      </c>
      <c r="N715" s="20">
        <v>536400</v>
      </c>
      <c r="O715" s="20">
        <v>408000</v>
      </c>
      <c r="P715" s="20">
        <v>384800</v>
      </c>
      <c r="Q715" s="20">
        <v>572400</v>
      </c>
      <c r="R715" s="20">
        <v>1303200</v>
      </c>
      <c r="AB715" s="20">
        <v>6624050</v>
      </c>
      <c r="AC715" s="20">
        <v>3437400</v>
      </c>
      <c r="AD715" s="20">
        <v>536400</v>
      </c>
      <c r="AG715" s="20">
        <v>572400</v>
      </c>
      <c r="AH715" s="20">
        <v>780000</v>
      </c>
      <c r="AR715" s="20">
        <v>5326200</v>
      </c>
      <c r="AS715" s="20">
        <v>6417300</v>
      </c>
      <c r="AT715" s="20">
        <v>1072800</v>
      </c>
      <c r="AU715" s="20">
        <v>408000</v>
      </c>
      <c r="AV715" s="20">
        <v>1308000</v>
      </c>
      <c r="AW715" s="20">
        <v>667800</v>
      </c>
      <c r="AX715" s="20">
        <v>1006800</v>
      </c>
      <c r="BH715" s="28">
        <v>10880700</v>
      </c>
      <c r="BI715" s="28">
        <v>22830950</v>
      </c>
    </row>
    <row r="716" spans="1:61" hidden="1" x14ac:dyDescent="0.3">
      <c r="A716" s="1" t="s">
        <v>739</v>
      </c>
      <c r="B716" s="1" t="s">
        <v>108</v>
      </c>
      <c r="C716" s="1" t="s">
        <v>1581</v>
      </c>
      <c r="D716" s="1" t="s">
        <v>1582</v>
      </c>
      <c r="E716" s="1" t="s">
        <v>1598</v>
      </c>
      <c r="F716" s="1" t="s">
        <v>573</v>
      </c>
      <c r="G716" s="1" t="s">
        <v>1599</v>
      </c>
      <c r="H716" s="1" t="s">
        <v>1598</v>
      </c>
      <c r="I716" s="1" t="s">
        <v>548</v>
      </c>
      <c r="J716" s="1" t="s">
        <v>229</v>
      </c>
      <c r="K716" s="1" t="s">
        <v>118</v>
      </c>
      <c r="L716" s="1" t="s">
        <v>103</v>
      </c>
      <c r="M716" s="20">
        <v>5041500</v>
      </c>
      <c r="N716" s="20">
        <v>804600</v>
      </c>
      <c r="O716" s="20">
        <v>408000</v>
      </c>
      <c r="P716" s="20">
        <v>577200</v>
      </c>
      <c r="Q716" s="20">
        <v>987000</v>
      </c>
      <c r="R716" s="20">
        <v>428400</v>
      </c>
      <c r="AB716" s="20">
        <v>8246700</v>
      </c>
      <c r="AC716" s="20">
        <v>3817200</v>
      </c>
      <c r="AD716" s="20">
        <v>536400</v>
      </c>
      <c r="AE716" s="20">
        <v>204000</v>
      </c>
      <c r="AG716" s="20">
        <v>936000</v>
      </c>
      <c r="AH716" s="20">
        <v>1788000</v>
      </c>
      <c r="AR716" s="20">
        <v>7281600</v>
      </c>
      <c r="AS716" s="20">
        <v>5675700</v>
      </c>
      <c r="AT716" s="20">
        <v>1789800</v>
      </c>
      <c r="AU716" s="20">
        <v>204000</v>
      </c>
      <c r="AV716" s="20">
        <v>1169600</v>
      </c>
      <c r="AW716" s="20">
        <v>858600</v>
      </c>
      <c r="AX716" s="20">
        <v>1470000</v>
      </c>
      <c r="BH716" s="28">
        <v>11167700</v>
      </c>
      <c r="BI716" s="28">
        <v>26696000</v>
      </c>
    </row>
    <row r="717" spans="1:61" hidden="1" x14ac:dyDescent="0.3">
      <c r="A717" s="1" t="s">
        <v>739</v>
      </c>
      <c r="B717" s="1" t="s">
        <v>108</v>
      </c>
      <c r="C717" s="1" t="s">
        <v>1581</v>
      </c>
      <c r="D717" s="1" t="s">
        <v>1582</v>
      </c>
      <c r="E717" s="1" t="s">
        <v>1600</v>
      </c>
      <c r="F717" s="1" t="s">
        <v>573</v>
      </c>
      <c r="G717" s="1" t="s">
        <v>1601</v>
      </c>
      <c r="H717" s="1" t="s">
        <v>1600</v>
      </c>
      <c r="I717" s="1" t="s">
        <v>548</v>
      </c>
      <c r="J717" s="1" t="s">
        <v>229</v>
      </c>
      <c r="K717" s="1" t="s">
        <v>118</v>
      </c>
      <c r="L717" s="1" t="s">
        <v>103</v>
      </c>
      <c r="M717" s="20">
        <v>9641700</v>
      </c>
      <c r="N717" s="20">
        <v>536400</v>
      </c>
      <c r="P717" s="20">
        <v>384800</v>
      </c>
      <c r="Q717" s="20">
        <v>2323800</v>
      </c>
      <c r="R717" s="20">
        <v>1465200</v>
      </c>
      <c r="AB717" s="20">
        <v>14351900</v>
      </c>
      <c r="AC717" s="20">
        <v>10760550</v>
      </c>
      <c r="AD717" s="20">
        <v>1609200</v>
      </c>
      <c r="AE717" s="20">
        <v>612000</v>
      </c>
      <c r="AF717" s="20">
        <v>192400</v>
      </c>
      <c r="AG717" s="20">
        <v>1465200</v>
      </c>
      <c r="AH717" s="20">
        <v>2719200</v>
      </c>
      <c r="AR717" s="20">
        <v>17358550</v>
      </c>
      <c r="AS717" s="20">
        <v>12626550</v>
      </c>
      <c r="AT717" s="20">
        <v>1341000</v>
      </c>
      <c r="AU717" s="20">
        <v>408000</v>
      </c>
      <c r="AV717" s="20">
        <v>1308000</v>
      </c>
      <c r="AW717" s="20">
        <v>849600</v>
      </c>
      <c r="AX717" s="20">
        <v>2548800</v>
      </c>
      <c r="BH717" s="28">
        <v>19081950</v>
      </c>
      <c r="BI717" s="28">
        <v>50792400</v>
      </c>
    </row>
    <row r="718" spans="1:61" hidden="1" x14ac:dyDescent="0.3">
      <c r="A718" s="1" t="s">
        <v>739</v>
      </c>
      <c r="B718" s="1" t="s">
        <v>108</v>
      </c>
      <c r="C718" s="1" t="s">
        <v>1581</v>
      </c>
      <c r="D718" s="1" t="s">
        <v>1582</v>
      </c>
      <c r="E718" s="1" t="s">
        <v>1602</v>
      </c>
      <c r="F718" s="1" t="s">
        <v>561</v>
      </c>
      <c r="G718" s="1" t="s">
        <v>1603</v>
      </c>
      <c r="H718" s="1" t="s">
        <v>1602</v>
      </c>
      <c r="I718" s="1" t="s">
        <v>548</v>
      </c>
      <c r="J718" s="1" t="s">
        <v>229</v>
      </c>
      <c r="K718" s="1" t="s">
        <v>118</v>
      </c>
      <c r="L718" s="1" t="s">
        <v>103</v>
      </c>
      <c r="M718" s="20">
        <v>5953800</v>
      </c>
      <c r="N718" s="20">
        <v>1789800</v>
      </c>
      <c r="O718" s="20">
        <v>816000</v>
      </c>
      <c r="P718" s="20">
        <v>384800</v>
      </c>
      <c r="Q718" s="20">
        <v>1179000</v>
      </c>
      <c r="R718" s="20">
        <v>1179600</v>
      </c>
      <c r="AB718" s="20">
        <v>11303000</v>
      </c>
      <c r="AC718" s="20">
        <v>7632900</v>
      </c>
      <c r="AD718" s="20">
        <v>985200</v>
      </c>
      <c r="AE718" s="20">
        <v>612000</v>
      </c>
      <c r="AG718" s="20">
        <v>1413000</v>
      </c>
      <c r="AH718" s="20">
        <v>1216800</v>
      </c>
      <c r="AR718" s="20">
        <v>11859900</v>
      </c>
      <c r="AS718" s="20">
        <v>8599500</v>
      </c>
      <c r="AT718" s="20">
        <v>536400</v>
      </c>
      <c r="AU718" s="20">
        <v>816000</v>
      </c>
      <c r="AV718" s="20">
        <v>715600</v>
      </c>
      <c r="AW718" s="20">
        <v>1317600</v>
      </c>
      <c r="AX718" s="20">
        <v>2118000</v>
      </c>
      <c r="BH718" s="28">
        <v>14103100</v>
      </c>
      <c r="BI718" s="28">
        <v>37266000</v>
      </c>
    </row>
    <row r="719" spans="1:61" hidden="1" x14ac:dyDescent="0.3">
      <c r="A719" s="1" t="s">
        <v>739</v>
      </c>
      <c r="B719" s="1" t="s">
        <v>108</v>
      </c>
      <c r="C719" s="1" t="s">
        <v>1581</v>
      </c>
      <c r="D719" s="1" t="s">
        <v>1582</v>
      </c>
      <c r="E719" s="1" t="s">
        <v>1604</v>
      </c>
      <c r="F719" s="1" t="s">
        <v>573</v>
      </c>
      <c r="G719" s="1" t="s">
        <v>1605</v>
      </c>
      <c r="H719" s="1" t="s">
        <v>1604</v>
      </c>
      <c r="I719" s="1" t="s">
        <v>548</v>
      </c>
      <c r="J719" s="1" t="s">
        <v>229</v>
      </c>
      <c r="K719" s="1" t="s">
        <v>118</v>
      </c>
      <c r="L719" s="1" t="s">
        <v>103</v>
      </c>
      <c r="M719" s="20">
        <v>6390300</v>
      </c>
      <c r="N719" s="20">
        <v>2506800</v>
      </c>
      <c r="O719" s="20">
        <v>816000</v>
      </c>
      <c r="P719" s="20">
        <v>384800</v>
      </c>
      <c r="Q719" s="20">
        <v>1040400</v>
      </c>
      <c r="R719" s="20">
        <v>1882800</v>
      </c>
      <c r="AB719" s="20">
        <v>13021100</v>
      </c>
      <c r="AC719" s="20">
        <v>7593900</v>
      </c>
      <c r="AD719" s="20">
        <v>804600</v>
      </c>
      <c r="AE719" s="20">
        <v>816000</v>
      </c>
      <c r="AF719" s="20">
        <v>384800</v>
      </c>
      <c r="AG719" s="20">
        <v>1135800</v>
      </c>
      <c r="AH719" s="20">
        <v>1874400</v>
      </c>
      <c r="AR719" s="20">
        <v>12609500</v>
      </c>
      <c r="AS719" s="20">
        <v>9234750</v>
      </c>
      <c r="AT719" s="20">
        <v>2413800</v>
      </c>
      <c r="AU719" s="20">
        <v>612000</v>
      </c>
      <c r="AV719" s="20">
        <v>523200</v>
      </c>
      <c r="AW719" s="20">
        <v>1465200</v>
      </c>
      <c r="AX719" s="20">
        <v>1500000</v>
      </c>
      <c r="BH719" s="28">
        <v>15748950</v>
      </c>
      <c r="BI719" s="28">
        <v>41379550</v>
      </c>
    </row>
    <row r="720" spans="1:61" hidden="1" x14ac:dyDescent="0.3">
      <c r="A720" s="1" t="s">
        <v>739</v>
      </c>
      <c r="B720" s="1" t="s">
        <v>108</v>
      </c>
      <c r="C720" s="1" t="s">
        <v>1581</v>
      </c>
      <c r="D720" s="1" t="s">
        <v>1582</v>
      </c>
      <c r="E720" s="1" t="s">
        <v>1606</v>
      </c>
      <c r="F720" s="1" t="s">
        <v>573</v>
      </c>
      <c r="G720" s="1" t="s">
        <v>1607</v>
      </c>
      <c r="H720" s="1" t="s">
        <v>1606</v>
      </c>
      <c r="I720" s="1" t="s">
        <v>548</v>
      </c>
      <c r="J720" s="1" t="s">
        <v>229</v>
      </c>
      <c r="K720" s="1" t="s">
        <v>118</v>
      </c>
      <c r="L720" s="1" t="s">
        <v>103</v>
      </c>
      <c r="M720" s="20">
        <v>5541300</v>
      </c>
      <c r="N720" s="20">
        <v>1877400</v>
      </c>
      <c r="O720" s="20">
        <v>204000</v>
      </c>
      <c r="P720" s="20">
        <v>384800</v>
      </c>
      <c r="Q720" s="20">
        <v>477000</v>
      </c>
      <c r="R720" s="20">
        <v>856800</v>
      </c>
      <c r="AB720" s="20">
        <v>9341300</v>
      </c>
      <c r="AC720" s="20">
        <v>5871900</v>
      </c>
      <c r="AF720" s="20">
        <v>577200</v>
      </c>
      <c r="AG720" s="20">
        <v>658800</v>
      </c>
      <c r="AH720" s="20">
        <v>571200</v>
      </c>
      <c r="AR720" s="20">
        <v>7679100</v>
      </c>
      <c r="AS720" s="20">
        <v>6202500</v>
      </c>
      <c r="AT720" s="20">
        <v>804600</v>
      </c>
      <c r="AU720" s="20">
        <v>408000</v>
      </c>
      <c r="AW720" s="20">
        <v>849600</v>
      </c>
      <c r="AX720" s="20">
        <v>718800</v>
      </c>
      <c r="BH720" s="28">
        <v>8983500</v>
      </c>
      <c r="BI720" s="28">
        <v>26003900</v>
      </c>
    </row>
    <row r="721" spans="1:61" hidden="1" x14ac:dyDescent="0.3">
      <c r="A721" s="1" t="s">
        <v>739</v>
      </c>
      <c r="B721" s="1" t="s">
        <v>108</v>
      </c>
      <c r="C721" s="1" t="s">
        <v>1581</v>
      </c>
      <c r="D721" s="1" t="s">
        <v>1582</v>
      </c>
      <c r="E721" s="1" t="s">
        <v>1608</v>
      </c>
      <c r="F721" s="1" t="s">
        <v>573</v>
      </c>
      <c r="G721" s="1" t="s">
        <v>1609</v>
      </c>
      <c r="H721" s="1" t="s">
        <v>1608</v>
      </c>
      <c r="I721" s="1" t="s">
        <v>548</v>
      </c>
      <c r="J721" s="1" t="s">
        <v>229</v>
      </c>
      <c r="K721" s="1" t="s">
        <v>118</v>
      </c>
      <c r="L721" s="1" t="s">
        <v>103</v>
      </c>
      <c r="M721" s="20">
        <v>3867450</v>
      </c>
      <c r="N721" s="20">
        <v>717000</v>
      </c>
      <c r="O721" s="20">
        <v>408000</v>
      </c>
      <c r="Q721" s="20">
        <v>572400</v>
      </c>
      <c r="R721" s="20">
        <v>1380000</v>
      </c>
      <c r="AB721" s="20">
        <v>6944850</v>
      </c>
      <c r="AC721" s="20">
        <v>4442400</v>
      </c>
      <c r="AE721" s="20">
        <v>204000</v>
      </c>
      <c r="AF721" s="20">
        <v>192400</v>
      </c>
      <c r="AG721" s="20">
        <v>95400</v>
      </c>
      <c r="AH721" s="20">
        <v>780000</v>
      </c>
      <c r="AR721" s="20">
        <v>5714200</v>
      </c>
      <c r="AS721" s="20">
        <v>4618800</v>
      </c>
      <c r="AT721" s="20">
        <v>1341000</v>
      </c>
      <c r="AU721" s="20">
        <v>204000</v>
      </c>
      <c r="AV721" s="20">
        <v>523200</v>
      </c>
      <c r="AW721" s="20">
        <v>286200</v>
      </c>
      <c r="AX721" s="20">
        <v>1176000</v>
      </c>
      <c r="BH721" s="28">
        <v>8149200</v>
      </c>
      <c r="BI721" s="28">
        <v>20808250</v>
      </c>
    </row>
    <row r="722" spans="1:61" hidden="1" x14ac:dyDescent="0.3">
      <c r="A722" s="1" t="s">
        <v>739</v>
      </c>
      <c r="B722" s="1" t="s">
        <v>108</v>
      </c>
      <c r="C722" s="1" t="s">
        <v>1610</v>
      </c>
      <c r="D722" s="1" t="s">
        <v>1611</v>
      </c>
      <c r="E722" s="1" t="s">
        <v>1612</v>
      </c>
      <c r="F722" s="1" t="s">
        <v>573</v>
      </c>
      <c r="G722" s="1" t="s">
        <v>1613</v>
      </c>
      <c r="H722" s="1" t="s">
        <v>1612</v>
      </c>
      <c r="I722" s="1" t="s">
        <v>548</v>
      </c>
      <c r="J722" s="1" t="s">
        <v>229</v>
      </c>
      <c r="K722" s="1" t="s">
        <v>118</v>
      </c>
      <c r="L722" s="1" t="s">
        <v>103</v>
      </c>
      <c r="M722" s="20">
        <v>6484800</v>
      </c>
      <c r="N722" s="20">
        <v>268200</v>
      </c>
      <c r="O722" s="20">
        <v>408000</v>
      </c>
      <c r="P722" s="20">
        <v>577200</v>
      </c>
      <c r="Q722" s="20">
        <v>563400</v>
      </c>
      <c r="R722" s="20">
        <v>885600</v>
      </c>
      <c r="AB722" s="20">
        <v>9187200</v>
      </c>
      <c r="AC722" s="20">
        <v>5968500</v>
      </c>
      <c r="AD722" s="20">
        <v>692850</v>
      </c>
      <c r="AE722" s="20">
        <v>595000</v>
      </c>
      <c r="AG722" s="20">
        <v>1126800</v>
      </c>
      <c r="AH722" s="20">
        <v>1494000</v>
      </c>
      <c r="AR722" s="20">
        <v>9877150</v>
      </c>
      <c r="AS722" s="20">
        <v>7057050</v>
      </c>
      <c r="AT722" s="20">
        <v>536400</v>
      </c>
      <c r="AU722" s="20">
        <v>408000</v>
      </c>
      <c r="AV722" s="20">
        <v>2023600</v>
      </c>
      <c r="AW722" s="20">
        <v>1040400</v>
      </c>
      <c r="AX722" s="20">
        <v>1928400</v>
      </c>
      <c r="BH722" s="28">
        <v>12993850</v>
      </c>
      <c r="BI722" s="28">
        <v>32058200</v>
      </c>
    </row>
    <row r="723" spans="1:61" hidden="1" x14ac:dyDescent="0.3">
      <c r="A723" s="1" t="s">
        <v>739</v>
      </c>
      <c r="B723" s="1" t="s">
        <v>108</v>
      </c>
      <c r="C723" s="1" t="s">
        <v>1610</v>
      </c>
      <c r="D723" s="1" t="s">
        <v>1611</v>
      </c>
      <c r="E723" s="1" t="s">
        <v>1614</v>
      </c>
      <c r="F723" s="1" t="s">
        <v>573</v>
      </c>
      <c r="G723" s="1" t="s">
        <v>1615</v>
      </c>
      <c r="H723" s="1" t="s">
        <v>1614</v>
      </c>
      <c r="I723" s="1" t="s">
        <v>548</v>
      </c>
      <c r="J723" s="1" t="s">
        <v>229</v>
      </c>
      <c r="K723" s="1" t="s">
        <v>118</v>
      </c>
      <c r="L723" s="1" t="s">
        <v>103</v>
      </c>
      <c r="M723" s="20">
        <v>7157250</v>
      </c>
      <c r="N723" s="20">
        <v>268200</v>
      </c>
      <c r="O723" s="20">
        <v>204000</v>
      </c>
      <c r="P723" s="20">
        <v>192400</v>
      </c>
      <c r="Q723" s="20">
        <v>1083600</v>
      </c>
      <c r="R723" s="20">
        <v>3454800</v>
      </c>
      <c r="AB723" s="20">
        <v>12360250</v>
      </c>
      <c r="AC723" s="20">
        <v>4725600</v>
      </c>
      <c r="AD723" s="20">
        <v>717000</v>
      </c>
      <c r="AE723" s="20">
        <v>408000</v>
      </c>
      <c r="AF723" s="20">
        <v>192400</v>
      </c>
      <c r="AG723" s="20">
        <v>1603800</v>
      </c>
      <c r="AH723" s="20">
        <v>2751600</v>
      </c>
      <c r="AR723" s="20">
        <v>10398400</v>
      </c>
      <c r="AS723" s="20">
        <v>7847700</v>
      </c>
      <c r="AT723" s="20">
        <v>804600</v>
      </c>
      <c r="AU723" s="20">
        <v>204000</v>
      </c>
      <c r="AW723" s="20">
        <v>1092600</v>
      </c>
      <c r="AX723" s="20">
        <v>4255200</v>
      </c>
      <c r="BH723" s="28">
        <v>14204100</v>
      </c>
      <c r="BI723" s="28">
        <v>36962750</v>
      </c>
    </row>
    <row r="724" spans="1:61" hidden="1" x14ac:dyDescent="0.3">
      <c r="A724" s="1" t="s">
        <v>739</v>
      </c>
      <c r="B724" s="1" t="s">
        <v>108</v>
      </c>
      <c r="C724" s="1" t="s">
        <v>1610</v>
      </c>
      <c r="D724" s="1" t="s">
        <v>1611</v>
      </c>
      <c r="E724" s="1" t="s">
        <v>1616</v>
      </c>
      <c r="F724" s="1" t="s">
        <v>573</v>
      </c>
      <c r="G724" s="1" t="s">
        <v>1617</v>
      </c>
      <c r="H724" s="1" t="s">
        <v>1616</v>
      </c>
      <c r="I724" s="1" t="s">
        <v>548</v>
      </c>
      <c r="J724" s="1" t="s">
        <v>229</v>
      </c>
      <c r="K724" s="1" t="s">
        <v>118</v>
      </c>
      <c r="L724" s="1" t="s">
        <v>103</v>
      </c>
      <c r="M724" s="20">
        <v>1110150</v>
      </c>
      <c r="O724" s="20">
        <v>204000</v>
      </c>
      <c r="Q724" s="20">
        <v>286200</v>
      </c>
      <c r="R724" s="20">
        <v>285600</v>
      </c>
      <c r="AB724" s="20">
        <v>1885950</v>
      </c>
      <c r="AC724" s="20">
        <v>1335600</v>
      </c>
      <c r="AE724" s="20">
        <v>204000</v>
      </c>
      <c r="AG724" s="20">
        <v>572400</v>
      </c>
      <c r="AH724" s="20">
        <v>142800</v>
      </c>
      <c r="AR724" s="20">
        <v>2254800</v>
      </c>
      <c r="AS724" s="20">
        <v>2457000</v>
      </c>
      <c r="AV724" s="20">
        <v>523200</v>
      </c>
      <c r="AW724" s="20">
        <v>572400</v>
      </c>
      <c r="AX724" s="20">
        <v>290400</v>
      </c>
      <c r="BH724" s="28">
        <v>3843000</v>
      </c>
      <c r="BI724" s="28">
        <v>7983750</v>
      </c>
    </row>
    <row r="725" spans="1:61" hidden="1" x14ac:dyDescent="0.3">
      <c r="A725" s="1" t="s">
        <v>739</v>
      </c>
      <c r="B725" s="1" t="s">
        <v>108</v>
      </c>
      <c r="C725" s="1" t="s">
        <v>1610</v>
      </c>
      <c r="D725" s="1" t="s">
        <v>1611</v>
      </c>
      <c r="E725" s="1" t="s">
        <v>1618</v>
      </c>
      <c r="F725" s="1" t="s">
        <v>573</v>
      </c>
      <c r="G725" s="1" t="s">
        <v>1619</v>
      </c>
      <c r="H725" s="1" t="s">
        <v>1618</v>
      </c>
      <c r="I725" s="1" t="s">
        <v>548</v>
      </c>
      <c r="J725" s="1" t="s">
        <v>229</v>
      </c>
      <c r="K725" s="1" t="s">
        <v>118</v>
      </c>
      <c r="L725" s="1" t="s">
        <v>103</v>
      </c>
      <c r="M725" s="20">
        <v>4687650</v>
      </c>
      <c r="N725" s="20">
        <v>804600</v>
      </c>
      <c r="O725" s="20">
        <v>612000</v>
      </c>
      <c r="Q725" s="20">
        <v>1594800</v>
      </c>
      <c r="R725" s="20">
        <v>1980000</v>
      </c>
      <c r="AB725" s="20">
        <v>9679050</v>
      </c>
      <c r="AC725" s="20">
        <v>5122050</v>
      </c>
      <c r="AE725" s="20">
        <v>612000</v>
      </c>
      <c r="AF725" s="20">
        <v>192400</v>
      </c>
      <c r="AG725" s="20">
        <v>1092600</v>
      </c>
      <c r="AH725" s="20">
        <v>2797200</v>
      </c>
      <c r="AR725" s="20">
        <v>9816250</v>
      </c>
      <c r="AS725" s="20">
        <v>6310950</v>
      </c>
      <c r="AT725" s="20">
        <v>717000</v>
      </c>
      <c r="AU725" s="20">
        <v>204000</v>
      </c>
      <c r="AV725" s="20">
        <v>784800</v>
      </c>
      <c r="AW725" s="20">
        <v>1612800</v>
      </c>
      <c r="AX725" s="20">
        <v>1776000</v>
      </c>
      <c r="BH725" s="28">
        <v>11405550</v>
      </c>
      <c r="BI725" s="28">
        <v>30900850</v>
      </c>
    </row>
    <row r="726" spans="1:61" hidden="1" x14ac:dyDescent="0.3">
      <c r="A726" s="1" t="s">
        <v>739</v>
      </c>
      <c r="B726" s="1" t="s">
        <v>108</v>
      </c>
      <c r="C726" s="1" t="s">
        <v>1610</v>
      </c>
      <c r="D726" s="1" t="s">
        <v>1611</v>
      </c>
      <c r="E726" s="1" t="s">
        <v>1620</v>
      </c>
      <c r="F726" s="1" t="s">
        <v>573</v>
      </c>
      <c r="G726" s="1" t="s">
        <v>1621</v>
      </c>
      <c r="H726" s="1" t="s">
        <v>1620</v>
      </c>
      <c r="I726" s="1" t="s">
        <v>548</v>
      </c>
      <c r="J726" s="1" t="s">
        <v>229</v>
      </c>
      <c r="K726" s="1" t="s">
        <v>118</v>
      </c>
      <c r="L726" s="1" t="s">
        <v>103</v>
      </c>
      <c r="M726" s="20">
        <v>2810100</v>
      </c>
      <c r="N726" s="20">
        <v>804600</v>
      </c>
      <c r="O726" s="20">
        <v>816000</v>
      </c>
      <c r="Q726" s="20">
        <v>945000</v>
      </c>
      <c r="R726" s="20">
        <v>1094400</v>
      </c>
      <c r="AB726" s="20">
        <v>6470100</v>
      </c>
      <c r="AC726" s="20">
        <v>3497850</v>
      </c>
      <c r="AD726" s="20">
        <v>268200</v>
      </c>
      <c r="AG726" s="20">
        <v>945000</v>
      </c>
      <c r="AH726" s="20">
        <v>1686000</v>
      </c>
      <c r="AR726" s="20">
        <v>6397050</v>
      </c>
      <c r="AS726" s="20">
        <v>6641700</v>
      </c>
      <c r="AT726" s="20">
        <v>536400</v>
      </c>
      <c r="AU726" s="20">
        <v>408000</v>
      </c>
      <c r="AV726" s="20">
        <v>1046400</v>
      </c>
      <c r="AW726" s="20">
        <v>1040400</v>
      </c>
      <c r="AX726" s="20">
        <v>1719600</v>
      </c>
      <c r="BH726" s="28">
        <v>11392500</v>
      </c>
      <c r="BI726" s="28">
        <v>24259650</v>
      </c>
    </row>
    <row r="727" spans="1:61" hidden="1" x14ac:dyDescent="0.3">
      <c r="A727" s="1" t="s">
        <v>739</v>
      </c>
      <c r="B727" s="1" t="s">
        <v>108</v>
      </c>
      <c r="C727" s="1" t="s">
        <v>1610</v>
      </c>
      <c r="D727" s="1" t="s">
        <v>1611</v>
      </c>
      <c r="E727" s="1" t="s">
        <v>1622</v>
      </c>
      <c r="F727" s="1" t="s">
        <v>573</v>
      </c>
      <c r="G727" s="1" t="s">
        <v>1623</v>
      </c>
      <c r="H727" s="1" t="s">
        <v>1622</v>
      </c>
      <c r="I727" s="1" t="s">
        <v>548</v>
      </c>
      <c r="J727" s="1" t="s">
        <v>229</v>
      </c>
      <c r="K727" s="1" t="s">
        <v>118</v>
      </c>
      <c r="L727" s="1" t="s">
        <v>103</v>
      </c>
      <c r="M727" s="20">
        <v>4684500</v>
      </c>
      <c r="O727" s="20">
        <v>408000</v>
      </c>
      <c r="Q727" s="20">
        <v>763200</v>
      </c>
      <c r="R727" s="20">
        <v>1142400</v>
      </c>
      <c r="AB727" s="20">
        <v>6998100</v>
      </c>
      <c r="AC727" s="20">
        <v>3137700</v>
      </c>
      <c r="AE727" s="20">
        <v>408000</v>
      </c>
      <c r="AG727" s="20">
        <v>1092600</v>
      </c>
      <c r="AH727" s="20">
        <v>856800</v>
      </c>
      <c r="AR727" s="20">
        <v>5495100</v>
      </c>
      <c r="AS727" s="20">
        <v>5584800</v>
      </c>
      <c r="AT727" s="20">
        <v>715200</v>
      </c>
      <c r="AV727" s="20">
        <v>1238800</v>
      </c>
      <c r="AW727" s="20">
        <v>901800</v>
      </c>
      <c r="AX727" s="20">
        <v>1666800</v>
      </c>
      <c r="BH727" s="28">
        <v>10107400</v>
      </c>
      <c r="BI727" s="28">
        <v>22600600</v>
      </c>
    </row>
    <row r="728" spans="1:61" hidden="1" x14ac:dyDescent="0.3">
      <c r="A728" s="1" t="s">
        <v>739</v>
      </c>
      <c r="B728" s="1" t="s">
        <v>108</v>
      </c>
      <c r="C728" s="1" t="s">
        <v>1610</v>
      </c>
      <c r="D728" s="1" t="s">
        <v>1611</v>
      </c>
      <c r="E728" s="1" t="s">
        <v>1624</v>
      </c>
      <c r="F728" s="1" t="s">
        <v>573</v>
      </c>
      <c r="G728" s="1" t="s">
        <v>1625</v>
      </c>
      <c r="H728" s="1" t="s">
        <v>1624</v>
      </c>
      <c r="I728" s="1" t="s">
        <v>548</v>
      </c>
      <c r="J728" s="1" t="s">
        <v>229</v>
      </c>
      <c r="K728" s="1" t="s">
        <v>118</v>
      </c>
      <c r="L728" s="1" t="s">
        <v>103</v>
      </c>
      <c r="M728" s="20">
        <v>4542900</v>
      </c>
      <c r="N728" s="20">
        <v>1072800</v>
      </c>
      <c r="O728" s="20">
        <v>204000</v>
      </c>
      <c r="P728" s="20">
        <v>384800</v>
      </c>
      <c r="Q728" s="20">
        <v>997200</v>
      </c>
      <c r="R728" s="20">
        <v>2845200</v>
      </c>
      <c r="AB728" s="20">
        <v>10046900</v>
      </c>
      <c r="AC728" s="20">
        <v>4739550</v>
      </c>
      <c r="AD728" s="20">
        <v>804600</v>
      </c>
      <c r="AE728" s="20">
        <v>612000</v>
      </c>
      <c r="AF728" s="20">
        <v>192400</v>
      </c>
      <c r="AG728" s="20">
        <v>1083600</v>
      </c>
      <c r="AH728" s="20">
        <v>1702800</v>
      </c>
      <c r="AR728" s="20">
        <v>9134950</v>
      </c>
      <c r="AS728" s="20">
        <v>7311300</v>
      </c>
      <c r="AT728" s="20">
        <v>2326200</v>
      </c>
      <c r="AU728" s="20">
        <v>204000</v>
      </c>
      <c r="AV728" s="20">
        <v>1831200</v>
      </c>
      <c r="AW728" s="20">
        <v>954000</v>
      </c>
      <c r="AX728" s="20">
        <v>2241600</v>
      </c>
      <c r="BH728" s="28">
        <v>14868300</v>
      </c>
      <c r="BI728" s="28">
        <v>34050150</v>
      </c>
    </row>
    <row r="729" spans="1:61" hidden="1" x14ac:dyDescent="0.3">
      <c r="A729" s="1" t="s">
        <v>739</v>
      </c>
      <c r="B729" s="1" t="s">
        <v>108</v>
      </c>
      <c r="C729" s="1" t="s">
        <v>1610</v>
      </c>
      <c r="D729" s="1" t="s">
        <v>1611</v>
      </c>
      <c r="E729" s="1" t="s">
        <v>1626</v>
      </c>
      <c r="F729" s="1" t="s">
        <v>573</v>
      </c>
      <c r="G729" s="1" t="s">
        <v>1627</v>
      </c>
      <c r="H729" s="1" t="s">
        <v>1626</v>
      </c>
      <c r="I729" s="1" t="s">
        <v>548</v>
      </c>
      <c r="J729" s="1" t="s">
        <v>229</v>
      </c>
      <c r="K729" s="1" t="s">
        <v>118</v>
      </c>
      <c r="L729" s="1" t="s">
        <v>103</v>
      </c>
      <c r="M729" s="20">
        <v>3509400</v>
      </c>
      <c r="N729" s="20">
        <v>536400</v>
      </c>
      <c r="O729" s="20">
        <v>204000</v>
      </c>
      <c r="P729" s="20">
        <v>192400</v>
      </c>
      <c r="Q729" s="20">
        <v>1222200</v>
      </c>
      <c r="R729" s="20">
        <v>1028400</v>
      </c>
      <c r="AB729" s="20">
        <v>6692800</v>
      </c>
      <c r="AC729" s="20">
        <v>2500500</v>
      </c>
      <c r="AD729" s="20">
        <v>804600</v>
      </c>
      <c r="AE729" s="20">
        <v>204000</v>
      </c>
      <c r="AF729" s="20">
        <v>192400</v>
      </c>
      <c r="AG729" s="20">
        <v>849600</v>
      </c>
      <c r="AH729" s="20">
        <v>1560000</v>
      </c>
      <c r="AR729" s="20">
        <v>6111100</v>
      </c>
      <c r="AS729" s="20">
        <v>4123050</v>
      </c>
      <c r="AT729" s="20">
        <v>804600</v>
      </c>
      <c r="AV729" s="20">
        <v>2808400</v>
      </c>
      <c r="AW729" s="20">
        <v>520200</v>
      </c>
      <c r="AX729" s="20">
        <v>1356000</v>
      </c>
      <c r="BH729" s="28">
        <v>9612250</v>
      </c>
      <c r="BI729" s="28">
        <v>22416150</v>
      </c>
    </row>
    <row r="730" spans="1:61" hidden="1" x14ac:dyDescent="0.3">
      <c r="A730" s="1" t="s">
        <v>739</v>
      </c>
      <c r="B730" s="1" t="s">
        <v>108</v>
      </c>
      <c r="C730" s="1" t="s">
        <v>1610</v>
      </c>
      <c r="D730" s="1" t="s">
        <v>1611</v>
      </c>
      <c r="E730" s="1" t="s">
        <v>1628</v>
      </c>
      <c r="F730" s="1" t="s">
        <v>573</v>
      </c>
      <c r="G730" s="1" t="s">
        <v>1629</v>
      </c>
      <c r="H730" s="1" t="s">
        <v>1628</v>
      </c>
      <c r="I730" s="1" t="s">
        <v>548</v>
      </c>
      <c r="J730" s="1" t="s">
        <v>229</v>
      </c>
      <c r="K730" s="1" t="s">
        <v>118</v>
      </c>
      <c r="L730" s="1" t="s">
        <v>103</v>
      </c>
      <c r="M730" s="20">
        <v>2398650</v>
      </c>
      <c r="N730" s="20">
        <v>536400</v>
      </c>
      <c r="O730" s="20">
        <v>612000</v>
      </c>
      <c r="Q730" s="20">
        <v>468000</v>
      </c>
      <c r="R730" s="20">
        <v>1702800</v>
      </c>
      <c r="AB730" s="20">
        <v>5717850</v>
      </c>
      <c r="AC730" s="20">
        <v>2245800</v>
      </c>
      <c r="AD730" s="20">
        <v>448800</v>
      </c>
      <c r="AE730" s="20">
        <v>408000</v>
      </c>
      <c r="AG730" s="20">
        <v>520200</v>
      </c>
      <c r="AH730" s="20">
        <v>1380000</v>
      </c>
      <c r="AR730" s="20">
        <v>5002800</v>
      </c>
      <c r="AS730" s="20">
        <v>5475600</v>
      </c>
      <c r="AV730" s="20">
        <v>1569600</v>
      </c>
      <c r="AW730" s="20">
        <v>286200</v>
      </c>
      <c r="AX730" s="20">
        <v>1437600</v>
      </c>
      <c r="BH730" s="28">
        <v>8769000</v>
      </c>
      <c r="BI730" s="28">
        <v>19489650</v>
      </c>
    </row>
    <row r="731" spans="1:61" hidden="1" x14ac:dyDescent="0.3">
      <c r="A731" s="1" t="s">
        <v>739</v>
      </c>
      <c r="B731" s="1" t="s">
        <v>108</v>
      </c>
      <c r="C731" s="1" t="s">
        <v>1610</v>
      </c>
      <c r="D731" s="1" t="s">
        <v>1611</v>
      </c>
      <c r="E731" s="1" t="s">
        <v>1630</v>
      </c>
      <c r="F731" s="1" t="s">
        <v>573</v>
      </c>
      <c r="G731" s="1" t="s">
        <v>1631</v>
      </c>
      <c r="H731" s="1" t="s">
        <v>1630</v>
      </c>
      <c r="I731" s="1" t="s">
        <v>548</v>
      </c>
      <c r="J731" s="1" t="s">
        <v>229</v>
      </c>
      <c r="K731" s="1" t="s">
        <v>118</v>
      </c>
      <c r="L731" s="1" t="s">
        <v>103</v>
      </c>
      <c r="M731" s="20">
        <v>3827850</v>
      </c>
      <c r="N731" s="20">
        <v>268200</v>
      </c>
      <c r="O731" s="20">
        <v>408000</v>
      </c>
      <c r="P731" s="20">
        <v>384800</v>
      </c>
      <c r="Q731" s="20">
        <v>849600</v>
      </c>
      <c r="R731" s="20">
        <v>1359600</v>
      </c>
      <c r="AB731" s="20">
        <v>7098050</v>
      </c>
      <c r="AC731" s="20">
        <v>2118600</v>
      </c>
      <c r="AD731" s="20">
        <v>268200</v>
      </c>
      <c r="AE731" s="20">
        <v>204000</v>
      </c>
      <c r="AG731" s="20">
        <v>658800</v>
      </c>
      <c r="AH731" s="20">
        <v>1111200</v>
      </c>
      <c r="AR731" s="20">
        <v>4360800</v>
      </c>
      <c r="AS731" s="20">
        <v>4536150</v>
      </c>
      <c r="AT731" s="20">
        <v>536400</v>
      </c>
      <c r="AU731" s="20">
        <v>204000</v>
      </c>
      <c r="AV731" s="20">
        <v>1046400</v>
      </c>
      <c r="AW731" s="20">
        <v>763200</v>
      </c>
      <c r="AX731" s="20">
        <v>1356000</v>
      </c>
      <c r="BH731" s="28">
        <v>8442150</v>
      </c>
      <c r="BI731" s="28">
        <v>19901000</v>
      </c>
    </row>
    <row r="732" spans="1:61" hidden="1" x14ac:dyDescent="0.3">
      <c r="A732" s="1" t="s">
        <v>739</v>
      </c>
      <c r="B732" s="1" t="s">
        <v>108</v>
      </c>
      <c r="C732" s="1" t="s">
        <v>1610</v>
      </c>
      <c r="D732" s="1" t="s">
        <v>1611</v>
      </c>
      <c r="E732" s="1" t="s">
        <v>1632</v>
      </c>
      <c r="F732" s="1" t="s">
        <v>573</v>
      </c>
      <c r="G732" s="1" t="s">
        <v>1633</v>
      </c>
      <c r="H732" s="1" t="s">
        <v>1632</v>
      </c>
      <c r="I732" s="1" t="s">
        <v>548</v>
      </c>
      <c r="J732" s="1" t="s">
        <v>229</v>
      </c>
      <c r="K732" s="1" t="s">
        <v>118</v>
      </c>
      <c r="L732" s="1" t="s">
        <v>103</v>
      </c>
      <c r="M732" s="20">
        <v>3810000</v>
      </c>
      <c r="N732" s="20">
        <v>268200</v>
      </c>
      <c r="O732" s="20">
        <v>612000</v>
      </c>
      <c r="Q732" s="20">
        <v>520200</v>
      </c>
      <c r="R732" s="20">
        <v>3054000</v>
      </c>
      <c r="AB732" s="20">
        <v>8264400</v>
      </c>
      <c r="AC732" s="20">
        <v>6404700</v>
      </c>
      <c r="AD732" s="20">
        <v>268200</v>
      </c>
      <c r="AE732" s="20">
        <v>612000</v>
      </c>
      <c r="AG732" s="20">
        <v>945000</v>
      </c>
      <c r="AH732" s="20">
        <v>3571200</v>
      </c>
      <c r="AR732" s="20">
        <v>11801100</v>
      </c>
      <c r="AS732" s="20">
        <v>6377100</v>
      </c>
      <c r="AT732" s="20">
        <v>1072800</v>
      </c>
      <c r="AV732" s="20">
        <v>1308000</v>
      </c>
      <c r="AW732" s="20">
        <v>667800</v>
      </c>
      <c r="AX732" s="20">
        <v>3866400</v>
      </c>
      <c r="BH732" s="28">
        <v>13292100</v>
      </c>
      <c r="BI732" s="28">
        <v>33357600</v>
      </c>
    </row>
    <row r="733" spans="1:61" hidden="1" x14ac:dyDescent="0.3">
      <c r="A733" s="1" t="s">
        <v>739</v>
      </c>
      <c r="B733" s="1" t="s">
        <v>108</v>
      </c>
      <c r="C733" s="1" t="s">
        <v>1610</v>
      </c>
      <c r="D733" s="1" t="s">
        <v>1611</v>
      </c>
      <c r="E733" s="1" t="s">
        <v>1634</v>
      </c>
      <c r="F733" s="1" t="s">
        <v>573</v>
      </c>
      <c r="G733" s="1" t="s">
        <v>1635</v>
      </c>
      <c r="H733" s="1" t="s">
        <v>1634</v>
      </c>
      <c r="I733" s="1" t="s">
        <v>548</v>
      </c>
      <c r="J733" s="1" t="s">
        <v>229</v>
      </c>
      <c r="K733" s="1" t="s">
        <v>118</v>
      </c>
      <c r="L733" s="1" t="s">
        <v>103</v>
      </c>
      <c r="M733" s="20">
        <v>4168800</v>
      </c>
      <c r="N733" s="20">
        <v>268200</v>
      </c>
      <c r="O733" s="20">
        <v>408000</v>
      </c>
      <c r="P733" s="20">
        <v>384800</v>
      </c>
      <c r="Q733" s="20">
        <v>615600</v>
      </c>
      <c r="R733" s="20">
        <v>1599600</v>
      </c>
      <c r="AB733" s="20">
        <v>7445000</v>
      </c>
      <c r="AC733" s="20">
        <v>3379350</v>
      </c>
      <c r="AD733" s="20">
        <v>536400</v>
      </c>
      <c r="AE733" s="20">
        <v>204000</v>
      </c>
      <c r="AG733" s="20">
        <v>615600</v>
      </c>
      <c r="AH733" s="20">
        <v>1522800</v>
      </c>
      <c r="AR733" s="20">
        <v>6258150</v>
      </c>
      <c r="AS733" s="20">
        <v>7369200</v>
      </c>
      <c r="AT733" s="20">
        <v>804600</v>
      </c>
      <c r="AU733" s="20">
        <v>612000</v>
      </c>
      <c r="AV733" s="20">
        <v>1046400</v>
      </c>
      <c r="AW733" s="20">
        <v>572400</v>
      </c>
      <c r="AX733" s="20">
        <v>1784400</v>
      </c>
      <c r="BH733" s="28">
        <v>12189000</v>
      </c>
      <c r="BI733" s="28">
        <v>25892150</v>
      </c>
    </row>
    <row r="734" spans="1:61" hidden="1" x14ac:dyDescent="0.3">
      <c r="A734" s="1" t="s">
        <v>739</v>
      </c>
      <c r="B734" s="1" t="s">
        <v>108</v>
      </c>
      <c r="C734" s="1" t="s">
        <v>1610</v>
      </c>
      <c r="D734" s="1" t="s">
        <v>1611</v>
      </c>
      <c r="E734" s="1" t="s">
        <v>1636</v>
      </c>
      <c r="F734" s="1" t="s">
        <v>573</v>
      </c>
      <c r="G734" s="1" t="s">
        <v>1637</v>
      </c>
      <c r="H734" s="1" t="s">
        <v>1636</v>
      </c>
      <c r="I734" s="1" t="s">
        <v>548</v>
      </c>
      <c r="J734" s="1" t="s">
        <v>229</v>
      </c>
      <c r="K734" s="1" t="s">
        <v>118</v>
      </c>
      <c r="L734" s="1" t="s">
        <v>103</v>
      </c>
      <c r="M734" s="20">
        <v>6188400</v>
      </c>
      <c r="N734" s="20">
        <v>985200</v>
      </c>
      <c r="O734" s="20">
        <v>612000</v>
      </c>
      <c r="Q734" s="20">
        <v>1474200</v>
      </c>
      <c r="R734" s="20">
        <v>1882800</v>
      </c>
      <c r="AB734" s="20">
        <v>11142600</v>
      </c>
      <c r="AC734" s="20">
        <v>5754600</v>
      </c>
      <c r="AD734" s="20">
        <v>448800</v>
      </c>
      <c r="AE734" s="20">
        <v>1020000</v>
      </c>
      <c r="AG734" s="20">
        <v>1942200</v>
      </c>
      <c r="AH734" s="20">
        <v>1911600</v>
      </c>
      <c r="AR734" s="20">
        <v>11077200</v>
      </c>
      <c r="AS734" s="20">
        <v>4768800</v>
      </c>
      <c r="AT734" s="20">
        <v>1341000</v>
      </c>
      <c r="AU734" s="20">
        <v>612000</v>
      </c>
      <c r="AV734" s="20">
        <v>977200</v>
      </c>
      <c r="AW734" s="20">
        <v>1092600</v>
      </c>
      <c r="AX734" s="20">
        <v>1070400</v>
      </c>
      <c r="BH734" s="28">
        <v>9862000</v>
      </c>
      <c r="BI734" s="28">
        <v>32081800</v>
      </c>
    </row>
    <row r="735" spans="1:61" hidden="1" x14ac:dyDescent="0.3">
      <c r="A735" s="1" t="s">
        <v>739</v>
      </c>
      <c r="B735" s="1" t="s">
        <v>108</v>
      </c>
      <c r="C735" s="1" t="s">
        <v>1610</v>
      </c>
      <c r="D735" s="1" t="s">
        <v>1611</v>
      </c>
      <c r="E735" s="1" t="s">
        <v>1638</v>
      </c>
      <c r="F735" s="1" t="s">
        <v>573</v>
      </c>
      <c r="G735" s="1" t="s">
        <v>1639</v>
      </c>
      <c r="H735" s="1" t="s">
        <v>1638</v>
      </c>
      <c r="I735" s="1" t="s">
        <v>548</v>
      </c>
      <c r="J735" s="1" t="s">
        <v>229</v>
      </c>
      <c r="K735" s="1" t="s">
        <v>118</v>
      </c>
      <c r="L735" s="1" t="s">
        <v>103</v>
      </c>
      <c r="M735" s="20">
        <v>4356600</v>
      </c>
      <c r="N735" s="20">
        <v>985200</v>
      </c>
      <c r="O735" s="20">
        <v>408000</v>
      </c>
      <c r="Q735" s="20">
        <v>901800</v>
      </c>
      <c r="R735" s="20">
        <v>1800000</v>
      </c>
      <c r="AB735" s="20">
        <v>8451600</v>
      </c>
      <c r="AC735" s="20">
        <v>3510750</v>
      </c>
      <c r="AG735" s="20">
        <v>1326600</v>
      </c>
      <c r="AH735" s="20">
        <v>1800000</v>
      </c>
      <c r="AR735" s="20">
        <v>6637350</v>
      </c>
      <c r="AS735" s="20">
        <v>4669800</v>
      </c>
      <c r="AU735" s="20">
        <v>204000</v>
      </c>
      <c r="AW735" s="20">
        <v>754200</v>
      </c>
      <c r="AX735" s="20">
        <v>1347600</v>
      </c>
      <c r="BH735" s="28">
        <v>6975600</v>
      </c>
      <c r="BI735" s="28">
        <v>22064550</v>
      </c>
    </row>
    <row r="736" spans="1:61" hidden="1" x14ac:dyDescent="0.3">
      <c r="A736" s="1" t="s">
        <v>739</v>
      </c>
      <c r="B736" s="1" t="s">
        <v>108</v>
      </c>
      <c r="C736" s="1" t="s">
        <v>1610</v>
      </c>
      <c r="D736" s="1" t="s">
        <v>1611</v>
      </c>
      <c r="E736" s="1" t="s">
        <v>1640</v>
      </c>
      <c r="F736" s="1" t="s">
        <v>573</v>
      </c>
      <c r="G736" s="1" t="s">
        <v>1641</v>
      </c>
      <c r="H736" s="1" t="s">
        <v>1640</v>
      </c>
      <c r="I736" s="1" t="s">
        <v>548</v>
      </c>
      <c r="J736" s="1" t="s">
        <v>229</v>
      </c>
      <c r="K736" s="1" t="s">
        <v>118</v>
      </c>
      <c r="L736" s="1" t="s">
        <v>103</v>
      </c>
      <c r="M736" s="20">
        <v>3503850</v>
      </c>
      <c r="O736" s="20">
        <v>204000</v>
      </c>
      <c r="Q736" s="20">
        <v>945000</v>
      </c>
      <c r="R736" s="20">
        <v>1074000</v>
      </c>
      <c r="AB736" s="20">
        <v>5726850</v>
      </c>
      <c r="AC736" s="20">
        <v>2977200</v>
      </c>
      <c r="AE736" s="20">
        <v>612000</v>
      </c>
      <c r="AG736" s="20">
        <v>1369800</v>
      </c>
      <c r="AH736" s="20">
        <v>1036800</v>
      </c>
      <c r="AR736" s="20">
        <v>5995800</v>
      </c>
      <c r="AS736" s="20">
        <v>2578050</v>
      </c>
      <c r="AV736" s="20">
        <v>2877600</v>
      </c>
      <c r="AW736" s="20">
        <v>1135800</v>
      </c>
      <c r="AX736" s="20">
        <v>1327200</v>
      </c>
      <c r="BH736" s="28">
        <v>7918650</v>
      </c>
      <c r="BI736" s="28">
        <v>19641300</v>
      </c>
    </row>
    <row r="737" spans="1:61" hidden="1" x14ac:dyDescent="0.3">
      <c r="A737" s="1" t="s">
        <v>739</v>
      </c>
      <c r="B737" s="1" t="s">
        <v>108</v>
      </c>
      <c r="C737" s="1" t="s">
        <v>1610</v>
      </c>
      <c r="D737" s="1" t="s">
        <v>1611</v>
      </c>
      <c r="E737" s="1" t="s">
        <v>1642</v>
      </c>
      <c r="F737" s="1" t="s">
        <v>573</v>
      </c>
      <c r="G737" s="1" t="s">
        <v>1643</v>
      </c>
      <c r="H737" s="1" t="s">
        <v>1642</v>
      </c>
      <c r="I737" s="1" t="s">
        <v>548</v>
      </c>
      <c r="J737" s="1" t="s">
        <v>229</v>
      </c>
      <c r="K737" s="1" t="s">
        <v>118</v>
      </c>
      <c r="L737" s="1" t="s">
        <v>103</v>
      </c>
      <c r="M737" s="20">
        <v>3628200</v>
      </c>
      <c r="N737" s="20">
        <v>536400</v>
      </c>
      <c r="P737" s="20">
        <v>192400</v>
      </c>
      <c r="Q737" s="20">
        <v>615600</v>
      </c>
      <c r="R737" s="20">
        <v>2350800</v>
      </c>
      <c r="AB737" s="20">
        <v>7323400</v>
      </c>
      <c r="AC737" s="20">
        <v>3257400</v>
      </c>
      <c r="AD737" s="20">
        <v>1253400</v>
      </c>
      <c r="AE737" s="20">
        <v>612000</v>
      </c>
      <c r="AG737" s="20">
        <v>1083600</v>
      </c>
      <c r="AH737" s="20">
        <v>1988400</v>
      </c>
      <c r="AR737" s="20">
        <v>8194800</v>
      </c>
      <c r="AS737" s="20">
        <v>5198400</v>
      </c>
      <c r="AT737" s="20">
        <v>536400</v>
      </c>
      <c r="AV737" s="20">
        <v>1046400</v>
      </c>
      <c r="AW737" s="20">
        <v>477000</v>
      </c>
      <c r="AX737" s="20">
        <v>2841600</v>
      </c>
      <c r="BH737" s="28">
        <v>10099800</v>
      </c>
      <c r="BI737" s="28">
        <v>25618000</v>
      </c>
    </row>
    <row r="738" spans="1:61" hidden="1" x14ac:dyDescent="0.3">
      <c r="A738" s="1" t="s">
        <v>739</v>
      </c>
      <c r="B738" s="1" t="s">
        <v>108</v>
      </c>
      <c r="C738" s="1" t="s">
        <v>1610</v>
      </c>
      <c r="D738" s="1" t="s">
        <v>1611</v>
      </c>
      <c r="E738" s="1" t="s">
        <v>1644</v>
      </c>
      <c r="F738" s="1" t="s">
        <v>573</v>
      </c>
      <c r="G738" s="1" t="s">
        <v>1645</v>
      </c>
      <c r="H738" s="1" t="s">
        <v>1644</v>
      </c>
      <c r="I738" s="1" t="s">
        <v>548</v>
      </c>
      <c r="J738" s="1" t="s">
        <v>229</v>
      </c>
      <c r="K738" s="1" t="s">
        <v>118</v>
      </c>
      <c r="L738" s="1" t="s">
        <v>103</v>
      </c>
      <c r="M738" s="20">
        <v>5476200</v>
      </c>
      <c r="N738" s="20">
        <v>717000</v>
      </c>
      <c r="O738" s="20">
        <v>408000</v>
      </c>
      <c r="Q738" s="20">
        <v>901800</v>
      </c>
      <c r="R738" s="20">
        <v>2902800</v>
      </c>
      <c r="AB738" s="20">
        <v>10405800</v>
      </c>
      <c r="AC738" s="20">
        <v>5647650</v>
      </c>
      <c r="AD738" s="20">
        <v>536400</v>
      </c>
      <c r="AE738" s="20">
        <v>612000</v>
      </c>
      <c r="AG738" s="20">
        <v>797400</v>
      </c>
      <c r="AH738" s="20">
        <v>1694400</v>
      </c>
      <c r="AR738" s="20">
        <v>9287850</v>
      </c>
      <c r="AS738" s="20">
        <v>6471750</v>
      </c>
      <c r="AT738" s="20">
        <v>536400</v>
      </c>
      <c r="AU738" s="20">
        <v>204000</v>
      </c>
      <c r="AV738" s="20">
        <v>2616000</v>
      </c>
      <c r="AW738" s="20">
        <v>1135800</v>
      </c>
      <c r="AX738" s="20">
        <v>2664000</v>
      </c>
      <c r="BH738" s="28">
        <v>13627950</v>
      </c>
      <c r="BI738" s="28">
        <v>33321600</v>
      </c>
    </row>
    <row r="739" spans="1:61" hidden="1" x14ac:dyDescent="0.3">
      <c r="A739" s="1" t="s">
        <v>739</v>
      </c>
      <c r="B739" s="1" t="s">
        <v>108</v>
      </c>
      <c r="C739" s="1" t="s">
        <v>1610</v>
      </c>
      <c r="D739" s="1" t="s">
        <v>1611</v>
      </c>
      <c r="E739" s="1" t="s">
        <v>1646</v>
      </c>
      <c r="F739" s="1" t="s">
        <v>573</v>
      </c>
      <c r="G739" s="1" t="s">
        <v>1647</v>
      </c>
      <c r="H739" s="1" t="s">
        <v>1646</v>
      </c>
      <c r="I739" s="1" t="s">
        <v>548</v>
      </c>
      <c r="J739" s="1" t="s">
        <v>229</v>
      </c>
      <c r="K739" s="1" t="s">
        <v>118</v>
      </c>
      <c r="L739" s="1" t="s">
        <v>103</v>
      </c>
      <c r="M739" s="20">
        <v>7124700</v>
      </c>
      <c r="N739" s="20">
        <v>804600</v>
      </c>
      <c r="O739" s="20">
        <v>612000</v>
      </c>
      <c r="Q739" s="20">
        <v>849600</v>
      </c>
      <c r="R739" s="20">
        <v>3217200</v>
      </c>
      <c r="AB739" s="20">
        <v>12608100</v>
      </c>
      <c r="AC739" s="20">
        <v>6663450</v>
      </c>
      <c r="AD739" s="20">
        <v>536400</v>
      </c>
      <c r="AE739" s="20">
        <v>816000</v>
      </c>
      <c r="AG739" s="20">
        <v>988200</v>
      </c>
      <c r="AH739" s="20">
        <v>3540000</v>
      </c>
      <c r="AR739" s="20">
        <v>12544050</v>
      </c>
      <c r="AS739" s="20">
        <v>7331850</v>
      </c>
      <c r="AT739" s="20">
        <v>804600</v>
      </c>
      <c r="AU739" s="20">
        <v>408000</v>
      </c>
      <c r="AV739" s="20">
        <v>1831200</v>
      </c>
      <c r="AW739" s="20">
        <v>763200</v>
      </c>
      <c r="AX739" s="20">
        <v>3679200</v>
      </c>
      <c r="BH739" s="28">
        <v>14818050</v>
      </c>
      <c r="BI739" s="28">
        <v>39970200</v>
      </c>
    </row>
    <row r="740" spans="1:61" hidden="1" x14ac:dyDescent="0.3">
      <c r="A740" s="1" t="s">
        <v>739</v>
      </c>
      <c r="B740" s="1" t="s">
        <v>108</v>
      </c>
      <c r="C740" s="1" t="s">
        <v>1610</v>
      </c>
      <c r="D740" s="1" t="s">
        <v>1611</v>
      </c>
      <c r="E740" s="1" t="s">
        <v>1648</v>
      </c>
      <c r="F740" s="1" t="s">
        <v>573</v>
      </c>
      <c r="G740" s="1" t="s">
        <v>1649</v>
      </c>
      <c r="H740" s="1" t="s">
        <v>1648</v>
      </c>
      <c r="I740" s="1" t="s">
        <v>548</v>
      </c>
      <c r="J740" s="1" t="s">
        <v>229</v>
      </c>
      <c r="K740" s="1" t="s">
        <v>118</v>
      </c>
      <c r="L740" s="1" t="s">
        <v>103</v>
      </c>
      <c r="M740" s="20">
        <v>7975800</v>
      </c>
      <c r="N740" s="20">
        <v>1789800</v>
      </c>
      <c r="O740" s="20">
        <v>204000</v>
      </c>
      <c r="Q740" s="20">
        <v>1708200</v>
      </c>
      <c r="R740" s="20">
        <v>3788400</v>
      </c>
      <c r="AB740" s="20">
        <v>15466200</v>
      </c>
      <c r="AC740" s="20">
        <v>10885200</v>
      </c>
      <c r="AD740" s="20">
        <v>1341000</v>
      </c>
      <c r="AG740" s="20">
        <v>1994400</v>
      </c>
      <c r="AH740" s="20">
        <v>3082800</v>
      </c>
      <c r="AR740" s="20">
        <v>17303400</v>
      </c>
      <c r="AS740" s="20">
        <v>6897000</v>
      </c>
      <c r="AT740" s="20">
        <v>1521600</v>
      </c>
      <c r="AU740" s="20">
        <v>204000</v>
      </c>
      <c r="AV740" s="20">
        <v>2354400</v>
      </c>
      <c r="AW740" s="20">
        <v>1803600</v>
      </c>
      <c r="AX740" s="20">
        <v>4953600</v>
      </c>
      <c r="BH740" s="28">
        <v>17734200</v>
      </c>
      <c r="BI740" s="28">
        <v>50503800</v>
      </c>
    </row>
    <row r="741" spans="1:61" hidden="1" x14ac:dyDescent="0.3">
      <c r="A741" s="1" t="s">
        <v>739</v>
      </c>
      <c r="B741" s="1" t="s">
        <v>108</v>
      </c>
      <c r="C741" s="1" t="s">
        <v>1610</v>
      </c>
      <c r="D741" s="1" t="s">
        <v>1611</v>
      </c>
      <c r="E741" s="1" t="s">
        <v>1650</v>
      </c>
      <c r="F741" s="1" t="s">
        <v>573</v>
      </c>
      <c r="G741" s="1" t="s">
        <v>1651</v>
      </c>
      <c r="H741" s="1" t="s">
        <v>1650</v>
      </c>
      <c r="I741" s="1" t="s">
        <v>548</v>
      </c>
      <c r="J741" s="1" t="s">
        <v>229</v>
      </c>
      <c r="K741" s="1" t="s">
        <v>118</v>
      </c>
      <c r="L741" s="1" t="s">
        <v>103</v>
      </c>
      <c r="M741" s="20">
        <v>3248250</v>
      </c>
      <c r="N741" s="20">
        <v>268200</v>
      </c>
      <c r="O741" s="20">
        <v>408000</v>
      </c>
      <c r="Q741" s="20">
        <v>615600</v>
      </c>
      <c r="R741" s="20">
        <v>2025600</v>
      </c>
      <c r="AB741" s="20">
        <v>6565650</v>
      </c>
      <c r="AC741" s="20">
        <v>3174150</v>
      </c>
      <c r="AD741" s="20">
        <v>268200</v>
      </c>
      <c r="AG741" s="20">
        <v>615600</v>
      </c>
      <c r="AH741" s="20">
        <v>922800</v>
      </c>
      <c r="AR741" s="20">
        <v>4980750</v>
      </c>
      <c r="AS741" s="20">
        <v>5607000</v>
      </c>
      <c r="AT741" s="20">
        <v>536400</v>
      </c>
      <c r="AU741" s="20">
        <v>408000</v>
      </c>
      <c r="AV741" s="20">
        <v>784800</v>
      </c>
      <c r="AW741" s="20">
        <v>95400</v>
      </c>
      <c r="AX741" s="20">
        <v>1207200</v>
      </c>
      <c r="BH741" s="28">
        <v>8638800</v>
      </c>
      <c r="BI741" s="28">
        <v>20185200</v>
      </c>
    </row>
    <row r="742" spans="1:61" hidden="1" x14ac:dyDescent="0.3">
      <c r="A742" s="1" t="s">
        <v>739</v>
      </c>
      <c r="B742" s="1" t="s">
        <v>108</v>
      </c>
      <c r="C742" s="1" t="s">
        <v>1610</v>
      </c>
      <c r="D742" s="1" t="s">
        <v>1611</v>
      </c>
      <c r="E742" s="1" t="s">
        <v>1652</v>
      </c>
      <c r="F742" s="1" t="s">
        <v>573</v>
      </c>
      <c r="G742" s="1" t="s">
        <v>1653</v>
      </c>
      <c r="H742" s="1" t="s">
        <v>1652</v>
      </c>
      <c r="I742" s="1" t="s">
        <v>548</v>
      </c>
      <c r="J742" s="1" t="s">
        <v>229</v>
      </c>
      <c r="K742" s="1" t="s">
        <v>118</v>
      </c>
      <c r="L742" s="1" t="s">
        <v>103</v>
      </c>
      <c r="M742" s="20">
        <v>6575100</v>
      </c>
      <c r="O742" s="20">
        <v>408000</v>
      </c>
      <c r="Q742" s="20">
        <v>1621800</v>
      </c>
      <c r="R742" s="20">
        <v>1942800</v>
      </c>
      <c r="AB742" s="20">
        <v>10547700</v>
      </c>
      <c r="AC742" s="20">
        <v>6837300</v>
      </c>
      <c r="AD742" s="20">
        <v>536400</v>
      </c>
      <c r="AE742" s="20">
        <v>408000</v>
      </c>
      <c r="AG742" s="20">
        <v>1092600</v>
      </c>
      <c r="AH742" s="20">
        <v>3008400</v>
      </c>
      <c r="AR742" s="20">
        <v>11882700</v>
      </c>
      <c r="AS742" s="20">
        <v>5097150</v>
      </c>
      <c r="AT742" s="20">
        <v>268200</v>
      </c>
      <c r="AU742" s="20">
        <v>204000</v>
      </c>
      <c r="AV742" s="20">
        <v>523200</v>
      </c>
      <c r="AW742" s="20">
        <v>954000</v>
      </c>
      <c r="AX742" s="20">
        <v>3248400</v>
      </c>
      <c r="BH742" s="28">
        <v>10294950</v>
      </c>
      <c r="BI742" s="28">
        <v>32725350</v>
      </c>
    </row>
    <row r="743" spans="1:61" hidden="1" x14ac:dyDescent="0.3">
      <c r="A743" s="1" t="s">
        <v>739</v>
      </c>
      <c r="B743" s="1" t="s">
        <v>108</v>
      </c>
      <c r="C743" s="1" t="s">
        <v>1610</v>
      </c>
      <c r="D743" s="1" t="s">
        <v>1611</v>
      </c>
      <c r="E743" s="1" t="s">
        <v>1654</v>
      </c>
      <c r="F743" s="1" t="s">
        <v>573</v>
      </c>
      <c r="G743" s="1" t="s">
        <v>1655</v>
      </c>
      <c r="H743" s="1" t="s">
        <v>1654</v>
      </c>
      <c r="I743" s="1" t="s">
        <v>548</v>
      </c>
      <c r="J743" s="1" t="s">
        <v>229</v>
      </c>
      <c r="K743" s="1" t="s">
        <v>118</v>
      </c>
      <c r="L743" s="1" t="s">
        <v>103</v>
      </c>
      <c r="M743" s="20">
        <v>6072300</v>
      </c>
      <c r="N743" s="20">
        <v>717000</v>
      </c>
      <c r="O743" s="20">
        <v>408000</v>
      </c>
      <c r="Q743" s="20">
        <v>1092600</v>
      </c>
      <c r="R743" s="20">
        <v>1971600</v>
      </c>
      <c r="AB743" s="20">
        <v>10261500</v>
      </c>
      <c r="AC743" s="20">
        <v>5371050</v>
      </c>
      <c r="AD743" s="20">
        <v>268200</v>
      </c>
      <c r="AE743" s="20">
        <v>612000</v>
      </c>
      <c r="AF743" s="20">
        <v>192400</v>
      </c>
      <c r="AG743" s="20">
        <v>1135800</v>
      </c>
      <c r="AH743" s="20">
        <v>1560000</v>
      </c>
      <c r="AR743" s="20">
        <v>9139450</v>
      </c>
      <c r="AS743" s="20">
        <v>6238350</v>
      </c>
      <c r="AT743" s="20">
        <v>804600</v>
      </c>
      <c r="AU743" s="20">
        <v>408000</v>
      </c>
      <c r="AV743" s="20">
        <v>1569600</v>
      </c>
      <c r="AW743" s="20">
        <v>858600</v>
      </c>
      <c r="AX743" s="20">
        <v>2458800</v>
      </c>
      <c r="BH743" s="28">
        <v>12337950</v>
      </c>
      <c r="BI743" s="28">
        <v>31738900</v>
      </c>
    </row>
    <row r="744" spans="1:61" hidden="1" x14ac:dyDescent="0.3">
      <c r="A744" s="1" t="s">
        <v>739</v>
      </c>
      <c r="B744" s="1" t="s">
        <v>108</v>
      </c>
      <c r="C744" s="1" t="s">
        <v>1610</v>
      </c>
      <c r="D744" s="1" t="s">
        <v>1611</v>
      </c>
      <c r="E744" s="1" t="s">
        <v>1656</v>
      </c>
      <c r="F744" s="1" t="s">
        <v>573</v>
      </c>
      <c r="G744" s="1" t="s">
        <v>1657</v>
      </c>
      <c r="H744" s="1" t="s">
        <v>1656</v>
      </c>
      <c r="I744" s="1" t="s">
        <v>548</v>
      </c>
      <c r="J744" s="1" t="s">
        <v>229</v>
      </c>
      <c r="K744" s="1" t="s">
        <v>118</v>
      </c>
      <c r="L744" s="1" t="s">
        <v>103</v>
      </c>
      <c r="M744" s="20">
        <v>2237700</v>
      </c>
      <c r="N744" s="20">
        <v>268200</v>
      </c>
      <c r="P744" s="20">
        <v>192400</v>
      </c>
      <c r="Q744" s="20">
        <v>381600</v>
      </c>
      <c r="R744" s="20">
        <v>1417200</v>
      </c>
      <c r="AB744" s="20">
        <v>4497100</v>
      </c>
      <c r="AC744" s="20">
        <v>2376000</v>
      </c>
      <c r="AD744" s="20">
        <v>268200</v>
      </c>
      <c r="AE744" s="20">
        <v>204000</v>
      </c>
      <c r="AG744" s="20">
        <v>190800</v>
      </c>
      <c r="AH744" s="20">
        <v>951600</v>
      </c>
      <c r="AR744" s="20">
        <v>3990600</v>
      </c>
      <c r="AS744" s="20">
        <v>2308500</v>
      </c>
      <c r="AT744" s="20">
        <v>536400</v>
      </c>
      <c r="AV744" s="20">
        <v>261600</v>
      </c>
      <c r="AW744" s="20">
        <v>286200</v>
      </c>
      <c r="AX744" s="20">
        <v>1562400</v>
      </c>
      <c r="BH744" s="28">
        <v>4955100</v>
      </c>
      <c r="BI744" s="28">
        <v>13442800</v>
      </c>
    </row>
    <row r="745" spans="1:61" hidden="1" x14ac:dyDescent="0.3">
      <c r="A745" s="1" t="s">
        <v>739</v>
      </c>
      <c r="B745" s="1" t="s">
        <v>108</v>
      </c>
      <c r="C745" s="1" t="s">
        <v>1610</v>
      </c>
      <c r="D745" s="1" t="s">
        <v>1611</v>
      </c>
      <c r="E745" s="1" t="s">
        <v>1658</v>
      </c>
      <c r="F745" s="1" t="s">
        <v>573</v>
      </c>
      <c r="G745" s="1" t="s">
        <v>1659</v>
      </c>
      <c r="H745" s="1" t="s">
        <v>1658</v>
      </c>
      <c r="I745" s="1" t="s">
        <v>548</v>
      </c>
      <c r="J745" s="1" t="s">
        <v>229</v>
      </c>
      <c r="K745" s="1" t="s">
        <v>118</v>
      </c>
      <c r="L745" s="1" t="s">
        <v>103</v>
      </c>
      <c r="M745" s="20">
        <v>4582800</v>
      </c>
      <c r="N745" s="20">
        <v>536400</v>
      </c>
      <c r="O745" s="20">
        <v>408000</v>
      </c>
      <c r="P745" s="20">
        <v>384800</v>
      </c>
      <c r="Q745" s="20">
        <v>849600</v>
      </c>
      <c r="R745" s="20">
        <v>1560000</v>
      </c>
      <c r="AB745" s="20">
        <v>8321600</v>
      </c>
      <c r="AC745" s="20">
        <v>5337000</v>
      </c>
      <c r="AD745" s="20">
        <v>804600</v>
      </c>
      <c r="AE745" s="20">
        <v>408000</v>
      </c>
      <c r="AF745" s="20">
        <v>192400</v>
      </c>
      <c r="AG745" s="20">
        <v>1699200</v>
      </c>
      <c r="AH745" s="20">
        <v>1702800</v>
      </c>
      <c r="AR745" s="20">
        <v>10144000</v>
      </c>
      <c r="AS745" s="20">
        <v>5150100</v>
      </c>
      <c r="AT745" s="20">
        <v>1072800</v>
      </c>
      <c r="AU745" s="20">
        <v>204000</v>
      </c>
      <c r="AV745" s="20">
        <v>977200</v>
      </c>
      <c r="AW745" s="20">
        <v>945000</v>
      </c>
      <c r="AX745" s="20">
        <v>1747200</v>
      </c>
      <c r="BH745" s="28">
        <v>10096300</v>
      </c>
      <c r="BI745" s="28">
        <v>28561900</v>
      </c>
    </row>
    <row r="746" spans="1:61" hidden="1" x14ac:dyDescent="0.3">
      <c r="A746" s="1" t="s">
        <v>739</v>
      </c>
      <c r="B746" s="1" t="s">
        <v>108</v>
      </c>
      <c r="C746" s="1" t="s">
        <v>1610</v>
      </c>
      <c r="D746" s="1" t="s">
        <v>1611</v>
      </c>
      <c r="E746" s="1" t="s">
        <v>1660</v>
      </c>
      <c r="F746" s="1" t="s">
        <v>561</v>
      </c>
      <c r="G746" s="1" t="s">
        <v>1661</v>
      </c>
      <c r="H746" s="1" t="s">
        <v>1660</v>
      </c>
      <c r="I746" s="1" t="s">
        <v>548</v>
      </c>
      <c r="J746" s="1" t="s">
        <v>229</v>
      </c>
      <c r="K746" s="1" t="s">
        <v>118</v>
      </c>
      <c r="L746" s="1" t="s">
        <v>103</v>
      </c>
      <c r="M746" s="20">
        <v>6365850</v>
      </c>
      <c r="N746" s="20">
        <v>1253400</v>
      </c>
      <c r="O746" s="20">
        <v>408000</v>
      </c>
      <c r="P746" s="20">
        <v>384800</v>
      </c>
      <c r="Q746" s="20">
        <v>1794600</v>
      </c>
      <c r="R746" s="20">
        <v>2950800</v>
      </c>
      <c r="AB746" s="20">
        <v>13157450</v>
      </c>
      <c r="AC746" s="20">
        <v>5233050</v>
      </c>
      <c r="AD746" s="20">
        <v>268200</v>
      </c>
      <c r="AE746" s="20">
        <v>408000</v>
      </c>
      <c r="AG746" s="20">
        <v>1508400</v>
      </c>
      <c r="AH746" s="20">
        <v>2228400</v>
      </c>
      <c r="AR746" s="20">
        <v>9646050</v>
      </c>
      <c r="AS746" s="20">
        <v>4294800</v>
      </c>
      <c r="AT746" s="20">
        <v>1072800</v>
      </c>
      <c r="AU746" s="20">
        <v>408000</v>
      </c>
      <c r="AV746" s="20">
        <v>1308000</v>
      </c>
      <c r="AW746" s="20">
        <v>997200</v>
      </c>
      <c r="AX746" s="20">
        <v>2320800</v>
      </c>
      <c r="BH746" s="28">
        <v>10401600</v>
      </c>
      <c r="BI746" s="28">
        <v>33205100</v>
      </c>
    </row>
    <row r="747" spans="1:61" hidden="1" x14ac:dyDescent="0.3">
      <c r="A747" s="1" t="s">
        <v>739</v>
      </c>
      <c r="B747" s="1" t="s">
        <v>108</v>
      </c>
      <c r="C747" s="1" t="s">
        <v>1610</v>
      </c>
      <c r="D747" s="1" t="s">
        <v>1611</v>
      </c>
      <c r="E747" s="1" t="s">
        <v>1662</v>
      </c>
      <c r="F747" s="1" t="s">
        <v>561</v>
      </c>
      <c r="G747" s="1" t="s">
        <v>1663</v>
      </c>
      <c r="H747" s="1" t="s">
        <v>1662</v>
      </c>
      <c r="I747" s="1" t="s">
        <v>548</v>
      </c>
      <c r="J747" s="1" t="s">
        <v>229</v>
      </c>
      <c r="K747" s="1" t="s">
        <v>118</v>
      </c>
      <c r="L747" s="1" t="s">
        <v>103</v>
      </c>
      <c r="M747" s="20">
        <v>4878150</v>
      </c>
      <c r="N747" s="20">
        <v>1072800</v>
      </c>
      <c r="O747" s="20">
        <v>816000</v>
      </c>
      <c r="P747" s="20">
        <v>384800</v>
      </c>
      <c r="Q747" s="20">
        <v>763200</v>
      </c>
      <c r="R747" s="20">
        <v>1628400</v>
      </c>
      <c r="AB747" s="20">
        <v>9543350</v>
      </c>
      <c r="AC747" s="20">
        <v>5135700</v>
      </c>
      <c r="AD747" s="20">
        <v>804600</v>
      </c>
      <c r="AE747" s="20">
        <v>816000</v>
      </c>
      <c r="AG747" s="20">
        <v>572400</v>
      </c>
      <c r="AH747" s="20">
        <v>2416800</v>
      </c>
      <c r="AR747" s="20">
        <v>9745500</v>
      </c>
      <c r="AS747" s="20">
        <v>2193600</v>
      </c>
      <c r="AT747" s="20">
        <v>804600</v>
      </c>
      <c r="AU747" s="20">
        <v>1020000</v>
      </c>
      <c r="AV747" s="20">
        <v>1308000</v>
      </c>
      <c r="AW747" s="20">
        <v>763200</v>
      </c>
      <c r="AX747" s="20">
        <v>2130000</v>
      </c>
      <c r="BH747" s="28">
        <v>8219400</v>
      </c>
      <c r="BI747" s="28">
        <v>27508250</v>
      </c>
    </row>
    <row r="748" spans="1:61" hidden="1" x14ac:dyDescent="0.3">
      <c r="A748" s="1" t="s">
        <v>739</v>
      </c>
      <c r="B748" s="1" t="s">
        <v>108</v>
      </c>
      <c r="C748" s="1" t="s">
        <v>1610</v>
      </c>
      <c r="D748" s="1" t="s">
        <v>1611</v>
      </c>
      <c r="E748" s="1" t="s">
        <v>1664</v>
      </c>
      <c r="F748" s="1" t="s">
        <v>1665</v>
      </c>
      <c r="G748" s="1" t="s">
        <v>1666</v>
      </c>
      <c r="H748" s="1" t="s">
        <v>1664</v>
      </c>
      <c r="I748" s="1" t="s">
        <v>109</v>
      </c>
      <c r="J748" s="1" t="s">
        <v>229</v>
      </c>
      <c r="K748" s="1" t="s">
        <v>118</v>
      </c>
      <c r="L748" s="1" t="s">
        <v>103</v>
      </c>
      <c r="M748" s="20">
        <v>6600000</v>
      </c>
      <c r="AB748" s="20">
        <v>6600000</v>
      </c>
      <c r="BI748" s="28">
        <v>6600000</v>
      </c>
    </row>
    <row r="749" spans="1:61" hidden="1" x14ac:dyDescent="0.3">
      <c r="A749" s="1" t="s">
        <v>739</v>
      </c>
      <c r="B749" s="1" t="s">
        <v>108</v>
      </c>
      <c r="C749" s="1" t="s">
        <v>1610</v>
      </c>
      <c r="D749" s="1" t="s">
        <v>1611</v>
      </c>
      <c r="E749" s="1" t="s">
        <v>1667</v>
      </c>
      <c r="F749" s="1" t="s">
        <v>573</v>
      </c>
      <c r="G749" s="1" t="s">
        <v>1668</v>
      </c>
      <c r="H749" s="1" t="s">
        <v>1667</v>
      </c>
      <c r="I749" s="1" t="s">
        <v>548</v>
      </c>
      <c r="J749" s="1" t="s">
        <v>229</v>
      </c>
      <c r="K749" s="1" t="s">
        <v>118</v>
      </c>
      <c r="L749" s="1" t="s">
        <v>103</v>
      </c>
      <c r="M749" s="20">
        <v>2186250</v>
      </c>
      <c r="Q749" s="20">
        <v>615600</v>
      </c>
      <c r="R749" s="20">
        <v>808800</v>
      </c>
      <c r="AB749" s="20">
        <v>3610650</v>
      </c>
      <c r="AC749" s="20">
        <v>525000</v>
      </c>
      <c r="AD749" s="20">
        <v>268200</v>
      </c>
      <c r="AE749" s="20">
        <v>408000</v>
      </c>
      <c r="AG749" s="20">
        <v>520200</v>
      </c>
      <c r="AH749" s="20">
        <v>571200</v>
      </c>
      <c r="AR749" s="20">
        <v>2292600</v>
      </c>
      <c r="AS749" s="20">
        <v>3064500</v>
      </c>
      <c r="AT749" s="20">
        <v>536400</v>
      </c>
      <c r="AU749" s="20">
        <v>204000</v>
      </c>
      <c r="AV749" s="20">
        <v>1046400</v>
      </c>
      <c r="AW749" s="20">
        <v>424800</v>
      </c>
      <c r="AX749" s="20">
        <v>716400</v>
      </c>
      <c r="BH749" s="28">
        <v>5992500</v>
      </c>
      <c r="BI749" s="28">
        <v>11895750</v>
      </c>
    </row>
    <row r="750" spans="1:61" hidden="1" x14ac:dyDescent="0.3">
      <c r="A750" s="1" t="s">
        <v>739</v>
      </c>
      <c r="B750" s="1" t="s">
        <v>108</v>
      </c>
      <c r="C750" s="1" t="s">
        <v>1610</v>
      </c>
      <c r="D750" s="1" t="s">
        <v>1611</v>
      </c>
      <c r="E750" s="1" t="s">
        <v>1669</v>
      </c>
      <c r="F750" s="1" t="s">
        <v>573</v>
      </c>
      <c r="G750" s="1" t="s">
        <v>1670</v>
      </c>
      <c r="H750" s="1" t="s">
        <v>1669</v>
      </c>
      <c r="I750" s="1" t="s">
        <v>548</v>
      </c>
      <c r="J750" s="1" t="s">
        <v>229</v>
      </c>
      <c r="K750" s="1" t="s">
        <v>118</v>
      </c>
      <c r="L750" s="1" t="s">
        <v>103</v>
      </c>
      <c r="M750" s="20">
        <v>900150</v>
      </c>
      <c r="P750" s="20">
        <v>192400</v>
      </c>
      <c r="Q750" s="20">
        <v>286200</v>
      </c>
      <c r="R750" s="20">
        <v>600000</v>
      </c>
      <c r="AB750" s="20">
        <v>1978750</v>
      </c>
      <c r="AC750" s="20">
        <v>1881150</v>
      </c>
      <c r="AD750" s="20">
        <v>268200</v>
      </c>
      <c r="AE750" s="20">
        <v>612000</v>
      </c>
      <c r="AG750" s="20">
        <v>381600</v>
      </c>
      <c r="AH750" s="20">
        <v>1028400</v>
      </c>
      <c r="AR750" s="20">
        <v>4171350</v>
      </c>
      <c r="AS750" s="20">
        <v>2327550</v>
      </c>
      <c r="AT750" s="20">
        <v>536400</v>
      </c>
      <c r="AV750" s="20">
        <v>261600</v>
      </c>
      <c r="AW750" s="20">
        <v>286200</v>
      </c>
      <c r="AX750" s="20">
        <v>1004400</v>
      </c>
      <c r="BH750" s="28">
        <v>4416150</v>
      </c>
      <c r="BI750" s="28">
        <v>10566250</v>
      </c>
    </row>
    <row r="751" spans="1:61" hidden="1" x14ac:dyDescent="0.3">
      <c r="A751" s="1" t="s">
        <v>739</v>
      </c>
      <c r="B751" s="1" t="s">
        <v>108</v>
      </c>
      <c r="C751" s="1" t="s">
        <v>1610</v>
      </c>
      <c r="D751" s="1" t="s">
        <v>1611</v>
      </c>
      <c r="E751" s="1" t="s">
        <v>1671</v>
      </c>
      <c r="F751" s="1" t="s">
        <v>573</v>
      </c>
      <c r="G751" s="1" t="s">
        <v>1672</v>
      </c>
      <c r="H751" s="1" t="s">
        <v>1671</v>
      </c>
      <c r="I751" s="1" t="s">
        <v>548</v>
      </c>
      <c r="J751" s="1" t="s">
        <v>229</v>
      </c>
      <c r="K751" s="1" t="s">
        <v>118</v>
      </c>
      <c r="L751" s="1" t="s">
        <v>103</v>
      </c>
      <c r="M751" s="20">
        <v>5959200</v>
      </c>
      <c r="N751" s="20">
        <v>717000</v>
      </c>
      <c r="O751" s="20">
        <v>408000</v>
      </c>
      <c r="P751" s="20">
        <v>192400</v>
      </c>
      <c r="Q751" s="20">
        <v>520200</v>
      </c>
      <c r="R751" s="20">
        <v>1454400</v>
      </c>
      <c r="AB751" s="20">
        <v>9251200</v>
      </c>
      <c r="AC751" s="20">
        <v>4009500</v>
      </c>
      <c r="AD751" s="20">
        <v>268200</v>
      </c>
      <c r="AE751" s="20">
        <v>204000</v>
      </c>
      <c r="AF751" s="20">
        <v>384800</v>
      </c>
      <c r="AG751" s="20">
        <v>797400</v>
      </c>
      <c r="AH751" s="20">
        <v>2151600</v>
      </c>
      <c r="AR751" s="20">
        <v>7815500</v>
      </c>
      <c r="AS751" s="20">
        <v>5218650</v>
      </c>
      <c r="AT751" s="20">
        <v>1341000</v>
      </c>
      <c r="AU751" s="20">
        <v>408000</v>
      </c>
      <c r="AV751" s="20">
        <v>523200</v>
      </c>
      <c r="AW751" s="20">
        <v>806400</v>
      </c>
      <c r="AX751" s="20">
        <v>1890000</v>
      </c>
      <c r="BH751" s="28">
        <v>10187250</v>
      </c>
      <c r="BI751" s="28">
        <v>27253950</v>
      </c>
    </row>
    <row r="752" spans="1:61" hidden="1" x14ac:dyDescent="0.3">
      <c r="A752" s="1" t="s">
        <v>739</v>
      </c>
      <c r="B752" s="1" t="s">
        <v>108</v>
      </c>
      <c r="C752" s="1" t="s">
        <v>1610</v>
      </c>
      <c r="D752" s="1" t="s">
        <v>1611</v>
      </c>
      <c r="E752" s="1" t="s">
        <v>1673</v>
      </c>
      <c r="F752" s="1" t="s">
        <v>573</v>
      </c>
      <c r="G752" s="1" t="s">
        <v>1674</v>
      </c>
      <c r="H752" s="1" t="s">
        <v>1673</v>
      </c>
      <c r="I752" s="1" t="s">
        <v>548</v>
      </c>
      <c r="J752" s="1" t="s">
        <v>229</v>
      </c>
      <c r="K752" s="1" t="s">
        <v>118</v>
      </c>
      <c r="L752" s="1" t="s">
        <v>103</v>
      </c>
      <c r="AC752" s="20">
        <v>8951700</v>
      </c>
      <c r="AD752" s="20">
        <v>448800</v>
      </c>
      <c r="AE752" s="20">
        <v>1020000</v>
      </c>
      <c r="AG752" s="20">
        <v>1551600</v>
      </c>
      <c r="AH752" s="20">
        <v>2114400</v>
      </c>
      <c r="AR752" s="20">
        <v>14086500</v>
      </c>
      <c r="AS752" s="20">
        <v>4141500</v>
      </c>
      <c r="AW752" s="20">
        <v>615600</v>
      </c>
      <c r="AX752" s="20">
        <v>430800</v>
      </c>
      <c r="BH752" s="28">
        <v>5187900</v>
      </c>
      <c r="BI752" s="28">
        <v>19274400</v>
      </c>
    </row>
    <row r="753" spans="1:61" hidden="1" x14ac:dyDescent="0.3">
      <c r="A753" s="1" t="s">
        <v>739</v>
      </c>
      <c r="B753" s="1" t="s">
        <v>108</v>
      </c>
      <c r="C753" s="1" t="s">
        <v>1675</v>
      </c>
      <c r="D753" s="1" t="s">
        <v>1676</v>
      </c>
      <c r="E753" s="1" t="s">
        <v>1677</v>
      </c>
      <c r="F753" s="1" t="s">
        <v>573</v>
      </c>
      <c r="G753" s="1" t="s">
        <v>1678</v>
      </c>
      <c r="H753" s="1" t="s">
        <v>1677</v>
      </c>
      <c r="I753" s="1" t="s">
        <v>548</v>
      </c>
      <c r="J753" s="1" t="s">
        <v>229</v>
      </c>
      <c r="K753" s="1" t="s">
        <v>118</v>
      </c>
      <c r="L753" s="1" t="s">
        <v>103</v>
      </c>
      <c r="M753" s="20">
        <v>5091150</v>
      </c>
      <c r="N753" s="20">
        <v>1072800</v>
      </c>
      <c r="P753" s="20">
        <v>384800</v>
      </c>
      <c r="Q753" s="20">
        <v>1369800</v>
      </c>
      <c r="R753" s="20">
        <v>2168400</v>
      </c>
      <c r="AB753" s="20">
        <v>10086950</v>
      </c>
      <c r="AC753" s="20">
        <v>3902700</v>
      </c>
      <c r="AD753" s="20">
        <v>985200</v>
      </c>
      <c r="AE753" s="20">
        <v>1020000</v>
      </c>
      <c r="AG753" s="20">
        <v>1265400</v>
      </c>
      <c r="AH753" s="20">
        <v>1665600</v>
      </c>
      <c r="AR753" s="20">
        <v>8838900</v>
      </c>
      <c r="AS753" s="20">
        <v>8201100</v>
      </c>
      <c r="AT753" s="20">
        <v>268200</v>
      </c>
      <c r="AU753" s="20">
        <v>204000</v>
      </c>
      <c r="AV753" s="20">
        <v>715600</v>
      </c>
      <c r="AW753" s="20">
        <v>1413000</v>
      </c>
      <c r="AX753" s="20">
        <v>2030400</v>
      </c>
      <c r="BH753" s="28">
        <v>12832300</v>
      </c>
      <c r="BI753" s="28">
        <v>31758150</v>
      </c>
    </row>
    <row r="754" spans="1:61" hidden="1" x14ac:dyDescent="0.3">
      <c r="A754" s="1" t="s">
        <v>739</v>
      </c>
      <c r="B754" s="1" t="s">
        <v>108</v>
      </c>
      <c r="C754" s="1" t="s">
        <v>1675</v>
      </c>
      <c r="D754" s="1" t="s">
        <v>1676</v>
      </c>
      <c r="E754" s="1" t="s">
        <v>1679</v>
      </c>
      <c r="F754" s="1" t="s">
        <v>573</v>
      </c>
      <c r="G754" s="1" t="s">
        <v>1680</v>
      </c>
      <c r="H754" s="1" t="s">
        <v>1679</v>
      </c>
      <c r="I754" s="1" t="s">
        <v>548</v>
      </c>
      <c r="J754" s="1" t="s">
        <v>229</v>
      </c>
      <c r="K754" s="1" t="s">
        <v>118</v>
      </c>
      <c r="L754" s="1" t="s">
        <v>103</v>
      </c>
      <c r="M754" s="20">
        <v>8520600</v>
      </c>
      <c r="N754" s="20">
        <v>1521600</v>
      </c>
      <c r="O754" s="20">
        <v>408000</v>
      </c>
      <c r="Q754" s="20">
        <v>1283400</v>
      </c>
      <c r="R754" s="20">
        <v>3054000</v>
      </c>
      <c r="AB754" s="20">
        <v>14787600</v>
      </c>
      <c r="AC754" s="20">
        <v>8010750</v>
      </c>
      <c r="AD754" s="20">
        <v>1341000</v>
      </c>
      <c r="AE754" s="20">
        <v>408000</v>
      </c>
      <c r="AG754" s="20">
        <v>1603800</v>
      </c>
      <c r="AH754" s="20">
        <v>2931600</v>
      </c>
      <c r="AR754" s="20">
        <v>14295150</v>
      </c>
      <c r="AS754" s="20">
        <v>8962200</v>
      </c>
      <c r="AT754" s="20">
        <v>1072800</v>
      </c>
      <c r="AU754" s="20">
        <v>408000</v>
      </c>
      <c r="AV754" s="20">
        <v>3139200</v>
      </c>
      <c r="AW754" s="20">
        <v>1474200</v>
      </c>
      <c r="AX754" s="20">
        <v>3499200</v>
      </c>
      <c r="BH754" s="28">
        <v>18555600</v>
      </c>
      <c r="BI754" s="28">
        <v>47638350</v>
      </c>
    </row>
    <row r="755" spans="1:61" hidden="1" x14ac:dyDescent="0.3">
      <c r="A755" s="1" t="s">
        <v>739</v>
      </c>
      <c r="B755" s="1" t="s">
        <v>108</v>
      </c>
      <c r="C755" s="1" t="s">
        <v>1675</v>
      </c>
      <c r="D755" s="1" t="s">
        <v>1676</v>
      </c>
      <c r="E755" s="1" t="s">
        <v>1681</v>
      </c>
      <c r="F755" s="1" t="s">
        <v>573</v>
      </c>
      <c r="G755" s="1" t="s">
        <v>1682</v>
      </c>
      <c r="H755" s="1" t="s">
        <v>1681</v>
      </c>
      <c r="I755" s="1" t="s">
        <v>548</v>
      </c>
      <c r="J755" s="1" t="s">
        <v>229</v>
      </c>
      <c r="K755" s="1" t="s">
        <v>118</v>
      </c>
      <c r="L755" s="1" t="s">
        <v>103</v>
      </c>
      <c r="M755" s="20">
        <v>9875700</v>
      </c>
      <c r="N755" s="20">
        <v>804600</v>
      </c>
      <c r="O755" s="20">
        <v>1020000</v>
      </c>
      <c r="P755" s="20">
        <v>769600</v>
      </c>
      <c r="Q755" s="20">
        <v>1317600</v>
      </c>
      <c r="R755" s="20">
        <v>1723200</v>
      </c>
      <c r="AB755" s="20">
        <v>15510700</v>
      </c>
      <c r="AC755" s="20">
        <v>6026850</v>
      </c>
      <c r="AD755" s="20">
        <v>536400</v>
      </c>
      <c r="AE755" s="20">
        <v>204000</v>
      </c>
      <c r="AF755" s="20">
        <v>384800</v>
      </c>
      <c r="AG755" s="20">
        <v>1188000</v>
      </c>
      <c r="AH755" s="20">
        <v>1940400</v>
      </c>
      <c r="AR755" s="20">
        <v>10280450</v>
      </c>
      <c r="AS755" s="20">
        <v>7269300</v>
      </c>
      <c r="AT755" s="20">
        <v>804600</v>
      </c>
      <c r="AV755" s="20">
        <v>2546800</v>
      </c>
      <c r="AW755" s="20">
        <v>1083600</v>
      </c>
      <c r="AX755" s="20">
        <v>1789200</v>
      </c>
      <c r="BH755" s="28">
        <v>13493500</v>
      </c>
      <c r="BI755" s="28">
        <v>39284650</v>
      </c>
    </row>
    <row r="756" spans="1:61" hidden="1" x14ac:dyDescent="0.3">
      <c r="A756" s="1" t="s">
        <v>739</v>
      </c>
      <c r="B756" s="1" t="s">
        <v>108</v>
      </c>
      <c r="C756" s="1" t="s">
        <v>1675</v>
      </c>
      <c r="D756" s="1" t="s">
        <v>1676</v>
      </c>
      <c r="E756" s="1" t="s">
        <v>1683</v>
      </c>
      <c r="F756" s="1" t="s">
        <v>573</v>
      </c>
      <c r="G756" s="1" t="s">
        <v>1684</v>
      </c>
      <c r="H756" s="1" t="s">
        <v>1683</v>
      </c>
      <c r="I756" s="1" t="s">
        <v>548</v>
      </c>
      <c r="J756" s="1" t="s">
        <v>229</v>
      </c>
      <c r="K756" s="1" t="s">
        <v>118</v>
      </c>
      <c r="L756" s="1" t="s">
        <v>103</v>
      </c>
      <c r="M756" s="20">
        <v>4226400</v>
      </c>
      <c r="N756" s="20">
        <v>268200</v>
      </c>
      <c r="O756" s="20">
        <v>408000</v>
      </c>
      <c r="P756" s="20">
        <v>577200</v>
      </c>
      <c r="Q756" s="20">
        <v>997200</v>
      </c>
      <c r="R756" s="20">
        <v>2331600</v>
      </c>
      <c r="AB756" s="20">
        <v>8808600</v>
      </c>
      <c r="AC756" s="20">
        <v>3942600</v>
      </c>
      <c r="AD756" s="20">
        <v>536400</v>
      </c>
      <c r="AE756" s="20">
        <v>612000</v>
      </c>
      <c r="AG756" s="20">
        <v>797400</v>
      </c>
      <c r="AH756" s="20">
        <v>1816800</v>
      </c>
      <c r="AR756" s="20">
        <v>7705200</v>
      </c>
      <c r="AS756" s="20">
        <v>5368350</v>
      </c>
      <c r="AT756" s="20">
        <v>536400</v>
      </c>
      <c r="AV756" s="20">
        <v>1046400</v>
      </c>
      <c r="AW756" s="20">
        <v>711000</v>
      </c>
      <c r="AX756" s="20">
        <v>1321200</v>
      </c>
      <c r="BH756" s="28">
        <v>8983350</v>
      </c>
      <c r="BI756" s="28">
        <v>25497150</v>
      </c>
    </row>
    <row r="757" spans="1:61" hidden="1" x14ac:dyDescent="0.3">
      <c r="A757" s="1" t="s">
        <v>739</v>
      </c>
      <c r="B757" s="1" t="s">
        <v>108</v>
      </c>
      <c r="C757" s="1" t="s">
        <v>1675</v>
      </c>
      <c r="D757" s="1" t="s">
        <v>1676</v>
      </c>
      <c r="E757" s="1" t="s">
        <v>1685</v>
      </c>
      <c r="F757" s="1" t="s">
        <v>573</v>
      </c>
      <c r="G757" s="1" t="s">
        <v>1686</v>
      </c>
      <c r="H757" s="1" t="s">
        <v>1685</v>
      </c>
      <c r="I757" s="1" t="s">
        <v>548</v>
      </c>
      <c r="J757" s="1" t="s">
        <v>229</v>
      </c>
      <c r="K757" s="1" t="s">
        <v>118</v>
      </c>
      <c r="L757" s="1" t="s">
        <v>103</v>
      </c>
      <c r="M757" s="20">
        <v>11070900</v>
      </c>
      <c r="N757" s="20">
        <v>1609200</v>
      </c>
      <c r="O757" s="20">
        <v>408000</v>
      </c>
      <c r="P757" s="20">
        <v>769600</v>
      </c>
      <c r="Q757" s="20">
        <v>754200</v>
      </c>
      <c r="R757" s="20">
        <v>2826000</v>
      </c>
      <c r="AB757" s="20">
        <v>17437900</v>
      </c>
      <c r="AC757" s="20">
        <v>6307200</v>
      </c>
      <c r="AD757" s="20">
        <v>536400</v>
      </c>
      <c r="AE757" s="20">
        <v>408000</v>
      </c>
      <c r="AF757" s="20">
        <v>962000</v>
      </c>
      <c r="AG757" s="20">
        <v>615600</v>
      </c>
      <c r="AH757" s="20">
        <v>2054400</v>
      </c>
      <c r="AR757" s="20">
        <v>10883600</v>
      </c>
      <c r="AS757" s="20">
        <v>12444000</v>
      </c>
      <c r="AT757" s="20">
        <v>1341000</v>
      </c>
      <c r="AU757" s="20">
        <v>408000</v>
      </c>
      <c r="AV757" s="20">
        <v>1554400</v>
      </c>
      <c r="AW757" s="20">
        <v>1317600</v>
      </c>
      <c r="AX757" s="20">
        <v>2385600</v>
      </c>
      <c r="BH757" s="28">
        <v>19450600</v>
      </c>
      <c r="BI757" s="28">
        <v>47772100</v>
      </c>
    </row>
    <row r="758" spans="1:61" hidden="1" x14ac:dyDescent="0.3">
      <c r="A758" s="1" t="s">
        <v>739</v>
      </c>
      <c r="B758" s="1" t="s">
        <v>108</v>
      </c>
      <c r="C758" s="1" t="s">
        <v>1675</v>
      </c>
      <c r="D758" s="1" t="s">
        <v>1676</v>
      </c>
      <c r="E758" s="1" t="s">
        <v>1687</v>
      </c>
      <c r="F758" s="1" t="s">
        <v>573</v>
      </c>
      <c r="G758" s="1" t="s">
        <v>1688</v>
      </c>
      <c r="H758" s="1" t="s">
        <v>1687</v>
      </c>
      <c r="I758" s="1" t="s">
        <v>548</v>
      </c>
      <c r="J758" s="1" t="s">
        <v>229</v>
      </c>
      <c r="K758" s="1" t="s">
        <v>118</v>
      </c>
      <c r="L758" s="1" t="s">
        <v>103</v>
      </c>
      <c r="M758" s="20">
        <v>5255100</v>
      </c>
      <c r="N758" s="20">
        <v>1341000</v>
      </c>
      <c r="P758" s="20">
        <v>384800</v>
      </c>
      <c r="Q758" s="20">
        <v>572400</v>
      </c>
      <c r="R758" s="20">
        <v>2571600</v>
      </c>
      <c r="AB758" s="20">
        <v>10124900</v>
      </c>
      <c r="AC758" s="20">
        <v>7459950</v>
      </c>
      <c r="AD758" s="20">
        <v>804600</v>
      </c>
      <c r="AF758" s="20">
        <v>769600</v>
      </c>
      <c r="AG758" s="20">
        <v>1603800</v>
      </c>
      <c r="AH758" s="20">
        <v>1485600</v>
      </c>
      <c r="AR758" s="20">
        <v>12123550</v>
      </c>
      <c r="AS758" s="20">
        <v>6548550</v>
      </c>
      <c r="AT758" s="20">
        <v>536400</v>
      </c>
      <c r="AU758" s="20">
        <v>204000</v>
      </c>
      <c r="AV758" s="20">
        <v>454000</v>
      </c>
      <c r="AW758" s="20">
        <v>615600</v>
      </c>
      <c r="AX758" s="20">
        <v>2376000</v>
      </c>
      <c r="BH758" s="28">
        <v>10734550</v>
      </c>
      <c r="BI758" s="28">
        <v>32983000</v>
      </c>
    </row>
    <row r="759" spans="1:61" hidden="1" x14ac:dyDescent="0.3">
      <c r="A759" s="1" t="s">
        <v>739</v>
      </c>
      <c r="B759" s="1" t="s">
        <v>108</v>
      </c>
      <c r="C759" s="1" t="s">
        <v>1675</v>
      </c>
      <c r="D759" s="1" t="s">
        <v>1676</v>
      </c>
      <c r="E759" s="1" t="s">
        <v>1689</v>
      </c>
      <c r="F759" s="1" t="s">
        <v>573</v>
      </c>
      <c r="G759" s="1" t="s">
        <v>1690</v>
      </c>
      <c r="H759" s="1" t="s">
        <v>1689</v>
      </c>
      <c r="I759" s="1" t="s">
        <v>548</v>
      </c>
      <c r="J759" s="1" t="s">
        <v>229</v>
      </c>
      <c r="K759" s="1" t="s">
        <v>118</v>
      </c>
      <c r="L759" s="1" t="s">
        <v>103</v>
      </c>
      <c r="M759" s="20">
        <v>4072350</v>
      </c>
      <c r="N759" s="20">
        <v>536400</v>
      </c>
      <c r="O759" s="20">
        <v>204000</v>
      </c>
      <c r="P759" s="20">
        <v>577200</v>
      </c>
      <c r="Q759" s="20">
        <v>997200</v>
      </c>
      <c r="R759" s="20">
        <v>1971600</v>
      </c>
      <c r="AB759" s="20">
        <v>8358750</v>
      </c>
      <c r="AC759" s="20">
        <v>2162100</v>
      </c>
      <c r="AD759" s="20">
        <v>985200</v>
      </c>
      <c r="AE759" s="20">
        <v>408000</v>
      </c>
      <c r="AF759" s="20">
        <v>192400</v>
      </c>
      <c r="AG759" s="20">
        <v>1179000</v>
      </c>
      <c r="AH759" s="20">
        <v>1760400</v>
      </c>
      <c r="AR759" s="20">
        <v>6687100</v>
      </c>
      <c r="AS759" s="20">
        <v>5537700</v>
      </c>
      <c r="AT759" s="20">
        <v>1341000</v>
      </c>
      <c r="AV759" s="20">
        <v>715600</v>
      </c>
      <c r="AW759" s="20">
        <v>945000</v>
      </c>
      <c r="AX759" s="20">
        <v>1744800</v>
      </c>
      <c r="BH759" s="28">
        <v>10284100</v>
      </c>
      <c r="BI759" s="28">
        <v>25329950</v>
      </c>
    </row>
    <row r="760" spans="1:61" hidden="1" x14ac:dyDescent="0.3">
      <c r="A760" s="1" t="s">
        <v>739</v>
      </c>
      <c r="B760" s="1" t="s">
        <v>108</v>
      </c>
      <c r="C760" s="1" t="s">
        <v>1675</v>
      </c>
      <c r="D760" s="1" t="s">
        <v>1676</v>
      </c>
      <c r="E760" s="1" t="s">
        <v>1691</v>
      </c>
      <c r="F760" s="1" t="s">
        <v>573</v>
      </c>
      <c r="G760" s="1" t="s">
        <v>1692</v>
      </c>
      <c r="H760" s="1" t="s">
        <v>1691</v>
      </c>
      <c r="I760" s="1" t="s">
        <v>548</v>
      </c>
      <c r="J760" s="1" t="s">
        <v>229</v>
      </c>
      <c r="K760" s="1" t="s">
        <v>118</v>
      </c>
      <c r="L760" s="1" t="s">
        <v>103</v>
      </c>
      <c r="M760" s="20">
        <v>4571850</v>
      </c>
      <c r="N760" s="20">
        <v>536400</v>
      </c>
      <c r="O760" s="20">
        <v>612000</v>
      </c>
      <c r="Q760" s="20">
        <v>1699200</v>
      </c>
      <c r="R760" s="20">
        <v>1522800</v>
      </c>
      <c r="AB760" s="20">
        <v>8942250</v>
      </c>
      <c r="AC760" s="20">
        <v>5163600</v>
      </c>
      <c r="AD760" s="20">
        <v>804600</v>
      </c>
      <c r="AE760" s="20">
        <v>408000</v>
      </c>
      <c r="AG760" s="20">
        <v>1413000</v>
      </c>
      <c r="AH760" s="20">
        <v>2160000</v>
      </c>
      <c r="AR760" s="20">
        <v>9949200</v>
      </c>
      <c r="AS760" s="20">
        <v>7040100</v>
      </c>
      <c r="AT760" s="20">
        <v>804600</v>
      </c>
      <c r="AU760" s="20">
        <v>408000</v>
      </c>
      <c r="AV760" s="20">
        <v>1046400</v>
      </c>
      <c r="AW760" s="20">
        <v>1369800</v>
      </c>
      <c r="AX760" s="20">
        <v>1384800</v>
      </c>
      <c r="BH760" s="28">
        <v>12053700</v>
      </c>
      <c r="BI760" s="28">
        <v>30945150</v>
      </c>
    </row>
    <row r="761" spans="1:61" hidden="1" x14ac:dyDescent="0.3">
      <c r="A761" s="1" t="s">
        <v>739</v>
      </c>
      <c r="B761" s="1" t="s">
        <v>108</v>
      </c>
      <c r="C761" s="1" t="s">
        <v>1675</v>
      </c>
      <c r="D761" s="1" t="s">
        <v>1676</v>
      </c>
      <c r="E761" s="1" t="s">
        <v>1693</v>
      </c>
      <c r="F761" s="1" t="s">
        <v>573</v>
      </c>
      <c r="G761" s="1" t="s">
        <v>1694</v>
      </c>
      <c r="H761" s="1" t="s">
        <v>1693</v>
      </c>
      <c r="I761" s="1" t="s">
        <v>548</v>
      </c>
      <c r="J761" s="1" t="s">
        <v>229</v>
      </c>
      <c r="K761" s="1" t="s">
        <v>118</v>
      </c>
      <c r="L761" s="1" t="s">
        <v>103</v>
      </c>
      <c r="M761" s="20">
        <v>5762700</v>
      </c>
      <c r="N761" s="20">
        <v>1072800</v>
      </c>
      <c r="O761" s="20">
        <v>408000</v>
      </c>
      <c r="P761" s="20">
        <v>577200</v>
      </c>
      <c r="Q761" s="20">
        <v>1560600</v>
      </c>
      <c r="R761" s="20">
        <v>2274000</v>
      </c>
      <c r="AB761" s="20">
        <v>11655300</v>
      </c>
      <c r="AC761" s="20">
        <v>4360500</v>
      </c>
      <c r="AD761" s="20">
        <v>1072800</v>
      </c>
      <c r="AE761" s="20">
        <v>408000</v>
      </c>
      <c r="AF761" s="20">
        <v>192400</v>
      </c>
      <c r="AG761" s="20">
        <v>1828800</v>
      </c>
      <c r="AH761" s="20">
        <v>1380000</v>
      </c>
      <c r="AR761" s="20">
        <v>9242500</v>
      </c>
      <c r="AS761" s="20">
        <v>6631200</v>
      </c>
      <c r="AT761" s="20">
        <v>804600</v>
      </c>
      <c r="AU761" s="20">
        <v>408000</v>
      </c>
      <c r="AV761" s="20">
        <v>1238800</v>
      </c>
      <c r="AW761" s="20">
        <v>997200</v>
      </c>
      <c r="AX761" s="20">
        <v>1527600</v>
      </c>
      <c r="BH761" s="28">
        <v>11607400</v>
      </c>
      <c r="BI761" s="28">
        <v>32505200</v>
      </c>
    </row>
    <row r="762" spans="1:61" hidden="1" x14ac:dyDescent="0.3">
      <c r="A762" s="1" t="s">
        <v>739</v>
      </c>
      <c r="B762" s="1" t="s">
        <v>108</v>
      </c>
      <c r="C762" s="1" t="s">
        <v>1675</v>
      </c>
      <c r="D762" s="1" t="s">
        <v>1676</v>
      </c>
      <c r="E762" s="1" t="s">
        <v>1695</v>
      </c>
      <c r="F762" s="1" t="s">
        <v>573</v>
      </c>
      <c r="G762" s="1" t="s">
        <v>1696</v>
      </c>
      <c r="H762" s="1" t="s">
        <v>1695</v>
      </c>
      <c r="I762" s="1" t="s">
        <v>548</v>
      </c>
      <c r="J762" s="1" t="s">
        <v>229</v>
      </c>
      <c r="K762" s="1" t="s">
        <v>118</v>
      </c>
      <c r="L762" s="1" t="s">
        <v>103</v>
      </c>
      <c r="M762" s="20">
        <v>5457000</v>
      </c>
      <c r="N762" s="20">
        <v>1609200</v>
      </c>
      <c r="O762" s="20">
        <v>408000</v>
      </c>
      <c r="P762" s="20">
        <v>384800</v>
      </c>
      <c r="Q762" s="20">
        <v>1240200</v>
      </c>
      <c r="R762" s="20">
        <v>1608000</v>
      </c>
      <c r="AB762" s="20">
        <v>10707200</v>
      </c>
      <c r="AC762" s="20">
        <v>4566150</v>
      </c>
      <c r="AD762" s="20">
        <v>804600</v>
      </c>
      <c r="AE762" s="20">
        <v>204000</v>
      </c>
      <c r="AG762" s="20">
        <v>477000</v>
      </c>
      <c r="AH762" s="20">
        <v>1502400</v>
      </c>
      <c r="AR762" s="20">
        <v>7554150</v>
      </c>
      <c r="AS762" s="20">
        <v>6898200</v>
      </c>
      <c r="AT762" s="20">
        <v>1609200</v>
      </c>
      <c r="AU762" s="20">
        <v>408000</v>
      </c>
      <c r="AV762" s="20">
        <v>4708800</v>
      </c>
      <c r="AW762" s="20">
        <v>667800</v>
      </c>
      <c r="AX762" s="20">
        <v>1900800</v>
      </c>
      <c r="BH762" s="28">
        <v>16192800</v>
      </c>
      <c r="BI762" s="28">
        <v>34454150</v>
      </c>
    </row>
    <row r="763" spans="1:61" hidden="1" x14ac:dyDescent="0.3">
      <c r="A763" s="1" t="s">
        <v>739</v>
      </c>
      <c r="B763" s="1" t="s">
        <v>108</v>
      </c>
      <c r="C763" s="1" t="s">
        <v>1675</v>
      </c>
      <c r="D763" s="1" t="s">
        <v>1676</v>
      </c>
      <c r="E763" s="1" t="s">
        <v>1697</v>
      </c>
      <c r="F763" s="1" t="s">
        <v>573</v>
      </c>
      <c r="G763" s="1" t="s">
        <v>1698</v>
      </c>
      <c r="H763" s="1" t="s">
        <v>1697</v>
      </c>
      <c r="I763" s="1" t="s">
        <v>548</v>
      </c>
      <c r="J763" s="1" t="s">
        <v>229</v>
      </c>
      <c r="K763" s="1" t="s">
        <v>118</v>
      </c>
      <c r="L763" s="1" t="s">
        <v>103</v>
      </c>
      <c r="M763" s="20">
        <v>3726600</v>
      </c>
      <c r="N763" s="20">
        <v>804600</v>
      </c>
      <c r="O763" s="20">
        <v>204000</v>
      </c>
      <c r="P763" s="20">
        <v>192400</v>
      </c>
      <c r="Q763" s="20">
        <v>1135800</v>
      </c>
      <c r="R763" s="20">
        <v>894000</v>
      </c>
      <c r="AB763" s="20">
        <v>6957400</v>
      </c>
      <c r="AC763" s="20">
        <v>5179500</v>
      </c>
      <c r="AD763" s="20">
        <v>536400</v>
      </c>
      <c r="AE763" s="20">
        <v>816000</v>
      </c>
      <c r="AG763" s="20">
        <v>754200</v>
      </c>
      <c r="AH763" s="20">
        <v>1322400</v>
      </c>
      <c r="AR763" s="20">
        <v>8608500</v>
      </c>
      <c r="AS763" s="20">
        <v>6316200</v>
      </c>
      <c r="AT763" s="20">
        <v>536400</v>
      </c>
      <c r="AU763" s="20">
        <v>204000</v>
      </c>
      <c r="AV763" s="20">
        <v>1046400</v>
      </c>
      <c r="AW763" s="20">
        <v>1508400</v>
      </c>
      <c r="AX763" s="20">
        <v>1945200</v>
      </c>
      <c r="BH763" s="28">
        <v>11556600</v>
      </c>
      <c r="BI763" s="28">
        <v>27122500</v>
      </c>
    </row>
    <row r="764" spans="1:61" hidden="1" x14ac:dyDescent="0.3">
      <c r="A764" s="1" t="s">
        <v>739</v>
      </c>
      <c r="B764" s="1" t="s">
        <v>108</v>
      </c>
      <c r="C764" s="1" t="s">
        <v>1675</v>
      </c>
      <c r="D764" s="1" t="s">
        <v>1676</v>
      </c>
      <c r="E764" s="1" t="s">
        <v>1699</v>
      </c>
      <c r="F764" s="1" t="s">
        <v>573</v>
      </c>
      <c r="G764" s="1" t="s">
        <v>1700</v>
      </c>
      <c r="H764" s="1" t="s">
        <v>1699</v>
      </c>
      <c r="I764" s="1" t="s">
        <v>548</v>
      </c>
      <c r="J764" s="1" t="s">
        <v>229</v>
      </c>
      <c r="K764" s="1" t="s">
        <v>118</v>
      </c>
      <c r="L764" s="1" t="s">
        <v>103</v>
      </c>
      <c r="M764" s="20">
        <v>8083500</v>
      </c>
      <c r="N764" s="20">
        <v>536400</v>
      </c>
      <c r="O764" s="20">
        <v>204000</v>
      </c>
      <c r="P764" s="20">
        <v>384800</v>
      </c>
      <c r="Q764" s="20">
        <v>1569600</v>
      </c>
      <c r="R764" s="20">
        <v>2056800</v>
      </c>
      <c r="AB764" s="20">
        <v>12835100</v>
      </c>
      <c r="AC764" s="20">
        <v>4890300</v>
      </c>
      <c r="AD764" s="20">
        <v>536400</v>
      </c>
      <c r="AE764" s="20">
        <v>1020000</v>
      </c>
      <c r="AF764" s="20">
        <v>192400</v>
      </c>
      <c r="AG764" s="20">
        <v>2028600</v>
      </c>
      <c r="AH764" s="20">
        <v>2294400</v>
      </c>
      <c r="AR764" s="20">
        <v>10962100</v>
      </c>
      <c r="AS764" s="20">
        <v>7881000</v>
      </c>
      <c r="AT764" s="20">
        <v>1609200</v>
      </c>
      <c r="AU764" s="20">
        <v>204000</v>
      </c>
      <c r="AV764" s="20">
        <v>2877600</v>
      </c>
      <c r="AW764" s="20">
        <v>1274400</v>
      </c>
      <c r="AX764" s="20">
        <v>2308800</v>
      </c>
      <c r="BH764" s="28">
        <v>16155000</v>
      </c>
      <c r="BI764" s="28">
        <v>39952200</v>
      </c>
    </row>
    <row r="765" spans="1:61" hidden="1" x14ac:dyDescent="0.3">
      <c r="A765" s="1" t="s">
        <v>739</v>
      </c>
      <c r="B765" s="1" t="s">
        <v>108</v>
      </c>
      <c r="C765" s="1" t="s">
        <v>1675</v>
      </c>
      <c r="D765" s="1" t="s">
        <v>1676</v>
      </c>
      <c r="E765" s="1" t="s">
        <v>1701</v>
      </c>
      <c r="F765" s="1" t="s">
        <v>573</v>
      </c>
      <c r="G765" s="1" t="s">
        <v>1702</v>
      </c>
      <c r="H765" s="1" t="s">
        <v>1701</v>
      </c>
      <c r="I765" s="1" t="s">
        <v>548</v>
      </c>
      <c r="J765" s="1" t="s">
        <v>229</v>
      </c>
      <c r="K765" s="1" t="s">
        <v>118</v>
      </c>
      <c r="L765" s="1" t="s">
        <v>103</v>
      </c>
      <c r="M765" s="20">
        <v>7667100</v>
      </c>
      <c r="N765" s="20">
        <v>1341000</v>
      </c>
      <c r="O765" s="20">
        <v>408000</v>
      </c>
      <c r="P765" s="20">
        <v>577200</v>
      </c>
      <c r="Q765" s="20">
        <v>1837800</v>
      </c>
      <c r="R765" s="20">
        <v>9380400</v>
      </c>
      <c r="AB765" s="20">
        <v>21211500</v>
      </c>
      <c r="AC765" s="20">
        <v>14099700</v>
      </c>
      <c r="AD765" s="20">
        <v>2145600</v>
      </c>
      <c r="AE765" s="20">
        <v>408000</v>
      </c>
      <c r="AF765" s="20">
        <v>384800</v>
      </c>
      <c r="AG765" s="20">
        <v>1317600</v>
      </c>
      <c r="AH765" s="20">
        <v>6334800</v>
      </c>
      <c r="AR765" s="20">
        <v>24690500</v>
      </c>
      <c r="AS765" s="20">
        <v>9757500</v>
      </c>
      <c r="AT765" s="20">
        <v>1877400</v>
      </c>
      <c r="AU765" s="20">
        <v>408000</v>
      </c>
      <c r="AV765" s="20">
        <v>1416000</v>
      </c>
      <c r="AW765" s="20">
        <v>988200</v>
      </c>
      <c r="AX765" s="20">
        <v>6033600</v>
      </c>
      <c r="BH765" s="28">
        <v>20480700</v>
      </c>
      <c r="BI765" s="28">
        <v>66382700</v>
      </c>
    </row>
    <row r="766" spans="1:61" hidden="1" x14ac:dyDescent="0.3">
      <c r="A766" s="1" t="s">
        <v>739</v>
      </c>
      <c r="B766" s="1" t="s">
        <v>108</v>
      </c>
      <c r="C766" s="1" t="s">
        <v>1675</v>
      </c>
      <c r="D766" s="1" t="s">
        <v>1676</v>
      </c>
      <c r="E766" s="1" t="s">
        <v>1703</v>
      </c>
      <c r="F766" s="1" t="s">
        <v>573</v>
      </c>
      <c r="G766" s="1" t="s">
        <v>1704</v>
      </c>
      <c r="H766" s="1" t="s">
        <v>1703</v>
      </c>
      <c r="I766" s="1" t="s">
        <v>548</v>
      </c>
      <c r="J766" s="1" t="s">
        <v>229</v>
      </c>
      <c r="K766" s="1" t="s">
        <v>118</v>
      </c>
      <c r="L766" s="1" t="s">
        <v>103</v>
      </c>
      <c r="M766" s="20">
        <v>7813500</v>
      </c>
      <c r="N766" s="20">
        <v>804600</v>
      </c>
      <c r="O766" s="20">
        <v>408000</v>
      </c>
      <c r="P766" s="20">
        <v>962000</v>
      </c>
      <c r="Q766" s="20">
        <v>1326600</v>
      </c>
      <c r="R766" s="20">
        <v>3082800</v>
      </c>
      <c r="AB766" s="20">
        <v>14397500</v>
      </c>
      <c r="AC766" s="20">
        <v>5986650</v>
      </c>
      <c r="AD766" s="20">
        <v>1253400</v>
      </c>
      <c r="AE766" s="20">
        <v>816000</v>
      </c>
      <c r="AF766" s="20">
        <v>192400</v>
      </c>
      <c r="AG766" s="20">
        <v>1933200</v>
      </c>
      <c r="AH766" s="20">
        <v>2454000</v>
      </c>
      <c r="AR766" s="20">
        <v>12635650</v>
      </c>
      <c r="AS766" s="20">
        <v>7015950</v>
      </c>
      <c r="AT766" s="20">
        <v>1253400</v>
      </c>
      <c r="AU766" s="20">
        <v>408000</v>
      </c>
      <c r="AV766" s="20">
        <v>2216000</v>
      </c>
      <c r="AW766" s="20">
        <v>754200</v>
      </c>
      <c r="AX766" s="20">
        <v>2592000</v>
      </c>
      <c r="BH766" s="28">
        <v>14239550</v>
      </c>
      <c r="BI766" s="28">
        <v>41272700</v>
      </c>
    </row>
    <row r="767" spans="1:61" hidden="1" x14ac:dyDescent="0.3">
      <c r="A767" s="1" t="s">
        <v>739</v>
      </c>
      <c r="B767" s="1" t="s">
        <v>108</v>
      </c>
      <c r="C767" s="1" t="s">
        <v>1675</v>
      </c>
      <c r="D767" s="1" t="s">
        <v>1676</v>
      </c>
      <c r="E767" s="1" t="s">
        <v>1705</v>
      </c>
      <c r="F767" s="1" t="s">
        <v>573</v>
      </c>
      <c r="G767" s="1" t="s">
        <v>1706</v>
      </c>
      <c r="H767" s="1" t="s">
        <v>1705</v>
      </c>
      <c r="I767" s="1" t="s">
        <v>548</v>
      </c>
      <c r="J767" s="1" t="s">
        <v>229</v>
      </c>
      <c r="K767" s="1" t="s">
        <v>118</v>
      </c>
      <c r="L767" s="1" t="s">
        <v>103</v>
      </c>
      <c r="M767" s="20">
        <v>5147700</v>
      </c>
      <c r="N767" s="20">
        <v>268200</v>
      </c>
      <c r="O767" s="20">
        <v>612000</v>
      </c>
      <c r="P767" s="20">
        <v>384800</v>
      </c>
      <c r="Q767" s="20">
        <v>1144800</v>
      </c>
      <c r="R767" s="20">
        <v>1111200</v>
      </c>
      <c r="AB767" s="20">
        <v>8668700</v>
      </c>
      <c r="AC767" s="20">
        <v>3057600</v>
      </c>
      <c r="AD767" s="20">
        <v>268200</v>
      </c>
      <c r="AE767" s="20">
        <v>408000</v>
      </c>
      <c r="AG767" s="20">
        <v>1404000</v>
      </c>
      <c r="AH767" s="20">
        <v>1380000</v>
      </c>
      <c r="AR767" s="20">
        <v>6517800</v>
      </c>
      <c r="AS767" s="20">
        <v>5257650</v>
      </c>
      <c r="AT767" s="20">
        <v>1072800</v>
      </c>
      <c r="AU767" s="20">
        <v>204000</v>
      </c>
      <c r="AV767" s="20">
        <v>715600</v>
      </c>
      <c r="AW767" s="20">
        <v>1179000</v>
      </c>
      <c r="AX767" s="20">
        <v>1356000</v>
      </c>
      <c r="BH767" s="28">
        <v>9785050</v>
      </c>
      <c r="BI767" s="28">
        <v>24971550</v>
      </c>
    </row>
    <row r="768" spans="1:61" hidden="1" x14ac:dyDescent="0.3">
      <c r="A768" s="1" t="s">
        <v>739</v>
      </c>
      <c r="B768" s="1" t="s">
        <v>108</v>
      </c>
      <c r="C768" s="1" t="s">
        <v>1675</v>
      </c>
      <c r="D768" s="1" t="s">
        <v>1676</v>
      </c>
      <c r="E768" s="1" t="s">
        <v>1707</v>
      </c>
      <c r="F768" s="1" t="s">
        <v>573</v>
      </c>
      <c r="G768" s="1" t="s">
        <v>1708</v>
      </c>
      <c r="H768" s="1" t="s">
        <v>1707</v>
      </c>
      <c r="I768" s="1" t="s">
        <v>548</v>
      </c>
      <c r="J768" s="1" t="s">
        <v>229</v>
      </c>
      <c r="K768" s="1" t="s">
        <v>118</v>
      </c>
      <c r="L768" s="1" t="s">
        <v>103</v>
      </c>
      <c r="M768" s="20">
        <v>16298400</v>
      </c>
      <c r="N768" s="20">
        <v>3486600</v>
      </c>
      <c r="O768" s="20">
        <v>1020000</v>
      </c>
      <c r="P768" s="20">
        <v>1154400</v>
      </c>
      <c r="Q768" s="20">
        <v>2635200</v>
      </c>
      <c r="R768" s="20">
        <v>6722400</v>
      </c>
      <c r="AB768" s="20">
        <v>31317000</v>
      </c>
      <c r="AC768" s="20">
        <v>12555300</v>
      </c>
      <c r="AD768" s="20">
        <v>804600</v>
      </c>
      <c r="AE768" s="20">
        <v>612000</v>
      </c>
      <c r="AF768" s="20">
        <v>1539200</v>
      </c>
      <c r="AG768" s="20">
        <v>3276000</v>
      </c>
      <c r="AH768" s="20">
        <v>6703200</v>
      </c>
      <c r="AR768" s="20">
        <v>25490300</v>
      </c>
      <c r="AS768" s="20">
        <v>12386100</v>
      </c>
      <c r="AT768" s="20">
        <v>4291200</v>
      </c>
      <c r="AU768" s="20">
        <v>408000</v>
      </c>
      <c r="AV768" s="20">
        <v>2354400</v>
      </c>
      <c r="AW768" s="20">
        <v>1837800</v>
      </c>
      <c r="AX768" s="20">
        <v>6009600</v>
      </c>
      <c r="BH768" s="28">
        <v>27287100</v>
      </c>
      <c r="BI768" s="28">
        <v>84094400</v>
      </c>
    </row>
    <row r="769" spans="1:61" hidden="1" x14ac:dyDescent="0.3">
      <c r="A769" s="1" t="s">
        <v>739</v>
      </c>
      <c r="B769" s="1" t="s">
        <v>108</v>
      </c>
      <c r="C769" s="1" t="s">
        <v>1675</v>
      </c>
      <c r="D769" s="1" t="s">
        <v>1676</v>
      </c>
      <c r="E769" s="1" t="s">
        <v>1709</v>
      </c>
      <c r="F769" s="1" t="s">
        <v>573</v>
      </c>
      <c r="G769" s="1" t="s">
        <v>1710</v>
      </c>
      <c r="H769" s="1" t="s">
        <v>1709</v>
      </c>
      <c r="I769" s="1" t="s">
        <v>548</v>
      </c>
      <c r="J769" s="1" t="s">
        <v>229</v>
      </c>
      <c r="K769" s="1" t="s">
        <v>118</v>
      </c>
      <c r="L769" s="1" t="s">
        <v>103</v>
      </c>
      <c r="M769" s="20">
        <v>5974800</v>
      </c>
      <c r="N769" s="20">
        <v>1072800</v>
      </c>
      <c r="O769" s="20">
        <v>612000</v>
      </c>
      <c r="Q769" s="20">
        <v>1508400</v>
      </c>
      <c r="R769" s="20">
        <v>1522800</v>
      </c>
      <c r="AB769" s="20">
        <v>10690800</v>
      </c>
      <c r="AC769" s="20">
        <v>6697500</v>
      </c>
      <c r="AD769" s="20">
        <v>536400</v>
      </c>
      <c r="AE769" s="20">
        <v>1224000</v>
      </c>
      <c r="AF769" s="20">
        <v>384800</v>
      </c>
      <c r="AG769" s="20">
        <v>2262600</v>
      </c>
      <c r="AH769" s="20">
        <v>1845600</v>
      </c>
      <c r="AR769" s="20">
        <v>12950900</v>
      </c>
      <c r="AS769" s="20">
        <v>7678050</v>
      </c>
      <c r="AT769" s="20">
        <v>1609200</v>
      </c>
      <c r="AU769" s="20">
        <v>1428000</v>
      </c>
      <c r="AV769" s="20">
        <v>1569600</v>
      </c>
      <c r="AW769" s="20">
        <v>1603800</v>
      </c>
      <c r="AX769" s="20">
        <v>2587200</v>
      </c>
      <c r="BH769" s="28">
        <v>16475850</v>
      </c>
      <c r="BI769" s="28">
        <v>40117550</v>
      </c>
    </row>
    <row r="770" spans="1:61" hidden="1" x14ac:dyDescent="0.3">
      <c r="A770" s="1" t="s">
        <v>739</v>
      </c>
      <c r="B770" s="1" t="s">
        <v>108</v>
      </c>
      <c r="C770" s="1" t="s">
        <v>1675</v>
      </c>
      <c r="D770" s="1" t="s">
        <v>1676</v>
      </c>
      <c r="E770" s="1" t="s">
        <v>1711</v>
      </c>
      <c r="F770" s="1" t="s">
        <v>573</v>
      </c>
      <c r="G770" s="1" t="s">
        <v>1712</v>
      </c>
      <c r="H770" s="1" t="s">
        <v>1711</v>
      </c>
      <c r="I770" s="1" t="s">
        <v>548</v>
      </c>
      <c r="J770" s="1" t="s">
        <v>229</v>
      </c>
      <c r="K770" s="1" t="s">
        <v>118</v>
      </c>
      <c r="L770" s="1" t="s">
        <v>103</v>
      </c>
      <c r="M770" s="20">
        <v>4791000</v>
      </c>
      <c r="N770" s="20">
        <v>804600</v>
      </c>
      <c r="O770" s="20">
        <v>408000</v>
      </c>
      <c r="P770" s="20">
        <v>962000</v>
      </c>
      <c r="Q770" s="20">
        <v>1188000</v>
      </c>
      <c r="R770" s="20">
        <v>2005200</v>
      </c>
      <c r="AB770" s="20">
        <v>10158800</v>
      </c>
      <c r="AC770" s="20">
        <v>4903200</v>
      </c>
      <c r="AD770" s="20">
        <v>536400</v>
      </c>
      <c r="AE770" s="20">
        <v>204000</v>
      </c>
      <c r="AF770" s="20">
        <v>384800</v>
      </c>
      <c r="AG770" s="20">
        <v>1803600</v>
      </c>
      <c r="AH770" s="20">
        <v>1713600</v>
      </c>
      <c r="AR770" s="20">
        <v>9545600</v>
      </c>
      <c r="AS770" s="20">
        <v>7688850</v>
      </c>
      <c r="AT770" s="20">
        <v>804600</v>
      </c>
      <c r="AV770" s="20">
        <v>2477600</v>
      </c>
      <c r="AW770" s="20">
        <v>1326600</v>
      </c>
      <c r="AX770" s="20">
        <v>2406000</v>
      </c>
      <c r="BH770" s="28">
        <v>14703650</v>
      </c>
      <c r="BI770" s="28">
        <v>34408050</v>
      </c>
    </row>
    <row r="771" spans="1:61" hidden="1" x14ac:dyDescent="0.3">
      <c r="A771" s="1" t="s">
        <v>739</v>
      </c>
      <c r="B771" s="1" t="s">
        <v>108</v>
      </c>
      <c r="C771" s="1" t="s">
        <v>1675</v>
      </c>
      <c r="D771" s="1" t="s">
        <v>1676</v>
      </c>
      <c r="E771" s="1" t="s">
        <v>1713</v>
      </c>
      <c r="F771" s="1" t="s">
        <v>573</v>
      </c>
      <c r="G771" s="1" t="s">
        <v>1714</v>
      </c>
      <c r="H771" s="1" t="s">
        <v>1713</v>
      </c>
      <c r="I771" s="1" t="s">
        <v>548</v>
      </c>
      <c r="J771" s="1" t="s">
        <v>229</v>
      </c>
      <c r="K771" s="1" t="s">
        <v>118</v>
      </c>
      <c r="L771" s="1" t="s">
        <v>103</v>
      </c>
      <c r="M771" s="20">
        <v>4304700</v>
      </c>
      <c r="Q771" s="20">
        <v>1517400</v>
      </c>
      <c r="R771" s="20">
        <v>2400000</v>
      </c>
      <c r="AB771" s="20">
        <v>8222100</v>
      </c>
      <c r="AC771" s="20">
        <v>4758450</v>
      </c>
      <c r="AD771" s="20">
        <v>804600</v>
      </c>
      <c r="AE771" s="20">
        <v>204000</v>
      </c>
      <c r="AG771" s="20">
        <v>2071800</v>
      </c>
      <c r="AH771" s="20">
        <v>2865600</v>
      </c>
      <c r="AR771" s="20">
        <v>10704450</v>
      </c>
      <c r="AS771" s="20">
        <v>7130100</v>
      </c>
      <c r="AT771" s="20">
        <v>1341000</v>
      </c>
      <c r="AU771" s="20">
        <v>1224000</v>
      </c>
      <c r="AV771" s="20">
        <v>523200</v>
      </c>
      <c r="AW771" s="20">
        <v>858600</v>
      </c>
      <c r="AX771" s="20">
        <v>2334000</v>
      </c>
      <c r="BH771" s="28">
        <v>13410900</v>
      </c>
      <c r="BI771" s="28">
        <v>32337450</v>
      </c>
    </row>
    <row r="772" spans="1:61" hidden="1" x14ac:dyDescent="0.3">
      <c r="A772" s="1" t="s">
        <v>739</v>
      </c>
      <c r="B772" s="1" t="s">
        <v>108</v>
      </c>
      <c r="C772" s="1" t="s">
        <v>1675</v>
      </c>
      <c r="D772" s="1" t="s">
        <v>1676</v>
      </c>
      <c r="E772" s="1" t="s">
        <v>1715</v>
      </c>
      <c r="F772" s="1" t="s">
        <v>573</v>
      </c>
      <c r="G772" s="1" t="s">
        <v>1716</v>
      </c>
      <c r="H772" s="1" t="s">
        <v>1715</v>
      </c>
      <c r="I772" s="1" t="s">
        <v>548</v>
      </c>
      <c r="J772" s="1" t="s">
        <v>229</v>
      </c>
      <c r="K772" s="1" t="s">
        <v>118</v>
      </c>
      <c r="L772" s="1" t="s">
        <v>103</v>
      </c>
      <c r="M772" s="20">
        <v>2778900</v>
      </c>
      <c r="O772" s="20">
        <v>408000</v>
      </c>
      <c r="P772" s="20">
        <v>192400</v>
      </c>
      <c r="Q772" s="20">
        <v>381600</v>
      </c>
      <c r="R772" s="20">
        <v>2180400</v>
      </c>
      <c r="AB772" s="20">
        <v>5941300</v>
      </c>
      <c r="AC772" s="20">
        <v>2809800</v>
      </c>
      <c r="AG772" s="20">
        <v>520200</v>
      </c>
      <c r="AH772" s="20">
        <v>1351200</v>
      </c>
      <c r="AR772" s="20">
        <v>4681200</v>
      </c>
      <c r="AS772" s="20">
        <v>5395500</v>
      </c>
      <c r="AU772" s="20">
        <v>204000</v>
      </c>
      <c r="AV772" s="20">
        <v>2092800</v>
      </c>
      <c r="AW772" s="20">
        <v>190800</v>
      </c>
      <c r="AX772" s="20">
        <v>1887600</v>
      </c>
      <c r="BH772" s="28">
        <v>9770700</v>
      </c>
      <c r="BI772" s="28">
        <v>20393200</v>
      </c>
    </row>
    <row r="773" spans="1:61" hidden="1" x14ac:dyDescent="0.3">
      <c r="A773" s="1" t="s">
        <v>739</v>
      </c>
      <c r="B773" s="1" t="s">
        <v>108</v>
      </c>
      <c r="C773" s="1" t="s">
        <v>1675</v>
      </c>
      <c r="D773" s="1" t="s">
        <v>1676</v>
      </c>
      <c r="E773" s="1" t="s">
        <v>1717</v>
      </c>
      <c r="F773" s="1" t="s">
        <v>573</v>
      </c>
      <c r="G773" s="1" t="s">
        <v>1718</v>
      </c>
      <c r="H773" s="1" t="s">
        <v>1717</v>
      </c>
      <c r="I773" s="1" t="s">
        <v>548</v>
      </c>
      <c r="J773" s="1" t="s">
        <v>229</v>
      </c>
      <c r="K773" s="1" t="s">
        <v>118</v>
      </c>
      <c r="L773" s="1" t="s">
        <v>103</v>
      </c>
      <c r="M773" s="20">
        <v>6054300</v>
      </c>
      <c r="N773" s="20">
        <v>985200</v>
      </c>
      <c r="O773" s="20">
        <v>408000</v>
      </c>
      <c r="P773" s="20">
        <v>384800</v>
      </c>
      <c r="Q773" s="20">
        <v>2228400</v>
      </c>
      <c r="R773" s="20">
        <v>1731600</v>
      </c>
      <c r="AB773" s="20">
        <v>11792300</v>
      </c>
      <c r="AC773" s="20">
        <v>5033700</v>
      </c>
      <c r="AD773" s="20">
        <v>536400</v>
      </c>
      <c r="AE773" s="20">
        <v>612000</v>
      </c>
      <c r="AG773" s="20">
        <v>1603800</v>
      </c>
      <c r="AH773" s="20">
        <v>2085600</v>
      </c>
      <c r="AR773" s="20">
        <v>9871500</v>
      </c>
      <c r="AS773" s="20">
        <v>5277000</v>
      </c>
      <c r="AT773" s="20">
        <v>1072800</v>
      </c>
      <c r="AU773" s="20">
        <v>408000</v>
      </c>
      <c r="AV773" s="20">
        <v>1431200</v>
      </c>
      <c r="AW773" s="20">
        <v>3025800</v>
      </c>
      <c r="AX773" s="20">
        <v>2336400</v>
      </c>
      <c r="BH773" s="28">
        <v>13551200</v>
      </c>
      <c r="BI773" s="28">
        <v>35215000</v>
      </c>
    </row>
    <row r="774" spans="1:61" hidden="1" x14ac:dyDescent="0.3">
      <c r="A774" s="1" t="s">
        <v>739</v>
      </c>
      <c r="B774" s="1" t="s">
        <v>108</v>
      </c>
      <c r="C774" s="1" t="s">
        <v>1675</v>
      </c>
      <c r="D774" s="1" t="s">
        <v>1676</v>
      </c>
      <c r="E774" s="1" t="s">
        <v>1719</v>
      </c>
      <c r="F774" s="1" t="s">
        <v>573</v>
      </c>
      <c r="G774" s="1" t="s">
        <v>1720</v>
      </c>
      <c r="H774" s="1" t="s">
        <v>1719</v>
      </c>
      <c r="I774" s="1" t="s">
        <v>548</v>
      </c>
      <c r="J774" s="1" t="s">
        <v>229</v>
      </c>
      <c r="K774" s="1" t="s">
        <v>118</v>
      </c>
      <c r="L774" s="1" t="s">
        <v>103</v>
      </c>
      <c r="M774" s="20">
        <v>3461100</v>
      </c>
      <c r="N774" s="20">
        <v>804600</v>
      </c>
      <c r="P774" s="20">
        <v>192400</v>
      </c>
      <c r="Q774" s="20">
        <v>858600</v>
      </c>
      <c r="R774" s="20">
        <v>1665600</v>
      </c>
      <c r="AB774" s="20">
        <v>6982300</v>
      </c>
      <c r="AC774" s="20">
        <v>5066400</v>
      </c>
      <c r="AD774" s="20">
        <v>1253400</v>
      </c>
      <c r="AE774" s="20">
        <v>612000</v>
      </c>
      <c r="AG774" s="20">
        <v>1240200</v>
      </c>
      <c r="AH774" s="20">
        <v>1800000</v>
      </c>
      <c r="AR774" s="20">
        <v>9972000</v>
      </c>
      <c r="AS774" s="20">
        <v>5835000</v>
      </c>
      <c r="AT774" s="20">
        <v>1341000</v>
      </c>
      <c r="AU774" s="20">
        <v>204000</v>
      </c>
      <c r="AV774" s="20">
        <v>784800</v>
      </c>
      <c r="AW774" s="20">
        <v>1144800</v>
      </c>
      <c r="AX774" s="20">
        <v>2455200</v>
      </c>
      <c r="BH774" s="28">
        <v>11764800</v>
      </c>
      <c r="BI774" s="28">
        <v>28719100</v>
      </c>
    </row>
    <row r="775" spans="1:61" hidden="1" x14ac:dyDescent="0.3">
      <c r="A775" s="1" t="s">
        <v>739</v>
      </c>
      <c r="B775" s="1" t="s">
        <v>108</v>
      </c>
      <c r="C775" s="1" t="s">
        <v>1675</v>
      </c>
      <c r="D775" s="1" t="s">
        <v>1676</v>
      </c>
      <c r="E775" s="1" t="s">
        <v>1721</v>
      </c>
      <c r="F775" s="1" t="s">
        <v>573</v>
      </c>
      <c r="G775" s="1" t="s">
        <v>1722</v>
      </c>
      <c r="H775" s="1" t="s">
        <v>1721</v>
      </c>
      <c r="I775" s="1" t="s">
        <v>548</v>
      </c>
      <c r="J775" s="1" t="s">
        <v>229</v>
      </c>
      <c r="K775" s="1" t="s">
        <v>118</v>
      </c>
      <c r="L775" s="1" t="s">
        <v>103</v>
      </c>
      <c r="M775" s="20">
        <v>6591000</v>
      </c>
      <c r="N775" s="20">
        <v>1072800</v>
      </c>
      <c r="O775" s="20">
        <v>612000</v>
      </c>
      <c r="Q775" s="20">
        <v>1517400</v>
      </c>
      <c r="R775" s="20">
        <v>2205600</v>
      </c>
      <c r="AB775" s="20">
        <v>11998800</v>
      </c>
      <c r="AC775" s="20">
        <v>5872650</v>
      </c>
      <c r="AD775" s="20">
        <v>804600</v>
      </c>
      <c r="AE775" s="20">
        <v>1020000</v>
      </c>
      <c r="AF775" s="20">
        <v>384800</v>
      </c>
      <c r="AG775" s="20">
        <v>1612800</v>
      </c>
      <c r="AH775" s="20">
        <v>3205200</v>
      </c>
      <c r="AR775" s="20">
        <v>12900050</v>
      </c>
      <c r="AS775" s="20">
        <v>6645150</v>
      </c>
      <c r="AT775" s="20">
        <v>804600</v>
      </c>
      <c r="AV775" s="20">
        <v>1500400</v>
      </c>
      <c r="AW775" s="20">
        <v>1465200</v>
      </c>
      <c r="AX775" s="20">
        <v>3002400</v>
      </c>
      <c r="BH775" s="28">
        <v>13417750</v>
      </c>
      <c r="BI775" s="28">
        <v>38316600</v>
      </c>
    </row>
    <row r="776" spans="1:61" hidden="1" x14ac:dyDescent="0.3">
      <c r="A776" s="1" t="s">
        <v>739</v>
      </c>
      <c r="B776" s="1" t="s">
        <v>108</v>
      </c>
      <c r="C776" s="1" t="s">
        <v>1675</v>
      </c>
      <c r="D776" s="1" t="s">
        <v>1676</v>
      </c>
      <c r="E776" s="1" t="s">
        <v>1723</v>
      </c>
      <c r="F776" s="1" t="s">
        <v>573</v>
      </c>
      <c r="G776" s="1" t="s">
        <v>1724</v>
      </c>
      <c r="H776" s="1" t="s">
        <v>1723</v>
      </c>
      <c r="I776" s="1" t="s">
        <v>548</v>
      </c>
      <c r="J776" s="1" t="s">
        <v>229</v>
      </c>
      <c r="K776" s="1" t="s">
        <v>118</v>
      </c>
      <c r="L776" s="1" t="s">
        <v>103</v>
      </c>
      <c r="M776" s="20">
        <v>5001300</v>
      </c>
      <c r="N776" s="20">
        <v>268200</v>
      </c>
      <c r="P776" s="20">
        <v>384800</v>
      </c>
      <c r="Q776" s="20">
        <v>615600</v>
      </c>
      <c r="R776" s="20">
        <v>1702800</v>
      </c>
      <c r="AB776" s="20">
        <v>7972700</v>
      </c>
      <c r="AC776" s="20">
        <v>5251200</v>
      </c>
      <c r="AE776" s="20">
        <v>408000</v>
      </c>
      <c r="AG776" s="20">
        <v>711000</v>
      </c>
      <c r="AH776" s="20">
        <v>1597200</v>
      </c>
      <c r="AR776" s="20">
        <v>7967400</v>
      </c>
      <c r="AS776" s="20">
        <v>5416800</v>
      </c>
      <c r="AT776" s="20">
        <v>1702200</v>
      </c>
      <c r="AU776" s="20">
        <v>204000</v>
      </c>
      <c r="AV776" s="20">
        <v>908000</v>
      </c>
      <c r="AW776" s="20">
        <v>286200</v>
      </c>
      <c r="AX776" s="20">
        <v>2104800</v>
      </c>
      <c r="BH776" s="28">
        <v>10622000</v>
      </c>
      <c r="BI776" s="28">
        <v>26562100</v>
      </c>
    </row>
    <row r="777" spans="1:61" hidden="1" x14ac:dyDescent="0.3">
      <c r="A777" s="1" t="s">
        <v>739</v>
      </c>
      <c r="B777" s="1" t="s">
        <v>108</v>
      </c>
      <c r="C777" s="1" t="s">
        <v>1675</v>
      </c>
      <c r="D777" s="1" t="s">
        <v>1676</v>
      </c>
      <c r="E777" s="1" t="s">
        <v>1725</v>
      </c>
      <c r="F777" s="1" t="s">
        <v>573</v>
      </c>
      <c r="G777" s="1" t="s">
        <v>1726</v>
      </c>
      <c r="H777" s="1" t="s">
        <v>1725</v>
      </c>
      <c r="I777" s="1" t="s">
        <v>548</v>
      </c>
      <c r="J777" s="1" t="s">
        <v>229</v>
      </c>
      <c r="K777" s="1" t="s">
        <v>118</v>
      </c>
      <c r="L777" s="1" t="s">
        <v>103</v>
      </c>
      <c r="M777" s="20">
        <v>7612200</v>
      </c>
      <c r="N777" s="20">
        <v>536400</v>
      </c>
      <c r="O777" s="20">
        <v>816000</v>
      </c>
      <c r="P777" s="20">
        <v>769600</v>
      </c>
      <c r="Q777" s="20">
        <v>849600</v>
      </c>
      <c r="R777" s="20">
        <v>2131200</v>
      </c>
      <c r="AB777" s="20">
        <v>12715000</v>
      </c>
      <c r="AC777" s="20">
        <v>2941200</v>
      </c>
      <c r="AD777" s="20">
        <v>268200</v>
      </c>
      <c r="AE777" s="20">
        <v>204000</v>
      </c>
      <c r="AG777" s="20">
        <v>520200</v>
      </c>
      <c r="AH777" s="20">
        <v>951600</v>
      </c>
      <c r="AR777" s="20">
        <v>4885200</v>
      </c>
      <c r="AS777" s="20">
        <v>4635000</v>
      </c>
      <c r="AT777" s="20">
        <v>1341000</v>
      </c>
      <c r="AV777" s="20">
        <v>1046400</v>
      </c>
      <c r="AW777" s="20">
        <v>806400</v>
      </c>
      <c r="AX777" s="20">
        <v>2004000</v>
      </c>
      <c r="BH777" s="28">
        <v>9832800</v>
      </c>
      <c r="BI777" s="28">
        <v>27433000</v>
      </c>
    </row>
    <row r="778" spans="1:61" hidden="1" x14ac:dyDescent="0.3">
      <c r="A778" s="1" t="s">
        <v>739</v>
      </c>
      <c r="B778" s="1" t="s">
        <v>108</v>
      </c>
      <c r="C778" s="1" t="s">
        <v>1675</v>
      </c>
      <c r="D778" s="1" t="s">
        <v>1676</v>
      </c>
      <c r="E778" s="1" t="s">
        <v>1727</v>
      </c>
      <c r="F778" s="1" t="s">
        <v>573</v>
      </c>
      <c r="G778" s="1" t="s">
        <v>1728</v>
      </c>
      <c r="H778" s="1" t="s">
        <v>1727</v>
      </c>
      <c r="I778" s="1" t="s">
        <v>548</v>
      </c>
      <c r="J778" s="1" t="s">
        <v>229</v>
      </c>
      <c r="K778" s="1" t="s">
        <v>118</v>
      </c>
      <c r="L778" s="1" t="s">
        <v>103</v>
      </c>
      <c r="M778" s="20">
        <v>9146400</v>
      </c>
      <c r="N778" s="20">
        <v>804600</v>
      </c>
      <c r="O778" s="20">
        <v>1020000</v>
      </c>
      <c r="P778" s="20">
        <v>577200</v>
      </c>
      <c r="Q778" s="20">
        <v>1508400</v>
      </c>
      <c r="R778" s="20">
        <v>2511600</v>
      </c>
      <c r="AB778" s="20">
        <v>15568200</v>
      </c>
      <c r="AC778" s="20">
        <v>4165200</v>
      </c>
      <c r="AD778" s="20">
        <v>536400</v>
      </c>
      <c r="AE778" s="20">
        <v>204000</v>
      </c>
      <c r="AF778" s="20">
        <v>577200</v>
      </c>
      <c r="AG778" s="20">
        <v>1040400</v>
      </c>
      <c r="AH778" s="20">
        <v>1539600</v>
      </c>
      <c r="AR778" s="20">
        <v>8062800</v>
      </c>
      <c r="AS778" s="20">
        <v>4131600</v>
      </c>
      <c r="AT778" s="20">
        <v>1521600</v>
      </c>
      <c r="AU778" s="20">
        <v>612000</v>
      </c>
      <c r="AV778" s="20">
        <v>192400</v>
      </c>
      <c r="AW778" s="20">
        <v>763200</v>
      </c>
      <c r="AX778" s="20">
        <v>896400</v>
      </c>
      <c r="BH778" s="28">
        <v>8117200</v>
      </c>
      <c r="BI778" s="28">
        <v>31748200</v>
      </c>
    </row>
    <row r="779" spans="1:61" hidden="1" x14ac:dyDescent="0.3">
      <c r="A779" s="1" t="s">
        <v>739</v>
      </c>
      <c r="B779" s="1" t="s">
        <v>108</v>
      </c>
      <c r="C779" s="1" t="s">
        <v>1675</v>
      </c>
      <c r="D779" s="1" t="s">
        <v>1676</v>
      </c>
      <c r="E779" s="1" t="s">
        <v>1729</v>
      </c>
      <c r="F779" s="1" t="s">
        <v>573</v>
      </c>
      <c r="G779" s="1" t="s">
        <v>1730</v>
      </c>
      <c r="H779" s="1" t="s">
        <v>1729</v>
      </c>
      <c r="I779" s="1" t="s">
        <v>548</v>
      </c>
      <c r="J779" s="1" t="s">
        <v>229</v>
      </c>
      <c r="K779" s="1" t="s">
        <v>118</v>
      </c>
      <c r="L779" s="1" t="s">
        <v>103</v>
      </c>
      <c r="AS779" s="20">
        <v>16041750</v>
      </c>
      <c r="AT779" s="20">
        <v>2955600</v>
      </c>
      <c r="AU779" s="20">
        <v>1428000</v>
      </c>
      <c r="AV779" s="20">
        <v>1346800</v>
      </c>
      <c r="AW779" s="20">
        <v>1837800</v>
      </c>
      <c r="AX779" s="20">
        <v>6784800</v>
      </c>
      <c r="BH779" s="28">
        <v>30394750</v>
      </c>
      <c r="BI779" s="28">
        <v>30394750</v>
      </c>
    </row>
    <row r="780" spans="1:61" hidden="1" x14ac:dyDescent="0.3">
      <c r="A780" s="1" t="s">
        <v>739</v>
      </c>
      <c r="B780" s="1" t="s">
        <v>108</v>
      </c>
      <c r="C780" s="1" t="s">
        <v>1731</v>
      </c>
      <c r="D780" s="1" t="s">
        <v>1732</v>
      </c>
      <c r="E780" s="1" t="s">
        <v>1733</v>
      </c>
      <c r="F780" s="1" t="s">
        <v>573</v>
      </c>
      <c r="G780" s="1" t="s">
        <v>1734</v>
      </c>
      <c r="H780" s="1" t="s">
        <v>1733</v>
      </c>
      <c r="I780" s="1" t="s">
        <v>548</v>
      </c>
      <c r="J780" s="1" t="s">
        <v>229</v>
      </c>
      <c r="K780" s="1" t="s">
        <v>118</v>
      </c>
      <c r="L780" s="1" t="s">
        <v>103</v>
      </c>
      <c r="M780" s="20">
        <v>1861500</v>
      </c>
      <c r="N780" s="20">
        <v>985200</v>
      </c>
      <c r="O780" s="20">
        <v>204000</v>
      </c>
      <c r="P780" s="20">
        <v>577200</v>
      </c>
      <c r="Q780" s="20">
        <v>615600</v>
      </c>
      <c r="R780" s="20">
        <v>999600</v>
      </c>
      <c r="AB780" s="20">
        <v>5243100</v>
      </c>
      <c r="AC780" s="20">
        <v>6150300</v>
      </c>
      <c r="AD780" s="20">
        <v>268200</v>
      </c>
      <c r="AE780" s="20">
        <v>408000</v>
      </c>
      <c r="AF780" s="20">
        <v>192400</v>
      </c>
      <c r="AG780" s="20">
        <v>563400</v>
      </c>
      <c r="AH780" s="20">
        <v>1988400</v>
      </c>
      <c r="AR780" s="20">
        <v>9570700</v>
      </c>
      <c r="AS780" s="20">
        <v>3937800</v>
      </c>
      <c r="AT780" s="20">
        <v>536400</v>
      </c>
      <c r="AV780" s="20">
        <v>1831200</v>
      </c>
      <c r="AW780" s="20">
        <v>468000</v>
      </c>
      <c r="AX780" s="20">
        <v>1635600</v>
      </c>
      <c r="BH780" s="28">
        <v>8409000</v>
      </c>
      <c r="BI780" s="28">
        <v>23222800</v>
      </c>
    </row>
    <row r="781" spans="1:61" hidden="1" x14ac:dyDescent="0.3">
      <c r="A781" s="1" t="s">
        <v>739</v>
      </c>
      <c r="B781" s="1" t="s">
        <v>108</v>
      </c>
      <c r="C781" s="1" t="s">
        <v>1731</v>
      </c>
      <c r="D781" s="1" t="s">
        <v>1732</v>
      </c>
      <c r="E781" s="1" t="s">
        <v>1735</v>
      </c>
      <c r="F781" s="1" t="s">
        <v>573</v>
      </c>
      <c r="G781" s="1" t="s">
        <v>1736</v>
      </c>
      <c r="H781" s="1" t="s">
        <v>1735</v>
      </c>
      <c r="I781" s="1" t="s">
        <v>548</v>
      </c>
      <c r="J781" s="1" t="s">
        <v>229</v>
      </c>
      <c r="K781" s="1" t="s">
        <v>118</v>
      </c>
      <c r="L781" s="1" t="s">
        <v>103</v>
      </c>
      <c r="M781" s="20">
        <v>4604700</v>
      </c>
      <c r="N781" s="20">
        <v>268200</v>
      </c>
      <c r="P781" s="20">
        <v>192400</v>
      </c>
      <c r="Q781" s="20">
        <v>615600</v>
      </c>
      <c r="R781" s="20">
        <v>457200</v>
      </c>
      <c r="AB781" s="20">
        <v>6138100</v>
      </c>
      <c r="AC781" s="20">
        <v>3091650</v>
      </c>
      <c r="AD781" s="20">
        <v>536400</v>
      </c>
      <c r="AE781" s="20">
        <v>204000</v>
      </c>
      <c r="AF781" s="20">
        <v>192400</v>
      </c>
      <c r="AG781" s="20">
        <v>329400</v>
      </c>
      <c r="AH781" s="20">
        <v>1417200</v>
      </c>
      <c r="AR781" s="20">
        <v>5771050</v>
      </c>
      <c r="AS781" s="20">
        <v>3253500</v>
      </c>
      <c r="AT781" s="20">
        <v>536400</v>
      </c>
      <c r="AU781" s="20">
        <v>204000</v>
      </c>
      <c r="AV781" s="20">
        <v>977200</v>
      </c>
      <c r="AW781" s="20">
        <v>615600</v>
      </c>
      <c r="AX781" s="20">
        <v>602400</v>
      </c>
      <c r="BH781" s="28">
        <v>6189100</v>
      </c>
      <c r="BI781" s="28">
        <v>18098250</v>
      </c>
    </row>
    <row r="782" spans="1:61" hidden="1" x14ac:dyDescent="0.3">
      <c r="A782" s="1" t="s">
        <v>739</v>
      </c>
      <c r="B782" s="1" t="s">
        <v>108</v>
      </c>
      <c r="C782" s="1" t="s">
        <v>1731</v>
      </c>
      <c r="D782" s="1" t="s">
        <v>1732</v>
      </c>
      <c r="E782" s="1" t="s">
        <v>1737</v>
      </c>
      <c r="F782" s="1" t="s">
        <v>573</v>
      </c>
      <c r="G782" s="1" t="s">
        <v>1738</v>
      </c>
      <c r="H782" s="1" t="s">
        <v>1737</v>
      </c>
      <c r="I782" s="1" t="s">
        <v>548</v>
      </c>
      <c r="J782" s="1" t="s">
        <v>229</v>
      </c>
      <c r="K782" s="1" t="s">
        <v>118</v>
      </c>
      <c r="L782" s="1" t="s">
        <v>103</v>
      </c>
      <c r="M782" s="20">
        <v>7566000</v>
      </c>
      <c r="N782" s="20">
        <v>985200</v>
      </c>
      <c r="O782" s="20">
        <v>816000</v>
      </c>
      <c r="P782" s="20">
        <v>192400</v>
      </c>
      <c r="Q782" s="20">
        <v>1188000</v>
      </c>
      <c r="R782" s="20">
        <v>1816800</v>
      </c>
      <c r="AB782" s="20">
        <v>12564400</v>
      </c>
      <c r="AC782" s="20">
        <v>2173200</v>
      </c>
      <c r="AD782" s="20">
        <v>268200</v>
      </c>
      <c r="AE782" s="20">
        <v>612000</v>
      </c>
      <c r="AF782" s="20">
        <v>384800</v>
      </c>
      <c r="AG782" s="20">
        <v>658800</v>
      </c>
      <c r="AH782" s="20">
        <v>1245600</v>
      </c>
      <c r="AR782" s="20">
        <v>5342600</v>
      </c>
      <c r="AS782" s="20">
        <v>6438000</v>
      </c>
      <c r="AT782" s="20">
        <v>1072800</v>
      </c>
      <c r="AV782" s="20">
        <v>1500400</v>
      </c>
      <c r="AW782" s="20">
        <v>849600</v>
      </c>
      <c r="AX782" s="20">
        <v>1707600</v>
      </c>
      <c r="BH782" s="28">
        <v>11568400</v>
      </c>
      <c r="BI782" s="28">
        <v>29475400</v>
      </c>
    </row>
    <row r="783" spans="1:61" hidden="1" x14ac:dyDescent="0.3">
      <c r="A783" s="1" t="s">
        <v>739</v>
      </c>
      <c r="B783" s="1" t="s">
        <v>108</v>
      </c>
      <c r="C783" s="1" t="s">
        <v>1739</v>
      </c>
      <c r="D783" s="1" t="s">
        <v>1732</v>
      </c>
      <c r="E783" s="1" t="s">
        <v>1740</v>
      </c>
      <c r="F783" s="1" t="s">
        <v>573</v>
      </c>
      <c r="G783" s="1" t="s">
        <v>1741</v>
      </c>
      <c r="H783" s="1" t="s">
        <v>1740</v>
      </c>
      <c r="I783" s="1" t="s">
        <v>548</v>
      </c>
      <c r="J783" s="1" t="s">
        <v>229</v>
      </c>
      <c r="K783" s="1" t="s">
        <v>118</v>
      </c>
      <c r="L783" s="1" t="s">
        <v>103</v>
      </c>
      <c r="M783" s="20">
        <v>4829700</v>
      </c>
      <c r="O783" s="20">
        <v>408000</v>
      </c>
      <c r="P783" s="20">
        <v>577200</v>
      </c>
      <c r="Q783" s="20">
        <v>945000</v>
      </c>
      <c r="R783" s="20">
        <v>1408800</v>
      </c>
      <c r="AB783" s="20">
        <v>8168700</v>
      </c>
      <c r="AC783" s="20">
        <v>3742050</v>
      </c>
      <c r="AE783" s="20">
        <v>1224000</v>
      </c>
      <c r="AF783" s="20">
        <v>192400</v>
      </c>
      <c r="AG783" s="20">
        <v>1742400</v>
      </c>
      <c r="AH783" s="20">
        <v>1980000</v>
      </c>
      <c r="AR783" s="20">
        <v>8880850</v>
      </c>
      <c r="AS783" s="20">
        <v>7398300</v>
      </c>
      <c r="AT783" s="20">
        <v>268200</v>
      </c>
      <c r="AU783" s="20">
        <v>612000</v>
      </c>
      <c r="AV783" s="20">
        <v>261600</v>
      </c>
      <c r="AW783" s="20">
        <v>1040400</v>
      </c>
      <c r="AX783" s="20">
        <v>1562400</v>
      </c>
      <c r="BH783" s="28">
        <v>11142900</v>
      </c>
      <c r="BI783" s="28">
        <v>28192450</v>
      </c>
    </row>
    <row r="784" spans="1:61" hidden="1" x14ac:dyDescent="0.3">
      <c r="A784" s="1" t="s">
        <v>739</v>
      </c>
      <c r="B784" s="1" t="s">
        <v>108</v>
      </c>
      <c r="C784" s="1" t="s">
        <v>1739</v>
      </c>
      <c r="D784" s="1" t="s">
        <v>1732</v>
      </c>
      <c r="E784" s="1" t="s">
        <v>1742</v>
      </c>
      <c r="F784" s="1" t="s">
        <v>573</v>
      </c>
      <c r="G784" s="1" t="s">
        <v>1743</v>
      </c>
      <c r="H784" s="1" t="s">
        <v>1742</v>
      </c>
      <c r="I784" s="1" t="s">
        <v>548</v>
      </c>
      <c r="J784" s="1" t="s">
        <v>229</v>
      </c>
      <c r="K784" s="1" t="s">
        <v>118</v>
      </c>
      <c r="L784" s="1" t="s">
        <v>103</v>
      </c>
      <c r="M784" s="20">
        <v>7047000</v>
      </c>
      <c r="N784" s="20">
        <v>1789800</v>
      </c>
      <c r="O784" s="20">
        <v>612000</v>
      </c>
      <c r="P784" s="20">
        <v>962000</v>
      </c>
      <c r="Q784" s="20">
        <v>1612800</v>
      </c>
      <c r="R784" s="20">
        <v>3291600</v>
      </c>
      <c r="AB784" s="20">
        <v>15315200</v>
      </c>
      <c r="AC784" s="20">
        <v>7355100</v>
      </c>
      <c r="AD784" s="20">
        <v>1521600</v>
      </c>
      <c r="AE784" s="20">
        <v>1224000</v>
      </c>
      <c r="AF784" s="20">
        <v>192400</v>
      </c>
      <c r="AG784" s="20">
        <v>2115000</v>
      </c>
      <c r="AH784" s="20">
        <v>2474400</v>
      </c>
      <c r="AR784" s="20">
        <v>14882500</v>
      </c>
      <c r="AS784" s="20">
        <v>8971350</v>
      </c>
      <c r="AT784" s="20">
        <v>1072800</v>
      </c>
      <c r="AU784" s="20">
        <v>408000</v>
      </c>
      <c r="AV784" s="20">
        <v>523200</v>
      </c>
      <c r="AW784" s="20">
        <v>1656000</v>
      </c>
      <c r="AX784" s="20">
        <v>2379600</v>
      </c>
      <c r="BH784" s="28">
        <v>15010950</v>
      </c>
      <c r="BI784" s="28">
        <v>45208650</v>
      </c>
    </row>
    <row r="785" spans="1:61" hidden="1" x14ac:dyDescent="0.3">
      <c r="A785" s="1" t="s">
        <v>739</v>
      </c>
      <c r="B785" s="1" t="s">
        <v>108</v>
      </c>
      <c r="C785" s="1" t="s">
        <v>1739</v>
      </c>
      <c r="D785" s="1" t="s">
        <v>1732</v>
      </c>
      <c r="E785" s="1" t="s">
        <v>1744</v>
      </c>
      <c r="F785" s="1" t="s">
        <v>573</v>
      </c>
      <c r="G785" s="1" t="s">
        <v>1745</v>
      </c>
      <c r="H785" s="1" t="s">
        <v>1744</v>
      </c>
      <c r="I785" s="1" t="s">
        <v>548</v>
      </c>
      <c r="J785" s="1" t="s">
        <v>229</v>
      </c>
      <c r="K785" s="1" t="s">
        <v>118</v>
      </c>
      <c r="L785" s="1" t="s">
        <v>103</v>
      </c>
      <c r="M785" s="20">
        <v>9158400</v>
      </c>
      <c r="O785" s="20">
        <v>612000</v>
      </c>
      <c r="Q785" s="20">
        <v>945000</v>
      </c>
      <c r="R785" s="20">
        <v>1694400</v>
      </c>
      <c r="AB785" s="20">
        <v>12409800</v>
      </c>
      <c r="AC785" s="20">
        <v>8708100</v>
      </c>
      <c r="AD785" s="20">
        <v>268200</v>
      </c>
      <c r="AE785" s="20">
        <v>1020000</v>
      </c>
      <c r="AG785" s="20">
        <v>1083600</v>
      </c>
      <c r="AH785" s="20">
        <v>1702800</v>
      </c>
      <c r="AR785" s="20">
        <v>12782700</v>
      </c>
      <c r="AS785" s="20">
        <v>8105700</v>
      </c>
      <c r="AT785" s="20">
        <v>536400</v>
      </c>
      <c r="AU785" s="20">
        <v>408000</v>
      </c>
      <c r="AV785" s="20">
        <v>1046400</v>
      </c>
      <c r="AW785" s="20">
        <v>1274400</v>
      </c>
      <c r="AX785" s="20">
        <v>2115600</v>
      </c>
      <c r="BH785" s="28">
        <v>13486500</v>
      </c>
      <c r="BI785" s="28">
        <v>38679000</v>
      </c>
    </row>
    <row r="786" spans="1:61" hidden="1" x14ac:dyDescent="0.3">
      <c r="A786" s="1" t="s">
        <v>739</v>
      </c>
      <c r="B786" s="1" t="s">
        <v>108</v>
      </c>
      <c r="C786" s="1" t="s">
        <v>1739</v>
      </c>
      <c r="D786" s="1" t="s">
        <v>1732</v>
      </c>
      <c r="E786" s="1" t="s">
        <v>1746</v>
      </c>
      <c r="F786" s="1" t="s">
        <v>561</v>
      </c>
      <c r="G786" s="1" t="s">
        <v>1747</v>
      </c>
      <c r="H786" s="1" t="s">
        <v>1746</v>
      </c>
      <c r="I786" s="1" t="s">
        <v>548</v>
      </c>
      <c r="J786" s="1" t="s">
        <v>229</v>
      </c>
      <c r="K786" s="1" t="s">
        <v>118</v>
      </c>
      <c r="L786" s="1" t="s">
        <v>103</v>
      </c>
      <c r="M786" s="20">
        <v>3972000</v>
      </c>
      <c r="O786" s="20">
        <v>408000</v>
      </c>
      <c r="Q786" s="20">
        <v>806400</v>
      </c>
      <c r="R786" s="20">
        <v>1282800</v>
      </c>
      <c r="AB786" s="20">
        <v>6469200</v>
      </c>
      <c r="AC786" s="20">
        <v>4731600</v>
      </c>
      <c r="AE786" s="20">
        <v>408000</v>
      </c>
      <c r="AG786" s="20">
        <v>658800</v>
      </c>
      <c r="AH786" s="20">
        <v>457200</v>
      </c>
      <c r="AR786" s="20">
        <v>6255600</v>
      </c>
      <c r="AS786" s="20">
        <v>4709850</v>
      </c>
      <c r="AU786" s="20">
        <v>204000</v>
      </c>
      <c r="AV786" s="20">
        <v>1431200</v>
      </c>
      <c r="AW786" s="20">
        <v>658800</v>
      </c>
      <c r="AX786" s="20">
        <v>784800</v>
      </c>
      <c r="BH786" s="28">
        <v>7788650</v>
      </c>
      <c r="BI786" s="28">
        <v>20513450</v>
      </c>
    </row>
    <row r="787" spans="1:61" hidden="1" x14ac:dyDescent="0.3">
      <c r="A787" s="1" t="s">
        <v>739</v>
      </c>
      <c r="B787" s="1" t="s">
        <v>108</v>
      </c>
      <c r="C787" s="1" t="s">
        <v>1739</v>
      </c>
      <c r="D787" s="1" t="s">
        <v>1732</v>
      </c>
      <c r="E787" s="1" t="s">
        <v>1748</v>
      </c>
      <c r="F787" s="1" t="s">
        <v>561</v>
      </c>
      <c r="G787" s="1" t="s">
        <v>1749</v>
      </c>
      <c r="H787" s="1" t="s">
        <v>1748</v>
      </c>
      <c r="I787" s="1" t="s">
        <v>548</v>
      </c>
      <c r="J787" s="1" t="s">
        <v>229</v>
      </c>
      <c r="K787" s="1" t="s">
        <v>118</v>
      </c>
      <c r="L787" s="1" t="s">
        <v>103</v>
      </c>
      <c r="M787" s="20">
        <v>9664200</v>
      </c>
      <c r="N787" s="20">
        <v>536400</v>
      </c>
      <c r="O787" s="20">
        <v>408000</v>
      </c>
      <c r="Q787" s="20">
        <v>711000</v>
      </c>
      <c r="R787" s="20">
        <v>2046000</v>
      </c>
      <c r="AB787" s="20">
        <v>13365600</v>
      </c>
      <c r="AC787" s="20">
        <v>8134650</v>
      </c>
      <c r="AD787" s="20">
        <v>536400</v>
      </c>
      <c r="AE787" s="20">
        <v>612000</v>
      </c>
      <c r="AG787" s="20">
        <v>988200</v>
      </c>
      <c r="AH787" s="20">
        <v>2311200</v>
      </c>
      <c r="AR787" s="20">
        <v>12582450</v>
      </c>
      <c r="AS787" s="20">
        <v>7394700</v>
      </c>
      <c r="AT787" s="20">
        <v>536400</v>
      </c>
      <c r="AU787" s="20">
        <v>204000</v>
      </c>
      <c r="AV787" s="20">
        <v>784800</v>
      </c>
      <c r="AW787" s="20">
        <v>997200</v>
      </c>
      <c r="AX787" s="20">
        <v>1990800</v>
      </c>
      <c r="BH787" s="28">
        <v>11907900</v>
      </c>
      <c r="BI787" s="28">
        <v>37855950</v>
      </c>
    </row>
    <row r="788" spans="1:61" hidden="1" x14ac:dyDescent="0.3">
      <c r="A788" s="1" t="s">
        <v>739</v>
      </c>
      <c r="B788" s="1" t="s">
        <v>108</v>
      </c>
      <c r="C788" s="1" t="s">
        <v>1739</v>
      </c>
      <c r="D788" s="1" t="s">
        <v>1732</v>
      </c>
      <c r="E788" s="1" t="s">
        <v>1750</v>
      </c>
      <c r="F788" s="1" t="s">
        <v>561</v>
      </c>
      <c r="G788" s="1" t="s">
        <v>1751</v>
      </c>
      <c r="H788" s="1" t="s">
        <v>1750</v>
      </c>
      <c r="I788" s="1" t="s">
        <v>548</v>
      </c>
      <c r="J788" s="1" t="s">
        <v>229</v>
      </c>
      <c r="K788" s="1" t="s">
        <v>118</v>
      </c>
      <c r="L788" s="1" t="s">
        <v>103</v>
      </c>
      <c r="M788" s="20">
        <v>4524000</v>
      </c>
      <c r="N788" s="20">
        <v>536400</v>
      </c>
      <c r="O788" s="20">
        <v>408000</v>
      </c>
      <c r="Q788" s="20">
        <v>754200</v>
      </c>
      <c r="R788" s="20">
        <v>914400</v>
      </c>
      <c r="AB788" s="20">
        <v>7137000</v>
      </c>
      <c r="AC788" s="20">
        <v>5103450</v>
      </c>
      <c r="AD788" s="20">
        <v>268200</v>
      </c>
      <c r="AG788" s="20">
        <v>572400</v>
      </c>
      <c r="AH788" s="20">
        <v>1522800</v>
      </c>
      <c r="AR788" s="20">
        <v>7466850</v>
      </c>
      <c r="AS788" s="20">
        <v>3095100</v>
      </c>
      <c r="AT788" s="20">
        <v>268200</v>
      </c>
      <c r="AU788" s="20">
        <v>204000</v>
      </c>
      <c r="AW788" s="20">
        <v>468000</v>
      </c>
      <c r="AX788" s="20">
        <v>1072800</v>
      </c>
      <c r="BH788" s="28">
        <v>5108100</v>
      </c>
      <c r="BI788" s="28">
        <v>19711950</v>
      </c>
    </row>
    <row r="789" spans="1:61" hidden="1" x14ac:dyDescent="0.3">
      <c r="A789" s="1" t="s">
        <v>739</v>
      </c>
      <c r="B789" s="1" t="s">
        <v>108</v>
      </c>
      <c r="C789" s="1" t="s">
        <v>1739</v>
      </c>
      <c r="D789" s="1" t="s">
        <v>1732</v>
      </c>
      <c r="E789" s="1" t="s">
        <v>1752</v>
      </c>
      <c r="F789" s="1" t="s">
        <v>1753</v>
      </c>
      <c r="G789" s="1" t="s">
        <v>1754</v>
      </c>
      <c r="H789" s="1" t="s">
        <v>1752</v>
      </c>
      <c r="I789" s="1" t="s">
        <v>548</v>
      </c>
      <c r="J789" s="1" t="s">
        <v>229</v>
      </c>
      <c r="K789" s="1" t="s">
        <v>118</v>
      </c>
      <c r="L789" s="1" t="s">
        <v>103</v>
      </c>
      <c r="M789" s="20">
        <v>4925700</v>
      </c>
      <c r="N789" s="20">
        <v>268200</v>
      </c>
      <c r="O789" s="20">
        <v>204000</v>
      </c>
      <c r="P789" s="20">
        <v>384800</v>
      </c>
      <c r="Q789" s="20">
        <v>615600</v>
      </c>
      <c r="R789" s="20">
        <v>1245600</v>
      </c>
      <c r="AB789" s="20">
        <v>7643900</v>
      </c>
      <c r="AC789" s="20">
        <v>5529750</v>
      </c>
      <c r="AD789" s="20">
        <v>536400</v>
      </c>
      <c r="AE789" s="20">
        <v>204000</v>
      </c>
      <c r="AG789" s="20">
        <v>892800</v>
      </c>
      <c r="AH789" s="20">
        <v>780000</v>
      </c>
      <c r="AR789" s="20">
        <v>7942950</v>
      </c>
      <c r="AS789" s="20">
        <v>3879300</v>
      </c>
      <c r="AT789" s="20">
        <v>268200</v>
      </c>
      <c r="AU789" s="20">
        <v>408000</v>
      </c>
      <c r="AV789" s="20">
        <v>784800</v>
      </c>
      <c r="AW789" s="20">
        <v>892800</v>
      </c>
      <c r="AX789" s="20">
        <v>925200</v>
      </c>
      <c r="BH789" s="28">
        <v>7158300</v>
      </c>
      <c r="BI789" s="28">
        <v>22745150</v>
      </c>
    </row>
    <row r="790" spans="1:61" hidden="1" x14ac:dyDescent="0.3">
      <c r="A790" s="1" t="s">
        <v>739</v>
      </c>
      <c r="B790" s="1" t="s">
        <v>108</v>
      </c>
      <c r="C790" s="1" t="s">
        <v>1739</v>
      </c>
      <c r="D790" s="1" t="s">
        <v>1732</v>
      </c>
      <c r="E790" s="1" t="s">
        <v>1755</v>
      </c>
      <c r="F790" s="1" t="s">
        <v>561</v>
      </c>
      <c r="G790" s="1" t="s">
        <v>1756</v>
      </c>
      <c r="H790" s="1" t="s">
        <v>1755</v>
      </c>
      <c r="I790" s="1" t="s">
        <v>548</v>
      </c>
      <c r="J790" s="1" t="s">
        <v>229</v>
      </c>
      <c r="K790" s="1" t="s">
        <v>118</v>
      </c>
      <c r="L790" s="1" t="s">
        <v>103</v>
      </c>
      <c r="M790" s="20">
        <v>4947600</v>
      </c>
      <c r="O790" s="20">
        <v>204000</v>
      </c>
      <c r="P790" s="20">
        <v>384800</v>
      </c>
      <c r="Q790" s="20">
        <v>1040400</v>
      </c>
      <c r="R790" s="20">
        <v>1351200</v>
      </c>
      <c r="AB790" s="20">
        <v>7928000</v>
      </c>
      <c r="AC790" s="20">
        <v>3056400</v>
      </c>
      <c r="AE790" s="20">
        <v>204000</v>
      </c>
      <c r="AG790" s="20">
        <v>520200</v>
      </c>
      <c r="AH790" s="20">
        <v>771600</v>
      </c>
      <c r="AR790" s="20">
        <v>4552200</v>
      </c>
      <c r="AS790" s="20">
        <v>5054700</v>
      </c>
      <c r="AU790" s="20">
        <v>408000</v>
      </c>
      <c r="AV790" s="20">
        <v>1046400</v>
      </c>
      <c r="AW790" s="20">
        <v>615600</v>
      </c>
      <c r="AX790" s="20">
        <v>1699200</v>
      </c>
      <c r="BH790" s="28">
        <v>8823900</v>
      </c>
      <c r="BI790" s="28">
        <v>21304100</v>
      </c>
    </row>
    <row r="791" spans="1:61" hidden="1" x14ac:dyDescent="0.3">
      <c r="A791" s="1" t="s">
        <v>739</v>
      </c>
      <c r="B791" s="1" t="s">
        <v>108</v>
      </c>
      <c r="C791" s="1" t="s">
        <v>1739</v>
      </c>
      <c r="D791" s="1" t="s">
        <v>1732</v>
      </c>
      <c r="E791" s="1" t="s">
        <v>1757</v>
      </c>
      <c r="F791" s="1" t="s">
        <v>561</v>
      </c>
      <c r="G791" s="1" t="s">
        <v>1758</v>
      </c>
      <c r="H791" s="1" t="s">
        <v>1757</v>
      </c>
      <c r="I791" s="1" t="s">
        <v>548</v>
      </c>
      <c r="J791" s="1" t="s">
        <v>229</v>
      </c>
      <c r="K791" s="1" t="s">
        <v>118</v>
      </c>
      <c r="L791" s="1" t="s">
        <v>103</v>
      </c>
      <c r="M791" s="20">
        <v>2753850</v>
      </c>
      <c r="N791" s="20">
        <v>717000</v>
      </c>
      <c r="O791" s="20">
        <v>612000</v>
      </c>
      <c r="P791" s="20">
        <v>192400</v>
      </c>
      <c r="Q791" s="20">
        <v>477000</v>
      </c>
      <c r="R791" s="20">
        <v>571200</v>
      </c>
      <c r="AB791" s="20">
        <v>5323450</v>
      </c>
      <c r="AC791" s="20">
        <v>2799150</v>
      </c>
      <c r="AD791" s="20">
        <v>268200</v>
      </c>
      <c r="AF791" s="20">
        <v>192400</v>
      </c>
      <c r="AG791" s="20">
        <v>190800</v>
      </c>
      <c r="AH791" s="20">
        <v>1425600</v>
      </c>
      <c r="AR791" s="20">
        <v>4876150</v>
      </c>
      <c r="AS791" s="20">
        <v>3696900</v>
      </c>
      <c r="AV791" s="20">
        <v>261600</v>
      </c>
      <c r="AW791" s="20">
        <v>95400</v>
      </c>
      <c r="AX791" s="20">
        <v>1419600</v>
      </c>
      <c r="BH791" s="28">
        <v>5473500</v>
      </c>
      <c r="BI791" s="28">
        <v>15673100</v>
      </c>
    </row>
    <row r="792" spans="1:61" hidden="1" x14ac:dyDescent="0.3">
      <c r="A792" s="1" t="s">
        <v>739</v>
      </c>
      <c r="B792" s="1" t="s">
        <v>108</v>
      </c>
      <c r="C792" s="1" t="s">
        <v>1739</v>
      </c>
      <c r="D792" s="1" t="s">
        <v>1732</v>
      </c>
      <c r="E792" s="1" t="s">
        <v>1759</v>
      </c>
      <c r="F792" s="1" t="s">
        <v>561</v>
      </c>
      <c r="G792" s="1" t="s">
        <v>1760</v>
      </c>
      <c r="H792" s="1" t="s">
        <v>1759</v>
      </c>
      <c r="I792" s="1" t="s">
        <v>548</v>
      </c>
      <c r="J792" s="1" t="s">
        <v>229</v>
      </c>
      <c r="K792" s="1" t="s">
        <v>118</v>
      </c>
      <c r="L792" s="1" t="s">
        <v>103</v>
      </c>
      <c r="M792" s="20">
        <v>7794900</v>
      </c>
      <c r="O792" s="20">
        <v>408000</v>
      </c>
      <c r="Q792" s="20">
        <v>477000</v>
      </c>
      <c r="R792" s="20">
        <v>2437200</v>
      </c>
      <c r="AB792" s="20">
        <v>11117100</v>
      </c>
      <c r="AC792" s="20">
        <v>7634700</v>
      </c>
      <c r="AD792" s="20">
        <v>985200</v>
      </c>
      <c r="AE792" s="20">
        <v>612000</v>
      </c>
      <c r="AG792" s="20">
        <v>190800</v>
      </c>
      <c r="AH792" s="20">
        <v>2454000</v>
      </c>
      <c r="AR792" s="20">
        <v>11876700</v>
      </c>
      <c r="AS792" s="20">
        <v>4860900</v>
      </c>
      <c r="AT792" s="20">
        <v>536400</v>
      </c>
      <c r="AU792" s="20">
        <v>612000</v>
      </c>
      <c r="AV792" s="20">
        <v>1046400</v>
      </c>
      <c r="AW792" s="20">
        <v>754200</v>
      </c>
      <c r="AX792" s="20">
        <v>1918800</v>
      </c>
      <c r="BH792" s="28">
        <v>9728700</v>
      </c>
      <c r="BI792" s="28">
        <v>32722500</v>
      </c>
    </row>
    <row r="793" spans="1:61" hidden="1" x14ac:dyDescent="0.3">
      <c r="A793" s="1" t="s">
        <v>739</v>
      </c>
      <c r="B793" s="1" t="s">
        <v>108</v>
      </c>
      <c r="C793" s="1" t="s">
        <v>1739</v>
      </c>
      <c r="D793" s="1" t="s">
        <v>1732</v>
      </c>
      <c r="E793" s="1" t="s">
        <v>1761</v>
      </c>
      <c r="F793" s="1" t="s">
        <v>573</v>
      </c>
      <c r="G793" s="1" t="s">
        <v>1762</v>
      </c>
      <c r="H793" s="1" t="s">
        <v>1761</v>
      </c>
      <c r="I793" s="1" t="s">
        <v>548</v>
      </c>
      <c r="J793" s="1" t="s">
        <v>229</v>
      </c>
      <c r="K793" s="1" t="s">
        <v>118</v>
      </c>
      <c r="L793" s="1" t="s">
        <v>103</v>
      </c>
      <c r="M793" s="20">
        <v>3562500</v>
      </c>
      <c r="N793" s="20">
        <v>448800</v>
      </c>
      <c r="O793" s="20">
        <v>816000</v>
      </c>
      <c r="P793" s="20">
        <v>192400</v>
      </c>
      <c r="Q793" s="20">
        <v>763200</v>
      </c>
      <c r="R793" s="20">
        <v>780000</v>
      </c>
      <c r="AB793" s="20">
        <v>6562900</v>
      </c>
      <c r="AC793" s="20">
        <v>4018200</v>
      </c>
      <c r="AE793" s="20">
        <v>612000</v>
      </c>
      <c r="AF793" s="20">
        <v>192400</v>
      </c>
      <c r="AG793" s="20">
        <v>572400</v>
      </c>
      <c r="AH793" s="20">
        <v>960000</v>
      </c>
      <c r="AR793" s="20">
        <v>6355000</v>
      </c>
      <c r="AS793" s="20">
        <v>3625350</v>
      </c>
      <c r="AT793" s="20">
        <v>448800</v>
      </c>
      <c r="AU793" s="20">
        <v>204000</v>
      </c>
      <c r="AV793" s="20">
        <v>523200</v>
      </c>
      <c r="AW793" s="20">
        <v>572400</v>
      </c>
      <c r="AX793" s="20">
        <v>774000</v>
      </c>
      <c r="BH793" s="28">
        <v>6147750</v>
      </c>
      <c r="BI793" s="28">
        <v>19065650</v>
      </c>
    </row>
    <row r="794" spans="1:61" hidden="1" x14ac:dyDescent="0.3">
      <c r="A794" s="1" t="s">
        <v>739</v>
      </c>
      <c r="B794" s="1" t="s">
        <v>108</v>
      </c>
      <c r="C794" s="1" t="s">
        <v>1739</v>
      </c>
      <c r="D794" s="1" t="s">
        <v>1732</v>
      </c>
      <c r="E794" s="1" t="s">
        <v>1763</v>
      </c>
      <c r="F794" s="1" t="s">
        <v>561</v>
      </c>
      <c r="G794" s="1" t="s">
        <v>1764</v>
      </c>
      <c r="H794" s="1" t="s">
        <v>1763</v>
      </c>
      <c r="I794" s="1" t="s">
        <v>548</v>
      </c>
      <c r="J794" s="1" t="s">
        <v>229</v>
      </c>
      <c r="K794" s="1" t="s">
        <v>118</v>
      </c>
      <c r="L794" s="1" t="s">
        <v>103</v>
      </c>
      <c r="M794" s="20">
        <v>3649050</v>
      </c>
      <c r="O794" s="20">
        <v>204000</v>
      </c>
      <c r="P794" s="20">
        <v>577200</v>
      </c>
      <c r="Q794" s="20">
        <v>658800</v>
      </c>
      <c r="R794" s="20">
        <v>951600</v>
      </c>
      <c r="AB794" s="20">
        <v>6040650</v>
      </c>
      <c r="AC794" s="20">
        <v>2261700</v>
      </c>
      <c r="AD794" s="20">
        <v>268200</v>
      </c>
      <c r="AE794" s="20">
        <v>204000</v>
      </c>
      <c r="AF794" s="20">
        <v>384800</v>
      </c>
      <c r="AG794" s="20">
        <v>1265400</v>
      </c>
      <c r="AH794" s="20">
        <v>951600</v>
      </c>
      <c r="AR794" s="20">
        <v>5335700</v>
      </c>
      <c r="AS794" s="20">
        <v>4786950</v>
      </c>
      <c r="AT794" s="20">
        <v>268200</v>
      </c>
      <c r="AU794" s="20">
        <v>204000</v>
      </c>
      <c r="AV794" s="20">
        <v>1623600</v>
      </c>
      <c r="AW794" s="20">
        <v>424800</v>
      </c>
      <c r="AX794" s="20">
        <v>774000</v>
      </c>
      <c r="BH794" s="28">
        <v>8081550</v>
      </c>
      <c r="BI794" s="28">
        <v>19457900</v>
      </c>
    </row>
    <row r="795" spans="1:61" hidden="1" x14ac:dyDescent="0.3">
      <c r="A795" s="1" t="s">
        <v>739</v>
      </c>
      <c r="B795" s="1" t="s">
        <v>108</v>
      </c>
      <c r="C795" s="1" t="s">
        <v>1765</v>
      </c>
      <c r="D795" s="1" t="s">
        <v>1766</v>
      </c>
      <c r="E795" s="1" t="s">
        <v>1767</v>
      </c>
      <c r="F795" s="1" t="s">
        <v>573</v>
      </c>
      <c r="G795" s="1" t="s">
        <v>1452</v>
      </c>
      <c r="H795" s="1" t="s">
        <v>1767</v>
      </c>
      <c r="I795" s="1" t="s">
        <v>548</v>
      </c>
      <c r="J795" s="1" t="s">
        <v>229</v>
      </c>
      <c r="K795" s="1" t="s">
        <v>118</v>
      </c>
      <c r="L795" s="1" t="s">
        <v>103</v>
      </c>
      <c r="AS795" s="20">
        <v>6732300</v>
      </c>
      <c r="AT795" s="20">
        <v>268200</v>
      </c>
      <c r="AU795" s="20">
        <v>204000</v>
      </c>
      <c r="AV795" s="20">
        <v>1238800</v>
      </c>
      <c r="AW795" s="20">
        <v>1222200</v>
      </c>
      <c r="AX795" s="20">
        <v>1216800</v>
      </c>
      <c r="BH795" s="28">
        <v>10882300</v>
      </c>
      <c r="BI795" s="28">
        <v>10882300</v>
      </c>
    </row>
    <row r="796" spans="1:61" hidden="1" x14ac:dyDescent="0.3">
      <c r="A796" s="1" t="s">
        <v>739</v>
      </c>
      <c r="B796" s="1" t="s">
        <v>108</v>
      </c>
      <c r="C796" s="1" t="s">
        <v>1765</v>
      </c>
      <c r="D796" s="1" t="s">
        <v>1766</v>
      </c>
      <c r="E796" s="1" t="s">
        <v>1768</v>
      </c>
      <c r="F796" s="1" t="s">
        <v>573</v>
      </c>
      <c r="G796" s="1" t="s">
        <v>1458</v>
      </c>
      <c r="H796" s="1" t="s">
        <v>1768</v>
      </c>
      <c r="I796" s="1" t="s">
        <v>548</v>
      </c>
      <c r="J796" s="1" t="s">
        <v>229</v>
      </c>
      <c r="K796" s="1" t="s">
        <v>118</v>
      </c>
      <c r="L796" s="1" t="s">
        <v>103</v>
      </c>
      <c r="AS796" s="20">
        <v>4810950</v>
      </c>
      <c r="AT796" s="20">
        <v>268200</v>
      </c>
      <c r="AU796" s="20">
        <v>204000</v>
      </c>
      <c r="AV796" s="20">
        <v>715600</v>
      </c>
      <c r="AW796" s="20">
        <v>711000</v>
      </c>
      <c r="AX796" s="20">
        <v>751200</v>
      </c>
      <c r="BH796" s="28">
        <v>7460950</v>
      </c>
      <c r="BI796" s="28">
        <v>7460950</v>
      </c>
    </row>
    <row r="797" spans="1:61" hidden="1" x14ac:dyDescent="0.3">
      <c r="A797" s="1" t="s">
        <v>739</v>
      </c>
      <c r="B797" s="1" t="s">
        <v>108</v>
      </c>
      <c r="C797" s="1" t="s">
        <v>1765</v>
      </c>
      <c r="D797" s="1" t="s">
        <v>1766</v>
      </c>
      <c r="E797" s="1" t="s">
        <v>1769</v>
      </c>
      <c r="F797" s="1" t="s">
        <v>573</v>
      </c>
      <c r="G797" s="1" t="s">
        <v>1770</v>
      </c>
      <c r="H797" s="1" t="s">
        <v>1769</v>
      </c>
      <c r="I797" s="1" t="s">
        <v>548</v>
      </c>
      <c r="J797" s="1" t="s">
        <v>229</v>
      </c>
      <c r="K797" s="1" t="s">
        <v>118</v>
      </c>
      <c r="L797" s="1" t="s">
        <v>103</v>
      </c>
      <c r="AS797" s="20">
        <v>7903500</v>
      </c>
      <c r="AT797" s="20">
        <v>804600</v>
      </c>
      <c r="AV797" s="20">
        <v>523200</v>
      </c>
      <c r="AW797" s="20">
        <v>1465200</v>
      </c>
      <c r="AX797" s="20">
        <v>1208400</v>
      </c>
      <c r="BH797" s="28">
        <v>11904900</v>
      </c>
      <c r="BI797" s="28">
        <v>11904900</v>
      </c>
    </row>
    <row r="798" spans="1:61" hidden="1" x14ac:dyDescent="0.3">
      <c r="A798" s="1" t="s">
        <v>739</v>
      </c>
      <c r="B798" s="1" t="s">
        <v>108</v>
      </c>
      <c r="C798" s="1" t="s">
        <v>1765</v>
      </c>
      <c r="D798" s="1" t="s">
        <v>1766</v>
      </c>
      <c r="E798" s="1" t="s">
        <v>1771</v>
      </c>
      <c r="F798" s="1" t="s">
        <v>573</v>
      </c>
      <c r="G798" s="1" t="s">
        <v>1462</v>
      </c>
      <c r="H798" s="1" t="s">
        <v>1771</v>
      </c>
      <c r="I798" s="1" t="s">
        <v>548</v>
      </c>
      <c r="J798" s="1" t="s">
        <v>229</v>
      </c>
      <c r="K798" s="1" t="s">
        <v>118</v>
      </c>
      <c r="L798" s="1" t="s">
        <v>103</v>
      </c>
      <c r="AS798" s="20">
        <v>4746300</v>
      </c>
      <c r="AT798" s="20">
        <v>1341000</v>
      </c>
      <c r="AU798" s="20">
        <v>408000</v>
      </c>
      <c r="AV798" s="20">
        <v>784800</v>
      </c>
      <c r="AW798" s="20">
        <v>806400</v>
      </c>
      <c r="AX798" s="20">
        <v>428400</v>
      </c>
      <c r="BH798" s="28">
        <v>8514900</v>
      </c>
      <c r="BI798" s="28">
        <v>8514900</v>
      </c>
    </row>
    <row r="799" spans="1:61" hidden="1" x14ac:dyDescent="0.3">
      <c r="A799" s="1" t="s">
        <v>739</v>
      </c>
      <c r="B799" s="1" t="s">
        <v>108</v>
      </c>
      <c r="C799" s="1" t="s">
        <v>1765</v>
      </c>
      <c r="D799" s="1" t="s">
        <v>1766</v>
      </c>
      <c r="E799" s="1" t="s">
        <v>1772</v>
      </c>
      <c r="F799" s="1" t="s">
        <v>573</v>
      </c>
      <c r="G799" s="1" t="s">
        <v>1486</v>
      </c>
      <c r="H799" s="1" t="s">
        <v>1772</v>
      </c>
      <c r="I799" s="1" t="s">
        <v>548</v>
      </c>
      <c r="J799" s="1" t="s">
        <v>229</v>
      </c>
      <c r="K799" s="1" t="s">
        <v>118</v>
      </c>
      <c r="L799" s="1" t="s">
        <v>103</v>
      </c>
      <c r="AS799" s="20">
        <v>4162350</v>
      </c>
      <c r="AT799" s="20">
        <v>536400</v>
      </c>
      <c r="AU799" s="20">
        <v>204000</v>
      </c>
      <c r="AV799" s="20">
        <v>384800</v>
      </c>
      <c r="AW799" s="20">
        <v>988200</v>
      </c>
      <c r="AX799" s="20">
        <v>1626000</v>
      </c>
      <c r="BH799" s="28">
        <v>7901750</v>
      </c>
      <c r="BI799" s="28">
        <v>7901750</v>
      </c>
    </row>
    <row r="800" spans="1:61" hidden="1" x14ac:dyDescent="0.3">
      <c r="A800" s="1" t="s">
        <v>739</v>
      </c>
      <c r="B800" s="1" t="s">
        <v>108</v>
      </c>
      <c r="C800" s="1" t="s">
        <v>1765</v>
      </c>
      <c r="D800" s="1" t="s">
        <v>1766</v>
      </c>
      <c r="E800" s="1" t="s">
        <v>1773</v>
      </c>
      <c r="F800" s="1" t="s">
        <v>573</v>
      </c>
      <c r="G800" s="1" t="s">
        <v>1488</v>
      </c>
      <c r="H800" s="1" t="s">
        <v>1773</v>
      </c>
      <c r="I800" s="1" t="s">
        <v>548</v>
      </c>
      <c r="J800" s="1" t="s">
        <v>229</v>
      </c>
      <c r="K800" s="1" t="s">
        <v>118</v>
      </c>
      <c r="L800" s="1" t="s">
        <v>103</v>
      </c>
      <c r="AS800" s="20">
        <v>2705550</v>
      </c>
      <c r="AT800" s="20">
        <v>804600</v>
      </c>
      <c r="AU800" s="20">
        <v>204000</v>
      </c>
      <c r="AV800" s="20">
        <v>261600</v>
      </c>
      <c r="AW800" s="20">
        <v>477000</v>
      </c>
      <c r="AX800" s="20">
        <v>1347600</v>
      </c>
      <c r="BH800" s="28">
        <v>5800350</v>
      </c>
      <c r="BI800" s="28">
        <v>5800350</v>
      </c>
    </row>
    <row r="801" spans="1:61" hidden="1" x14ac:dyDescent="0.3">
      <c r="A801" s="1" t="s">
        <v>739</v>
      </c>
      <c r="B801" s="1" t="s">
        <v>108</v>
      </c>
      <c r="C801" s="1" t="s">
        <v>1765</v>
      </c>
      <c r="D801" s="1" t="s">
        <v>1766</v>
      </c>
      <c r="E801" s="1" t="s">
        <v>1774</v>
      </c>
      <c r="F801" s="1" t="s">
        <v>573</v>
      </c>
      <c r="G801" s="1" t="s">
        <v>1490</v>
      </c>
      <c r="H801" s="1" t="s">
        <v>1774</v>
      </c>
      <c r="I801" s="1" t="s">
        <v>548</v>
      </c>
      <c r="J801" s="1" t="s">
        <v>229</v>
      </c>
      <c r="K801" s="1" t="s">
        <v>118</v>
      </c>
      <c r="L801" s="1" t="s">
        <v>103</v>
      </c>
      <c r="AS801" s="20">
        <v>2813400</v>
      </c>
      <c r="AT801" s="20">
        <v>536400</v>
      </c>
      <c r="AU801" s="20">
        <v>204000</v>
      </c>
      <c r="AV801" s="20">
        <v>977200</v>
      </c>
      <c r="AW801" s="20">
        <v>658800</v>
      </c>
      <c r="AX801" s="20">
        <v>1274400</v>
      </c>
      <c r="BH801" s="28">
        <v>6464200</v>
      </c>
      <c r="BI801" s="28">
        <v>6464200</v>
      </c>
    </row>
    <row r="802" spans="1:61" hidden="1" x14ac:dyDescent="0.3">
      <c r="A802" s="1" t="s">
        <v>739</v>
      </c>
      <c r="B802" s="1" t="s">
        <v>108</v>
      </c>
      <c r="C802" s="1" t="s">
        <v>1765</v>
      </c>
      <c r="D802" s="1" t="s">
        <v>1766</v>
      </c>
      <c r="E802" s="1" t="s">
        <v>1775</v>
      </c>
      <c r="F802" s="1" t="s">
        <v>573</v>
      </c>
      <c r="G802" s="1" t="s">
        <v>1494</v>
      </c>
      <c r="H802" s="1" t="s">
        <v>1775</v>
      </c>
      <c r="I802" s="1" t="s">
        <v>548</v>
      </c>
      <c r="J802" s="1" t="s">
        <v>229</v>
      </c>
      <c r="K802" s="1" t="s">
        <v>118</v>
      </c>
      <c r="L802" s="1" t="s">
        <v>103</v>
      </c>
      <c r="AS802" s="20">
        <v>9024300</v>
      </c>
      <c r="AT802" s="20">
        <v>804600</v>
      </c>
      <c r="AU802" s="20">
        <v>816000</v>
      </c>
      <c r="AV802" s="20">
        <v>1500400</v>
      </c>
      <c r="AW802" s="20">
        <v>1369800</v>
      </c>
      <c r="AX802" s="20">
        <v>2377200</v>
      </c>
      <c r="BH802" s="28">
        <v>15892300</v>
      </c>
      <c r="BI802" s="28">
        <v>15892300</v>
      </c>
    </row>
    <row r="803" spans="1:61" hidden="1" x14ac:dyDescent="0.3">
      <c r="A803" s="1" t="s">
        <v>739</v>
      </c>
      <c r="B803" s="1" t="s">
        <v>108</v>
      </c>
      <c r="C803" s="1" t="s">
        <v>1765</v>
      </c>
      <c r="D803" s="1" t="s">
        <v>1766</v>
      </c>
      <c r="E803" s="1" t="s">
        <v>1776</v>
      </c>
      <c r="F803" s="1" t="s">
        <v>573</v>
      </c>
      <c r="G803" s="1" t="s">
        <v>1496</v>
      </c>
      <c r="H803" s="1" t="s">
        <v>1776</v>
      </c>
      <c r="I803" s="1" t="s">
        <v>548</v>
      </c>
      <c r="J803" s="1" t="s">
        <v>229</v>
      </c>
      <c r="K803" s="1" t="s">
        <v>118</v>
      </c>
      <c r="L803" s="1" t="s">
        <v>103</v>
      </c>
      <c r="AS803" s="20">
        <v>8136150</v>
      </c>
      <c r="AT803" s="20">
        <v>3935400</v>
      </c>
      <c r="AU803" s="20">
        <v>816000</v>
      </c>
      <c r="AV803" s="20">
        <v>1100400</v>
      </c>
      <c r="AW803" s="20">
        <v>1846800</v>
      </c>
      <c r="AX803" s="20">
        <v>5280000</v>
      </c>
      <c r="BH803" s="28">
        <v>21114750</v>
      </c>
      <c r="BI803" s="28">
        <v>21114750</v>
      </c>
    </row>
    <row r="804" spans="1:61" hidden="1" x14ac:dyDescent="0.3">
      <c r="A804" s="1" t="s">
        <v>739</v>
      </c>
      <c r="B804" s="1" t="s">
        <v>108</v>
      </c>
      <c r="C804" s="1" t="s">
        <v>1765</v>
      </c>
      <c r="D804" s="1" t="s">
        <v>1766</v>
      </c>
      <c r="E804" s="1" t="s">
        <v>1777</v>
      </c>
      <c r="F804" s="1" t="s">
        <v>573</v>
      </c>
      <c r="G804" s="1" t="s">
        <v>1502</v>
      </c>
      <c r="H804" s="1" t="s">
        <v>1777</v>
      </c>
      <c r="I804" s="1" t="s">
        <v>548</v>
      </c>
      <c r="J804" s="1" t="s">
        <v>229</v>
      </c>
      <c r="K804" s="1" t="s">
        <v>118</v>
      </c>
      <c r="L804" s="1" t="s">
        <v>103</v>
      </c>
      <c r="AS804" s="20">
        <v>9508200</v>
      </c>
      <c r="AT804" s="20">
        <v>268200</v>
      </c>
      <c r="AU804" s="20">
        <v>204000</v>
      </c>
      <c r="AV804" s="20">
        <v>1500400</v>
      </c>
      <c r="AW804" s="20">
        <v>1508400</v>
      </c>
      <c r="AX804" s="20">
        <v>5317200</v>
      </c>
      <c r="BH804" s="28">
        <v>18306400</v>
      </c>
      <c r="BI804" s="28">
        <v>18306400</v>
      </c>
    </row>
    <row r="805" spans="1:61" hidden="1" x14ac:dyDescent="0.3">
      <c r="A805" s="1" t="s">
        <v>739</v>
      </c>
      <c r="B805" s="1" t="s">
        <v>108</v>
      </c>
      <c r="C805" s="1" t="s">
        <v>1765</v>
      </c>
      <c r="D805" s="1" t="s">
        <v>1766</v>
      </c>
      <c r="E805" s="1" t="s">
        <v>1778</v>
      </c>
      <c r="F805" s="1" t="s">
        <v>573</v>
      </c>
      <c r="G805" s="1" t="s">
        <v>1504</v>
      </c>
      <c r="H805" s="1" t="s">
        <v>1778</v>
      </c>
      <c r="I805" s="1" t="s">
        <v>548</v>
      </c>
      <c r="J805" s="1" t="s">
        <v>229</v>
      </c>
      <c r="K805" s="1" t="s">
        <v>118</v>
      </c>
      <c r="L805" s="1" t="s">
        <v>103</v>
      </c>
      <c r="AS805" s="20">
        <v>5287950</v>
      </c>
      <c r="AT805" s="20">
        <v>1789800</v>
      </c>
      <c r="AV805" s="20">
        <v>261600</v>
      </c>
      <c r="AW805" s="20">
        <v>954000</v>
      </c>
      <c r="AX805" s="20">
        <v>2233200</v>
      </c>
      <c r="BH805" s="28">
        <v>10526550</v>
      </c>
      <c r="BI805" s="28">
        <v>10526550</v>
      </c>
    </row>
    <row r="806" spans="1:61" hidden="1" x14ac:dyDescent="0.3">
      <c r="A806" s="1" t="s">
        <v>739</v>
      </c>
      <c r="B806" s="1" t="s">
        <v>108</v>
      </c>
      <c r="C806" s="1" t="s">
        <v>1765</v>
      </c>
      <c r="D806" s="1" t="s">
        <v>1766</v>
      </c>
      <c r="E806" s="1" t="s">
        <v>1779</v>
      </c>
      <c r="F806" s="1" t="s">
        <v>573</v>
      </c>
      <c r="G806" s="1" t="s">
        <v>1508</v>
      </c>
      <c r="H806" s="1" t="s">
        <v>1779</v>
      </c>
      <c r="I806" s="1" t="s">
        <v>548</v>
      </c>
      <c r="J806" s="1" t="s">
        <v>229</v>
      </c>
      <c r="K806" s="1" t="s">
        <v>118</v>
      </c>
      <c r="L806" s="1" t="s">
        <v>103</v>
      </c>
      <c r="AS806" s="20">
        <v>16845000</v>
      </c>
      <c r="AT806" s="20">
        <v>3667200</v>
      </c>
      <c r="AU806" s="20">
        <v>612000</v>
      </c>
      <c r="AV806" s="20">
        <v>3000800</v>
      </c>
      <c r="AW806" s="20">
        <v>1508400</v>
      </c>
      <c r="AX806" s="20">
        <v>8954400</v>
      </c>
      <c r="BH806" s="28">
        <v>34587800</v>
      </c>
      <c r="BI806" s="28">
        <v>34587800</v>
      </c>
    </row>
    <row r="807" spans="1:61" hidden="1" x14ac:dyDescent="0.3">
      <c r="A807" s="1" t="s">
        <v>739</v>
      </c>
      <c r="B807" s="1" t="s">
        <v>108</v>
      </c>
      <c r="C807" s="1" t="s">
        <v>1765</v>
      </c>
      <c r="D807" s="1" t="s">
        <v>1766</v>
      </c>
      <c r="E807" s="1" t="s">
        <v>1780</v>
      </c>
      <c r="F807" s="1" t="s">
        <v>573</v>
      </c>
      <c r="G807" s="1" t="s">
        <v>1510</v>
      </c>
      <c r="H807" s="1" t="s">
        <v>1780</v>
      </c>
      <c r="I807" s="1" t="s">
        <v>548</v>
      </c>
      <c r="J807" s="1" t="s">
        <v>229</v>
      </c>
      <c r="K807" s="1" t="s">
        <v>118</v>
      </c>
      <c r="L807" s="1" t="s">
        <v>103</v>
      </c>
      <c r="AS807" s="20">
        <v>384900</v>
      </c>
      <c r="AV807" s="20">
        <v>523200</v>
      </c>
      <c r="AW807" s="20">
        <v>190800</v>
      </c>
      <c r="AX807" s="20">
        <v>322800</v>
      </c>
      <c r="BH807" s="28">
        <v>1421700</v>
      </c>
      <c r="BI807" s="28">
        <v>1421700</v>
      </c>
    </row>
    <row r="808" spans="1:61" hidden="1" x14ac:dyDescent="0.3">
      <c r="A808" s="1" t="s">
        <v>739</v>
      </c>
      <c r="B808" s="1" t="s">
        <v>108</v>
      </c>
      <c r="C808" s="1" t="s">
        <v>1765</v>
      </c>
      <c r="D808" s="1" t="s">
        <v>1766</v>
      </c>
      <c r="E808" s="1" t="s">
        <v>1781</v>
      </c>
      <c r="F808" s="1" t="s">
        <v>573</v>
      </c>
      <c r="G808" s="1" t="s">
        <v>1526</v>
      </c>
      <c r="H808" s="1" t="s">
        <v>1781</v>
      </c>
      <c r="I808" s="1" t="s">
        <v>548</v>
      </c>
      <c r="J808" s="1" t="s">
        <v>229</v>
      </c>
      <c r="K808" s="1" t="s">
        <v>118</v>
      </c>
      <c r="L808" s="1" t="s">
        <v>103</v>
      </c>
      <c r="AS808" s="20">
        <v>5734800</v>
      </c>
      <c r="AT808" s="20">
        <v>1072800</v>
      </c>
      <c r="AV808" s="20">
        <v>1623600</v>
      </c>
      <c r="AW808" s="20">
        <v>477000</v>
      </c>
      <c r="AX808" s="20">
        <v>1359600</v>
      </c>
      <c r="BH808" s="28">
        <v>10267800</v>
      </c>
      <c r="BI808" s="28">
        <v>10267800</v>
      </c>
    </row>
    <row r="809" spans="1:61" hidden="1" x14ac:dyDescent="0.3">
      <c r="A809" s="1" t="s">
        <v>739</v>
      </c>
      <c r="B809" s="1" t="s">
        <v>108</v>
      </c>
      <c r="C809" s="1" t="s">
        <v>1765</v>
      </c>
      <c r="D809" s="1" t="s">
        <v>1766</v>
      </c>
      <c r="E809" s="1" t="s">
        <v>1782</v>
      </c>
      <c r="F809" s="1" t="s">
        <v>573</v>
      </c>
      <c r="G809" s="1" t="s">
        <v>1528</v>
      </c>
      <c r="H809" s="1" t="s">
        <v>1782</v>
      </c>
      <c r="I809" s="1" t="s">
        <v>548</v>
      </c>
      <c r="J809" s="1" t="s">
        <v>229</v>
      </c>
      <c r="K809" s="1" t="s">
        <v>118</v>
      </c>
      <c r="L809" s="1" t="s">
        <v>103</v>
      </c>
      <c r="AS809" s="20">
        <v>1272450</v>
      </c>
      <c r="AT809" s="20">
        <v>268200</v>
      </c>
      <c r="AW809" s="20">
        <v>329400</v>
      </c>
      <c r="AX809" s="20">
        <v>637200</v>
      </c>
      <c r="BH809" s="28">
        <v>2507250</v>
      </c>
      <c r="BI809" s="28">
        <v>2507250</v>
      </c>
    </row>
    <row r="810" spans="1:61" hidden="1" x14ac:dyDescent="0.3">
      <c r="A810" s="1" t="s">
        <v>739</v>
      </c>
      <c r="B810" s="1" t="s">
        <v>108</v>
      </c>
      <c r="C810" s="1" t="s">
        <v>1765</v>
      </c>
      <c r="D810" s="1" t="s">
        <v>1766</v>
      </c>
      <c r="E810" s="1" t="s">
        <v>1783</v>
      </c>
      <c r="F810" s="1" t="s">
        <v>573</v>
      </c>
      <c r="G810" s="1" t="s">
        <v>1532</v>
      </c>
      <c r="H810" s="1" t="s">
        <v>1783</v>
      </c>
      <c r="I810" s="1" t="s">
        <v>548</v>
      </c>
      <c r="J810" s="1" t="s">
        <v>229</v>
      </c>
      <c r="K810" s="1" t="s">
        <v>118</v>
      </c>
      <c r="L810" s="1" t="s">
        <v>103</v>
      </c>
      <c r="AS810" s="20">
        <v>5917500</v>
      </c>
      <c r="AT810" s="20">
        <v>1341000</v>
      </c>
      <c r="AU810" s="20">
        <v>204000</v>
      </c>
      <c r="AV810" s="20">
        <v>1431200</v>
      </c>
      <c r="AW810" s="20">
        <v>754200</v>
      </c>
      <c r="AX810" s="20">
        <v>1065600</v>
      </c>
      <c r="BH810" s="28">
        <v>10713500</v>
      </c>
      <c r="BI810" s="28">
        <v>10713500</v>
      </c>
    </row>
    <row r="811" spans="1:61" hidden="1" x14ac:dyDescent="0.3">
      <c r="A811" s="1" t="s">
        <v>739</v>
      </c>
      <c r="B811" s="1" t="s">
        <v>108</v>
      </c>
      <c r="C811" s="1" t="s">
        <v>1765</v>
      </c>
      <c r="D811" s="1" t="s">
        <v>1766</v>
      </c>
      <c r="E811" s="1" t="s">
        <v>1784</v>
      </c>
      <c r="F811" s="1" t="s">
        <v>1478</v>
      </c>
      <c r="G811" s="1" t="s">
        <v>1785</v>
      </c>
      <c r="H811" s="1" t="s">
        <v>1784</v>
      </c>
      <c r="I811" s="1" t="s">
        <v>548</v>
      </c>
      <c r="J811" s="1" t="s">
        <v>229</v>
      </c>
      <c r="K811" s="1" t="s">
        <v>118</v>
      </c>
      <c r="L811" s="1" t="s">
        <v>103</v>
      </c>
      <c r="AS811" s="20">
        <v>5150250</v>
      </c>
      <c r="AT811" s="20">
        <v>1072800</v>
      </c>
      <c r="AU811" s="20">
        <v>204000</v>
      </c>
      <c r="AV811" s="20">
        <v>715600</v>
      </c>
      <c r="AW811" s="20">
        <v>711000</v>
      </c>
      <c r="AX811" s="20">
        <v>1359600</v>
      </c>
      <c r="BH811" s="28">
        <v>9213250</v>
      </c>
      <c r="BI811" s="28">
        <v>9213250</v>
      </c>
    </row>
    <row r="812" spans="1:61" hidden="1" x14ac:dyDescent="0.3">
      <c r="A812" s="1" t="s">
        <v>739</v>
      </c>
      <c r="B812" s="1" t="s">
        <v>108</v>
      </c>
      <c r="C812" s="1" t="s">
        <v>1765</v>
      </c>
      <c r="D812" s="1" t="s">
        <v>1766</v>
      </c>
      <c r="E812" s="1" t="s">
        <v>1786</v>
      </c>
      <c r="F812" s="1" t="s">
        <v>1481</v>
      </c>
      <c r="G812" s="1" t="s">
        <v>1787</v>
      </c>
      <c r="H812" s="1" t="s">
        <v>1786</v>
      </c>
      <c r="I812" s="1" t="s">
        <v>548</v>
      </c>
      <c r="J812" s="1" t="s">
        <v>229</v>
      </c>
      <c r="K812" s="1" t="s">
        <v>118</v>
      </c>
      <c r="L812" s="1" t="s">
        <v>103</v>
      </c>
      <c r="AS812" s="20">
        <v>10351800</v>
      </c>
      <c r="AT812" s="20">
        <v>1609200</v>
      </c>
      <c r="AU812" s="20">
        <v>408000</v>
      </c>
      <c r="AV812" s="20">
        <v>908000</v>
      </c>
      <c r="AW812" s="20">
        <v>95400</v>
      </c>
      <c r="AX812" s="20">
        <v>2438400</v>
      </c>
      <c r="BH812" s="28">
        <v>15810800</v>
      </c>
      <c r="BI812" s="28">
        <v>15810800</v>
      </c>
    </row>
    <row r="813" spans="1:61" hidden="1" x14ac:dyDescent="0.3">
      <c r="A813" s="1" t="s">
        <v>739</v>
      </c>
      <c r="B813" s="1" t="s">
        <v>108</v>
      </c>
      <c r="C813" s="1" t="s">
        <v>1765</v>
      </c>
      <c r="D813" s="1" t="s">
        <v>1766</v>
      </c>
      <c r="E813" s="1" t="s">
        <v>1788</v>
      </c>
      <c r="F813" s="1" t="s">
        <v>561</v>
      </c>
      <c r="G813" s="1" t="s">
        <v>1518</v>
      </c>
      <c r="H813" s="1" t="s">
        <v>1788</v>
      </c>
      <c r="I813" s="1" t="s">
        <v>548</v>
      </c>
      <c r="J813" s="1" t="s">
        <v>229</v>
      </c>
      <c r="K813" s="1" t="s">
        <v>118</v>
      </c>
      <c r="L813" s="1" t="s">
        <v>103</v>
      </c>
      <c r="AS813" s="20">
        <v>2629800</v>
      </c>
      <c r="AT813" s="20">
        <v>1072800</v>
      </c>
      <c r="AU813" s="20">
        <v>204000</v>
      </c>
      <c r="AV813" s="20">
        <v>784800</v>
      </c>
      <c r="AW813" s="20">
        <v>658800</v>
      </c>
      <c r="AX813" s="20">
        <v>1425600</v>
      </c>
      <c r="BH813" s="28">
        <v>6775800</v>
      </c>
      <c r="BI813" s="28">
        <v>6775800</v>
      </c>
    </row>
    <row r="814" spans="1:61" hidden="1" x14ac:dyDescent="0.3">
      <c r="A814" s="1" t="s">
        <v>739</v>
      </c>
      <c r="B814" s="1" t="s">
        <v>108</v>
      </c>
      <c r="C814" s="1" t="s">
        <v>1765</v>
      </c>
      <c r="D814" s="1" t="s">
        <v>1766</v>
      </c>
      <c r="E814" s="1" t="s">
        <v>1789</v>
      </c>
      <c r="F814" s="1" t="s">
        <v>573</v>
      </c>
      <c r="G814" s="1" t="s">
        <v>1456</v>
      </c>
      <c r="H814" s="1" t="s">
        <v>1789</v>
      </c>
      <c r="I814" s="1" t="s">
        <v>548</v>
      </c>
      <c r="J814" s="1" t="s">
        <v>229</v>
      </c>
      <c r="K814" s="1" t="s">
        <v>118</v>
      </c>
      <c r="L814" s="1" t="s">
        <v>103</v>
      </c>
      <c r="AS814" s="20">
        <v>11205300</v>
      </c>
      <c r="AT814" s="20">
        <v>2682000</v>
      </c>
      <c r="AU814" s="20">
        <v>1020000</v>
      </c>
      <c r="AV814" s="20">
        <v>3716400</v>
      </c>
      <c r="AW814" s="20">
        <v>1569600</v>
      </c>
      <c r="AX814" s="20">
        <v>4537200</v>
      </c>
      <c r="BH814" s="28">
        <v>24730500</v>
      </c>
      <c r="BI814" s="28">
        <v>24730500</v>
      </c>
    </row>
    <row r="815" spans="1:61" hidden="1" x14ac:dyDescent="0.3">
      <c r="A815" s="1" t="s">
        <v>739</v>
      </c>
      <c r="B815" s="1" t="s">
        <v>108</v>
      </c>
      <c r="C815" s="1" t="s">
        <v>1765</v>
      </c>
      <c r="D815" s="1" t="s">
        <v>1766</v>
      </c>
      <c r="E815" s="1" t="s">
        <v>1790</v>
      </c>
      <c r="F815" s="1" t="s">
        <v>573</v>
      </c>
      <c r="G815" s="1" t="s">
        <v>1466</v>
      </c>
      <c r="H815" s="1" t="s">
        <v>1790</v>
      </c>
      <c r="I815" s="1" t="s">
        <v>548</v>
      </c>
      <c r="J815" s="1" t="s">
        <v>229</v>
      </c>
      <c r="K815" s="1" t="s">
        <v>118</v>
      </c>
      <c r="L815" s="1" t="s">
        <v>103</v>
      </c>
      <c r="AS815" s="20">
        <v>8300700</v>
      </c>
      <c r="AT815" s="20">
        <v>1609200</v>
      </c>
      <c r="AU815" s="20">
        <v>408000</v>
      </c>
      <c r="AV815" s="20">
        <v>384800</v>
      </c>
      <c r="AW815" s="20">
        <v>572400</v>
      </c>
      <c r="AX815" s="20">
        <v>3418800</v>
      </c>
      <c r="BH815" s="28">
        <v>14693900</v>
      </c>
      <c r="BI815" s="28">
        <v>14693900</v>
      </c>
    </row>
    <row r="816" spans="1:61" hidden="1" x14ac:dyDescent="0.3">
      <c r="A816" s="1" t="s">
        <v>739</v>
      </c>
      <c r="B816" s="1" t="s">
        <v>108</v>
      </c>
      <c r="C816" s="1" t="s">
        <v>1765</v>
      </c>
      <c r="D816" s="1" t="s">
        <v>1766</v>
      </c>
      <c r="E816" s="1" t="s">
        <v>1791</v>
      </c>
      <c r="F816" s="1" t="s">
        <v>573</v>
      </c>
      <c r="G816" s="1" t="s">
        <v>1468</v>
      </c>
      <c r="H816" s="1" t="s">
        <v>1791</v>
      </c>
      <c r="I816" s="1" t="s">
        <v>548</v>
      </c>
      <c r="J816" s="1" t="s">
        <v>229</v>
      </c>
      <c r="K816" s="1" t="s">
        <v>118</v>
      </c>
      <c r="L816" s="1" t="s">
        <v>103</v>
      </c>
      <c r="AS816" s="20">
        <v>10854450</v>
      </c>
      <c r="AT816" s="20">
        <v>1609200</v>
      </c>
      <c r="AU816" s="20">
        <v>612000</v>
      </c>
      <c r="AV816" s="20">
        <v>1623600</v>
      </c>
      <c r="AW816" s="20">
        <v>615600</v>
      </c>
      <c r="AX816" s="20">
        <v>1702800</v>
      </c>
      <c r="BH816" s="28">
        <v>17017650</v>
      </c>
      <c r="BI816" s="28">
        <v>17017650</v>
      </c>
    </row>
    <row r="817" spans="1:61" hidden="1" x14ac:dyDescent="0.3">
      <c r="A817" s="1" t="s">
        <v>739</v>
      </c>
      <c r="B817" s="1" t="s">
        <v>108</v>
      </c>
      <c r="C817" s="1" t="s">
        <v>1765</v>
      </c>
      <c r="D817" s="1" t="s">
        <v>1766</v>
      </c>
      <c r="E817" s="1" t="s">
        <v>1792</v>
      </c>
      <c r="F817" s="1" t="s">
        <v>573</v>
      </c>
      <c r="G817" s="1" t="s">
        <v>1472</v>
      </c>
      <c r="H817" s="1" t="s">
        <v>1792</v>
      </c>
      <c r="I817" s="1" t="s">
        <v>548</v>
      </c>
      <c r="J817" s="1" t="s">
        <v>229</v>
      </c>
      <c r="K817" s="1" t="s">
        <v>118</v>
      </c>
      <c r="L817" s="1" t="s">
        <v>103</v>
      </c>
      <c r="AS817" s="20">
        <v>2225250</v>
      </c>
      <c r="AT817" s="20">
        <v>985200</v>
      </c>
      <c r="AU817" s="20">
        <v>408000</v>
      </c>
      <c r="AV817" s="20">
        <v>784800</v>
      </c>
      <c r="AW817" s="20">
        <v>1031400</v>
      </c>
      <c r="AX817" s="20">
        <v>1993200</v>
      </c>
      <c r="BH817" s="28">
        <v>7427850</v>
      </c>
      <c r="BI817" s="28">
        <v>7427850</v>
      </c>
    </row>
    <row r="818" spans="1:61" hidden="1" x14ac:dyDescent="0.3">
      <c r="A818" s="1" t="s">
        <v>739</v>
      </c>
      <c r="B818" s="1" t="s">
        <v>108</v>
      </c>
      <c r="C818" s="1" t="s">
        <v>1765</v>
      </c>
      <c r="D818" s="1" t="s">
        <v>1766</v>
      </c>
      <c r="E818" s="1" t="s">
        <v>1793</v>
      </c>
      <c r="F818" s="1" t="s">
        <v>573</v>
      </c>
      <c r="G818" s="1" t="s">
        <v>1476</v>
      </c>
      <c r="H818" s="1" t="s">
        <v>1793</v>
      </c>
      <c r="I818" s="1" t="s">
        <v>548</v>
      </c>
      <c r="J818" s="1" t="s">
        <v>229</v>
      </c>
      <c r="K818" s="1" t="s">
        <v>118</v>
      </c>
      <c r="L818" s="1" t="s">
        <v>103</v>
      </c>
      <c r="AS818" s="20">
        <v>9694200</v>
      </c>
      <c r="AT818" s="20">
        <v>804600</v>
      </c>
      <c r="AU818" s="20">
        <v>408000</v>
      </c>
      <c r="AV818" s="20">
        <v>613700</v>
      </c>
      <c r="AW818" s="20">
        <v>797400</v>
      </c>
      <c r="AX818" s="20">
        <v>2491200</v>
      </c>
      <c r="BH818" s="28">
        <v>14809100</v>
      </c>
      <c r="BI818" s="28">
        <v>14809100</v>
      </c>
    </row>
    <row r="819" spans="1:61" hidden="1" x14ac:dyDescent="0.3">
      <c r="A819" s="1" t="s">
        <v>739</v>
      </c>
      <c r="B819" s="1" t="s">
        <v>108</v>
      </c>
      <c r="C819" s="1" t="s">
        <v>1765</v>
      </c>
      <c r="D819" s="1" t="s">
        <v>1766</v>
      </c>
      <c r="E819" s="1" t="s">
        <v>1794</v>
      </c>
      <c r="F819" s="1" t="s">
        <v>573</v>
      </c>
      <c r="G819" s="1" t="s">
        <v>1492</v>
      </c>
      <c r="H819" s="1" t="s">
        <v>1794</v>
      </c>
      <c r="I819" s="1" t="s">
        <v>548</v>
      </c>
      <c r="J819" s="1" t="s">
        <v>229</v>
      </c>
      <c r="K819" s="1" t="s">
        <v>118</v>
      </c>
      <c r="L819" s="1" t="s">
        <v>103</v>
      </c>
      <c r="AS819" s="20">
        <v>7874400</v>
      </c>
      <c r="AT819" s="20">
        <v>1877400</v>
      </c>
      <c r="AU819" s="20">
        <v>612000</v>
      </c>
      <c r="AV819" s="20">
        <v>1762000</v>
      </c>
      <c r="AW819" s="20">
        <v>2410200</v>
      </c>
      <c r="AX819" s="20">
        <v>3972000</v>
      </c>
      <c r="BH819" s="28">
        <v>18508000</v>
      </c>
      <c r="BI819" s="28">
        <v>18508000</v>
      </c>
    </row>
    <row r="820" spans="1:61" hidden="1" x14ac:dyDescent="0.3">
      <c r="A820" s="1" t="s">
        <v>739</v>
      </c>
      <c r="B820" s="1" t="s">
        <v>108</v>
      </c>
      <c r="C820" s="1" t="s">
        <v>1765</v>
      </c>
      <c r="D820" s="1" t="s">
        <v>1766</v>
      </c>
      <c r="E820" s="1" t="s">
        <v>1795</v>
      </c>
      <c r="F820" s="1" t="s">
        <v>573</v>
      </c>
      <c r="G820" s="1" t="s">
        <v>1506</v>
      </c>
      <c r="H820" s="1" t="s">
        <v>1795</v>
      </c>
      <c r="I820" s="1" t="s">
        <v>548</v>
      </c>
      <c r="J820" s="1" t="s">
        <v>229</v>
      </c>
      <c r="K820" s="1" t="s">
        <v>118</v>
      </c>
      <c r="L820" s="1" t="s">
        <v>103</v>
      </c>
      <c r="AS820" s="20">
        <v>3363900</v>
      </c>
      <c r="AU820" s="20">
        <v>408000</v>
      </c>
      <c r="AW820" s="20">
        <v>468000</v>
      </c>
      <c r="AX820" s="20">
        <v>1351200</v>
      </c>
      <c r="BH820" s="28">
        <v>5591100</v>
      </c>
      <c r="BI820" s="28">
        <v>5591100</v>
      </c>
    </row>
    <row r="821" spans="1:61" hidden="1" x14ac:dyDescent="0.3">
      <c r="A821" s="1" t="s">
        <v>739</v>
      </c>
      <c r="B821" s="1" t="s">
        <v>108</v>
      </c>
      <c r="C821" s="1" t="s">
        <v>1765</v>
      </c>
      <c r="D821" s="1" t="s">
        <v>1766</v>
      </c>
      <c r="E821" s="1" t="s">
        <v>1796</v>
      </c>
      <c r="F821" s="1" t="s">
        <v>573</v>
      </c>
      <c r="G821" s="1" t="s">
        <v>1530</v>
      </c>
      <c r="H821" s="1" t="s">
        <v>1796</v>
      </c>
      <c r="I821" s="1" t="s">
        <v>548</v>
      </c>
      <c r="J821" s="1" t="s">
        <v>229</v>
      </c>
      <c r="K821" s="1" t="s">
        <v>118</v>
      </c>
      <c r="L821" s="1" t="s">
        <v>103</v>
      </c>
      <c r="AS821" s="20">
        <v>3443400</v>
      </c>
      <c r="AT821" s="20">
        <v>1341000</v>
      </c>
      <c r="AU821" s="20">
        <v>204000</v>
      </c>
      <c r="AV821" s="20">
        <v>715600</v>
      </c>
      <c r="AW821" s="20">
        <v>754200</v>
      </c>
      <c r="AX821" s="20">
        <v>742800</v>
      </c>
      <c r="BH821" s="28">
        <v>7201000</v>
      </c>
      <c r="BI821" s="28">
        <v>7201000</v>
      </c>
    </row>
    <row r="822" spans="1:61" hidden="1" x14ac:dyDescent="0.3">
      <c r="A822" s="1" t="s">
        <v>739</v>
      </c>
      <c r="B822" s="1" t="s">
        <v>108</v>
      </c>
      <c r="C822" s="1" t="s">
        <v>1765</v>
      </c>
      <c r="D822" s="1" t="s">
        <v>1766</v>
      </c>
      <c r="E822" s="1" t="s">
        <v>1797</v>
      </c>
      <c r="F822" s="1" t="s">
        <v>1481</v>
      </c>
      <c r="G822" s="1" t="s">
        <v>1798</v>
      </c>
      <c r="H822" s="1" t="s">
        <v>1797</v>
      </c>
      <c r="I822" s="1" t="s">
        <v>548</v>
      </c>
      <c r="J822" s="1" t="s">
        <v>229</v>
      </c>
      <c r="K822" s="1" t="s">
        <v>118</v>
      </c>
      <c r="L822" s="1" t="s">
        <v>103</v>
      </c>
      <c r="AS822" s="20">
        <v>10798200</v>
      </c>
      <c r="AT822" s="20">
        <v>1609200</v>
      </c>
      <c r="AU822" s="20">
        <v>408000</v>
      </c>
      <c r="AV822" s="20">
        <v>1623600</v>
      </c>
      <c r="AW822" s="20">
        <v>901800</v>
      </c>
      <c r="AX822" s="20">
        <v>2274000</v>
      </c>
      <c r="BH822" s="28">
        <v>17614800</v>
      </c>
      <c r="BI822" s="28">
        <v>17614800</v>
      </c>
    </row>
    <row r="823" spans="1:61" hidden="1" x14ac:dyDescent="0.3">
      <c r="A823" s="1" t="s">
        <v>739</v>
      </c>
      <c r="B823" s="1" t="s">
        <v>108</v>
      </c>
      <c r="C823" s="1" t="s">
        <v>1765</v>
      </c>
      <c r="D823" s="1" t="s">
        <v>1766</v>
      </c>
      <c r="E823" s="1" t="s">
        <v>1799</v>
      </c>
      <c r="F823" s="1" t="s">
        <v>561</v>
      </c>
      <c r="G823" s="1" t="s">
        <v>1516</v>
      </c>
      <c r="H823" s="1" t="s">
        <v>1799</v>
      </c>
      <c r="I823" s="1" t="s">
        <v>548</v>
      </c>
      <c r="J823" s="1" t="s">
        <v>229</v>
      </c>
      <c r="K823" s="1" t="s">
        <v>118</v>
      </c>
      <c r="L823" s="1" t="s">
        <v>103</v>
      </c>
      <c r="AS823" s="20">
        <v>7096050</v>
      </c>
      <c r="AT823" s="20">
        <v>536400</v>
      </c>
      <c r="AU823" s="20">
        <v>408000</v>
      </c>
      <c r="AV823" s="20">
        <v>384800</v>
      </c>
      <c r="AW823" s="20">
        <v>424800</v>
      </c>
      <c r="AX823" s="20">
        <v>1171200</v>
      </c>
      <c r="BH823" s="28">
        <v>10021250</v>
      </c>
      <c r="BI823" s="28">
        <v>10021250</v>
      </c>
    </row>
    <row r="824" spans="1:61" hidden="1" x14ac:dyDescent="0.3">
      <c r="A824" s="1" t="s">
        <v>739</v>
      </c>
      <c r="B824" s="1" t="s">
        <v>108</v>
      </c>
      <c r="C824" s="1" t="s">
        <v>1765</v>
      </c>
      <c r="D824" s="1" t="s">
        <v>1766</v>
      </c>
      <c r="E824" s="1" t="s">
        <v>1800</v>
      </c>
      <c r="F824" s="1" t="s">
        <v>561</v>
      </c>
      <c r="G824" s="1" t="s">
        <v>1524</v>
      </c>
      <c r="H824" s="1" t="s">
        <v>1800</v>
      </c>
      <c r="I824" s="1" t="s">
        <v>548</v>
      </c>
      <c r="J824" s="1" t="s">
        <v>229</v>
      </c>
      <c r="K824" s="1" t="s">
        <v>118</v>
      </c>
      <c r="L824" s="1" t="s">
        <v>103</v>
      </c>
      <c r="AS824" s="20">
        <v>3731550</v>
      </c>
      <c r="AT824" s="20">
        <v>1521600</v>
      </c>
      <c r="AU824" s="20">
        <v>408000</v>
      </c>
      <c r="AV824" s="20">
        <v>1816000</v>
      </c>
      <c r="AW824" s="20">
        <v>1647000</v>
      </c>
      <c r="AX824" s="20">
        <v>1454400</v>
      </c>
      <c r="BH824" s="28">
        <v>10578550</v>
      </c>
      <c r="BI824" s="28">
        <v>10578550</v>
      </c>
    </row>
    <row r="825" spans="1:61" hidden="1" x14ac:dyDescent="0.3">
      <c r="A825" s="1" t="s">
        <v>739</v>
      </c>
      <c r="B825" s="1" t="s">
        <v>108</v>
      </c>
      <c r="C825" s="1" t="s">
        <v>1765</v>
      </c>
      <c r="D825" s="1" t="s">
        <v>1766</v>
      </c>
      <c r="E825" s="1" t="s">
        <v>1801</v>
      </c>
      <c r="F825" s="1" t="s">
        <v>573</v>
      </c>
      <c r="G825" s="1" t="s">
        <v>1470</v>
      </c>
      <c r="H825" s="1" t="s">
        <v>1801</v>
      </c>
      <c r="I825" s="1" t="s">
        <v>548</v>
      </c>
      <c r="J825" s="1" t="s">
        <v>229</v>
      </c>
      <c r="K825" s="1" t="s">
        <v>118</v>
      </c>
      <c r="L825" s="1" t="s">
        <v>103</v>
      </c>
      <c r="AS825" s="20">
        <v>3207300</v>
      </c>
      <c r="AT825" s="20">
        <v>804600</v>
      </c>
      <c r="AV825" s="20">
        <v>523200</v>
      </c>
      <c r="AW825" s="20">
        <v>1083600</v>
      </c>
      <c r="AX825" s="20">
        <v>1911600</v>
      </c>
      <c r="BH825" s="28">
        <v>7530300</v>
      </c>
      <c r="BI825" s="28">
        <v>7530300</v>
      </c>
    </row>
    <row r="826" spans="1:61" hidden="1" x14ac:dyDescent="0.3">
      <c r="A826" s="1" t="s">
        <v>739</v>
      </c>
      <c r="B826" s="1" t="s">
        <v>108</v>
      </c>
      <c r="C826" s="1" t="s">
        <v>1765</v>
      </c>
      <c r="D826" s="1" t="s">
        <v>1766</v>
      </c>
      <c r="E826" s="1" t="s">
        <v>1802</v>
      </c>
      <c r="F826" s="1" t="s">
        <v>573</v>
      </c>
      <c r="G826" s="1" t="s">
        <v>1454</v>
      </c>
      <c r="H826" s="1" t="s">
        <v>1802</v>
      </c>
      <c r="I826" s="1" t="s">
        <v>548</v>
      </c>
      <c r="J826" s="1" t="s">
        <v>229</v>
      </c>
      <c r="K826" s="1" t="s">
        <v>118</v>
      </c>
      <c r="L826" s="1" t="s">
        <v>103</v>
      </c>
      <c r="AS826" s="20">
        <v>4823100</v>
      </c>
      <c r="AU826" s="20">
        <v>408000</v>
      </c>
      <c r="AW826" s="20">
        <v>1049400</v>
      </c>
      <c r="AX826" s="20">
        <v>1102800</v>
      </c>
      <c r="BH826" s="28">
        <v>7383300</v>
      </c>
      <c r="BI826" s="28">
        <v>7383300</v>
      </c>
    </row>
    <row r="827" spans="1:61" hidden="1" x14ac:dyDescent="0.3">
      <c r="A827" s="1" t="s">
        <v>739</v>
      </c>
      <c r="B827" s="1" t="s">
        <v>108</v>
      </c>
      <c r="C827" s="1" t="s">
        <v>1765</v>
      </c>
      <c r="D827" s="1" t="s">
        <v>1766</v>
      </c>
      <c r="E827" s="1" t="s">
        <v>1803</v>
      </c>
      <c r="F827" s="1" t="s">
        <v>573</v>
      </c>
      <c r="G827" s="1" t="s">
        <v>1464</v>
      </c>
      <c r="H827" s="1" t="s">
        <v>1803</v>
      </c>
      <c r="I827" s="1" t="s">
        <v>548</v>
      </c>
      <c r="J827" s="1" t="s">
        <v>229</v>
      </c>
      <c r="K827" s="1" t="s">
        <v>118</v>
      </c>
      <c r="L827" s="1" t="s">
        <v>103</v>
      </c>
      <c r="AS827" s="20">
        <v>7416300</v>
      </c>
      <c r="AT827" s="20">
        <v>1609200</v>
      </c>
      <c r="AU827" s="20">
        <v>612000</v>
      </c>
      <c r="AV827" s="20">
        <v>1431200</v>
      </c>
      <c r="AW827" s="20">
        <v>1040400</v>
      </c>
      <c r="AX827" s="20">
        <v>2265600</v>
      </c>
      <c r="BH827" s="28">
        <v>14374700</v>
      </c>
      <c r="BI827" s="28">
        <v>14374700</v>
      </c>
    </row>
    <row r="828" spans="1:61" hidden="1" x14ac:dyDescent="0.3">
      <c r="A828" s="1" t="s">
        <v>739</v>
      </c>
      <c r="B828" s="1" t="s">
        <v>108</v>
      </c>
      <c r="C828" s="1" t="s">
        <v>1765</v>
      </c>
      <c r="D828" s="1" t="s">
        <v>1766</v>
      </c>
      <c r="E828" s="1" t="s">
        <v>1804</v>
      </c>
      <c r="F828" s="1" t="s">
        <v>573</v>
      </c>
      <c r="G828" s="1" t="s">
        <v>1474</v>
      </c>
      <c r="H828" s="1" t="s">
        <v>1804</v>
      </c>
      <c r="I828" s="1" t="s">
        <v>548</v>
      </c>
      <c r="J828" s="1" t="s">
        <v>229</v>
      </c>
      <c r="K828" s="1" t="s">
        <v>118</v>
      </c>
      <c r="L828" s="1" t="s">
        <v>103</v>
      </c>
      <c r="AS828" s="20">
        <v>4297800</v>
      </c>
      <c r="AT828" s="20">
        <v>1521600</v>
      </c>
      <c r="AU828" s="20">
        <v>204000</v>
      </c>
      <c r="AV828" s="20">
        <v>523200</v>
      </c>
      <c r="AW828" s="20">
        <v>572400</v>
      </c>
      <c r="AX828" s="20">
        <v>885600</v>
      </c>
      <c r="BH828" s="28">
        <v>8004600</v>
      </c>
      <c r="BI828" s="28">
        <v>8004600</v>
      </c>
    </row>
    <row r="829" spans="1:61" hidden="1" x14ac:dyDescent="0.3">
      <c r="A829" s="1" t="s">
        <v>739</v>
      </c>
      <c r="B829" s="1" t="s">
        <v>108</v>
      </c>
      <c r="C829" s="1" t="s">
        <v>1765</v>
      </c>
      <c r="D829" s="1" t="s">
        <v>1766</v>
      </c>
      <c r="E829" s="1" t="s">
        <v>1805</v>
      </c>
      <c r="F829" s="1" t="s">
        <v>573</v>
      </c>
      <c r="G829" s="1" t="s">
        <v>1498</v>
      </c>
      <c r="H829" s="1" t="s">
        <v>1805</v>
      </c>
      <c r="I829" s="1" t="s">
        <v>548</v>
      </c>
      <c r="J829" s="1" t="s">
        <v>229</v>
      </c>
      <c r="K829" s="1" t="s">
        <v>118</v>
      </c>
      <c r="L829" s="1" t="s">
        <v>103</v>
      </c>
      <c r="AS829" s="20">
        <v>9220050</v>
      </c>
      <c r="AT829" s="20">
        <v>804600</v>
      </c>
      <c r="AU829" s="20">
        <v>204000</v>
      </c>
      <c r="AV829" s="20">
        <v>977200</v>
      </c>
      <c r="AW829" s="20">
        <v>667800</v>
      </c>
      <c r="AX829" s="20">
        <v>1380000</v>
      </c>
      <c r="BH829" s="28">
        <v>13253650</v>
      </c>
      <c r="BI829" s="28">
        <v>13253650</v>
      </c>
    </row>
    <row r="830" spans="1:61" hidden="1" x14ac:dyDescent="0.3">
      <c r="A830" s="1" t="s">
        <v>739</v>
      </c>
      <c r="B830" s="1" t="s">
        <v>108</v>
      </c>
      <c r="C830" s="1" t="s">
        <v>1765</v>
      </c>
      <c r="D830" s="1" t="s">
        <v>1766</v>
      </c>
      <c r="E830" s="1" t="s">
        <v>1806</v>
      </c>
      <c r="F830" s="1" t="s">
        <v>573</v>
      </c>
      <c r="G830" s="1" t="s">
        <v>1500</v>
      </c>
      <c r="H830" s="1" t="s">
        <v>1806</v>
      </c>
      <c r="I830" s="1" t="s">
        <v>548</v>
      </c>
      <c r="J830" s="1" t="s">
        <v>229</v>
      </c>
      <c r="K830" s="1" t="s">
        <v>118</v>
      </c>
      <c r="L830" s="1" t="s">
        <v>103</v>
      </c>
      <c r="AS830" s="20">
        <v>2117700</v>
      </c>
      <c r="AT830" s="20">
        <v>1253400</v>
      </c>
      <c r="AU830" s="20">
        <v>204000</v>
      </c>
      <c r="AV830" s="20">
        <v>977200</v>
      </c>
      <c r="AW830" s="20">
        <v>754200</v>
      </c>
      <c r="AX830" s="20">
        <v>1311600</v>
      </c>
      <c r="BH830" s="28">
        <v>6618100</v>
      </c>
      <c r="BI830" s="28">
        <v>6618100</v>
      </c>
    </row>
    <row r="831" spans="1:61" hidden="1" x14ac:dyDescent="0.3">
      <c r="A831" s="1" t="s">
        <v>739</v>
      </c>
      <c r="B831" s="1" t="s">
        <v>108</v>
      </c>
      <c r="C831" s="1" t="s">
        <v>1765</v>
      </c>
      <c r="D831" s="1" t="s">
        <v>1766</v>
      </c>
      <c r="E831" s="1" t="s">
        <v>1807</v>
      </c>
      <c r="F831" s="1" t="s">
        <v>573</v>
      </c>
      <c r="G831" s="1" t="s">
        <v>1512</v>
      </c>
      <c r="H831" s="1" t="s">
        <v>1807</v>
      </c>
      <c r="I831" s="1" t="s">
        <v>548</v>
      </c>
      <c r="J831" s="1" t="s">
        <v>229</v>
      </c>
      <c r="K831" s="1" t="s">
        <v>118</v>
      </c>
      <c r="L831" s="1" t="s">
        <v>103</v>
      </c>
      <c r="AS831" s="20">
        <v>5970750</v>
      </c>
      <c r="AT831" s="20">
        <v>268200</v>
      </c>
      <c r="AU831" s="20">
        <v>204000</v>
      </c>
      <c r="AW831" s="20">
        <v>277200</v>
      </c>
      <c r="AX831" s="20">
        <v>2290800</v>
      </c>
      <c r="BH831" s="28">
        <v>9010950</v>
      </c>
      <c r="BI831" s="28">
        <v>9010950</v>
      </c>
    </row>
    <row r="832" spans="1:61" hidden="1" x14ac:dyDescent="0.3">
      <c r="A832" s="1" t="s">
        <v>739</v>
      </c>
      <c r="B832" s="1" t="s">
        <v>108</v>
      </c>
      <c r="C832" s="1" t="s">
        <v>1765</v>
      </c>
      <c r="D832" s="1" t="s">
        <v>1766</v>
      </c>
      <c r="E832" s="1" t="s">
        <v>1808</v>
      </c>
      <c r="F832" s="1" t="s">
        <v>561</v>
      </c>
      <c r="G832" s="1" t="s">
        <v>1520</v>
      </c>
      <c r="H832" s="1" t="s">
        <v>1808</v>
      </c>
      <c r="I832" s="1" t="s">
        <v>548</v>
      </c>
      <c r="J832" s="1" t="s">
        <v>229</v>
      </c>
      <c r="K832" s="1" t="s">
        <v>118</v>
      </c>
      <c r="L832" s="1" t="s">
        <v>103</v>
      </c>
      <c r="AS832" s="20">
        <v>6164400</v>
      </c>
      <c r="AT832" s="20">
        <v>536400</v>
      </c>
      <c r="AU832" s="20">
        <v>204000</v>
      </c>
      <c r="AV832" s="20">
        <v>577200</v>
      </c>
      <c r="AW832" s="20">
        <v>615600</v>
      </c>
      <c r="AX832" s="20">
        <v>1340400</v>
      </c>
      <c r="BH832" s="28">
        <v>9438000</v>
      </c>
      <c r="BI832" s="28">
        <v>9438000</v>
      </c>
    </row>
    <row r="833" spans="1:61" hidden="1" x14ac:dyDescent="0.3">
      <c r="A833" s="1" t="s">
        <v>739</v>
      </c>
      <c r="B833" s="1" t="s">
        <v>108</v>
      </c>
      <c r="C833" s="1" t="s">
        <v>1765</v>
      </c>
      <c r="D833" s="1" t="s">
        <v>1766</v>
      </c>
      <c r="E833" s="1" t="s">
        <v>1809</v>
      </c>
      <c r="F833" s="1" t="s">
        <v>561</v>
      </c>
      <c r="G833" s="1" t="s">
        <v>1522</v>
      </c>
      <c r="H833" s="1" t="s">
        <v>1809</v>
      </c>
      <c r="I833" s="1" t="s">
        <v>548</v>
      </c>
      <c r="J833" s="1" t="s">
        <v>229</v>
      </c>
      <c r="K833" s="1" t="s">
        <v>118</v>
      </c>
      <c r="L833" s="1" t="s">
        <v>103</v>
      </c>
      <c r="AS833" s="20">
        <v>1848900</v>
      </c>
      <c r="AV833" s="20">
        <v>261600</v>
      </c>
      <c r="AW833" s="20">
        <v>286200</v>
      </c>
      <c r="AX833" s="20">
        <v>1828800</v>
      </c>
      <c r="BH833" s="28">
        <v>4225500</v>
      </c>
      <c r="BI833" s="28">
        <v>4225500</v>
      </c>
    </row>
    <row r="834" spans="1:61" hidden="1" x14ac:dyDescent="0.3">
      <c r="A834" s="1" t="s">
        <v>739</v>
      </c>
      <c r="B834" s="1" t="s">
        <v>108</v>
      </c>
      <c r="C834" s="1" t="s">
        <v>1765</v>
      </c>
      <c r="D834" s="1" t="s">
        <v>1766</v>
      </c>
      <c r="E834" s="1" t="s">
        <v>1810</v>
      </c>
      <c r="F834" s="1" t="s">
        <v>561</v>
      </c>
      <c r="G834" s="1" t="s">
        <v>1514</v>
      </c>
      <c r="H834" s="1" t="s">
        <v>1810</v>
      </c>
      <c r="I834" s="1" t="s">
        <v>548</v>
      </c>
      <c r="J834" s="1" t="s">
        <v>229</v>
      </c>
      <c r="K834" s="1" t="s">
        <v>118</v>
      </c>
      <c r="L834" s="1" t="s">
        <v>103</v>
      </c>
      <c r="AS834" s="20">
        <v>7649100</v>
      </c>
      <c r="AT834" s="20">
        <v>1072800</v>
      </c>
      <c r="AU834" s="20">
        <v>408000</v>
      </c>
      <c r="AV834" s="20">
        <v>784800</v>
      </c>
      <c r="AW834" s="20">
        <v>806400</v>
      </c>
      <c r="AX834" s="20">
        <v>2160000</v>
      </c>
      <c r="BH834" s="28">
        <v>12881100</v>
      </c>
      <c r="BI834" s="28">
        <v>12881100</v>
      </c>
    </row>
    <row r="835" spans="1:61" hidden="1" x14ac:dyDescent="0.3">
      <c r="A835" s="1" t="s">
        <v>739</v>
      </c>
      <c r="B835" s="1" t="s">
        <v>110</v>
      </c>
      <c r="C835" s="1" t="s">
        <v>660</v>
      </c>
      <c r="D835" s="1" t="s">
        <v>661</v>
      </c>
      <c r="E835" s="1" t="s">
        <v>660</v>
      </c>
      <c r="F835" s="1" t="s">
        <v>661</v>
      </c>
      <c r="G835" s="1" t="s">
        <v>1811</v>
      </c>
      <c r="H835" s="1" t="s">
        <v>1812</v>
      </c>
      <c r="I835" s="1" t="s">
        <v>110</v>
      </c>
      <c r="J835" s="1" t="s">
        <v>229</v>
      </c>
      <c r="K835" s="1" t="s">
        <v>118</v>
      </c>
      <c r="L835" s="1" t="s">
        <v>103</v>
      </c>
      <c r="M835" s="20">
        <v>1064400</v>
      </c>
      <c r="Q835" s="20">
        <v>1630320</v>
      </c>
      <c r="R835" s="20">
        <v>1303200</v>
      </c>
      <c r="AB835" s="20">
        <v>3997920</v>
      </c>
      <c r="AC835" s="20">
        <v>984072</v>
      </c>
      <c r="AG835" s="20">
        <v>1557120</v>
      </c>
      <c r="AH835" s="20">
        <v>1672968</v>
      </c>
      <c r="AR835" s="20">
        <v>4214160</v>
      </c>
      <c r="AS835" s="20">
        <v>1460600</v>
      </c>
      <c r="AW835" s="20">
        <v>1569000</v>
      </c>
      <c r="AX835" s="20">
        <v>1201656</v>
      </c>
      <c r="BH835" s="28">
        <v>4231256</v>
      </c>
      <c r="BI835" s="28">
        <v>12443336</v>
      </c>
    </row>
    <row r="836" spans="1:61" hidden="1" x14ac:dyDescent="0.3">
      <c r="A836" s="1" t="s">
        <v>739</v>
      </c>
      <c r="B836" s="1" t="s">
        <v>110</v>
      </c>
      <c r="C836" s="1" t="s">
        <v>660</v>
      </c>
      <c r="D836" s="1" t="s">
        <v>661</v>
      </c>
      <c r="E836" s="1" t="s">
        <v>660</v>
      </c>
      <c r="F836" s="1" t="s">
        <v>661</v>
      </c>
      <c r="G836" s="1" t="s">
        <v>1813</v>
      </c>
      <c r="H836" s="1" t="s">
        <v>1814</v>
      </c>
      <c r="I836" s="1" t="s">
        <v>110</v>
      </c>
      <c r="J836" s="1" t="s">
        <v>229</v>
      </c>
      <c r="K836" s="1" t="s">
        <v>118</v>
      </c>
      <c r="L836" s="1" t="s">
        <v>103</v>
      </c>
      <c r="M836" s="20">
        <v>1335000</v>
      </c>
      <c r="P836" s="20">
        <v>529824</v>
      </c>
      <c r="Q836" s="20">
        <v>1134960</v>
      </c>
      <c r="R836" s="20">
        <v>1408800</v>
      </c>
      <c r="AB836" s="20">
        <v>4408584</v>
      </c>
      <c r="AC836" s="20">
        <v>825416</v>
      </c>
      <c r="AF836" s="20">
        <v>384304</v>
      </c>
      <c r="AG836" s="20">
        <v>2562120</v>
      </c>
      <c r="AH836" s="20">
        <v>1662984</v>
      </c>
      <c r="AR836" s="20">
        <v>5434824</v>
      </c>
      <c r="AS836" s="20">
        <v>1706552</v>
      </c>
      <c r="AV836" s="20">
        <v>1011016</v>
      </c>
      <c r="AW836" s="20">
        <v>1756200</v>
      </c>
      <c r="AX836" s="20">
        <v>2041728</v>
      </c>
      <c r="BH836" s="28">
        <v>6515496</v>
      </c>
      <c r="BI836" s="28">
        <v>16358904</v>
      </c>
    </row>
    <row r="837" spans="1:61" hidden="1" x14ac:dyDescent="0.3">
      <c r="A837" s="1" t="s">
        <v>739</v>
      </c>
      <c r="B837" s="1" t="s">
        <v>110</v>
      </c>
      <c r="C837" s="1" t="s">
        <v>660</v>
      </c>
      <c r="D837" s="1" t="s">
        <v>661</v>
      </c>
      <c r="E837" s="1" t="s">
        <v>660</v>
      </c>
      <c r="F837" s="1" t="s">
        <v>661</v>
      </c>
      <c r="G837" s="1" t="s">
        <v>1815</v>
      </c>
      <c r="H837" s="1" t="s">
        <v>1816</v>
      </c>
      <c r="I837" s="1" t="s">
        <v>110</v>
      </c>
      <c r="J837" s="1" t="s">
        <v>229</v>
      </c>
      <c r="K837" s="1" t="s">
        <v>118</v>
      </c>
      <c r="L837" s="1" t="s">
        <v>103</v>
      </c>
      <c r="M837" s="20">
        <v>958992</v>
      </c>
      <c r="P837" s="20">
        <v>458920</v>
      </c>
      <c r="Q837" s="20">
        <v>2594880</v>
      </c>
      <c r="R837" s="20">
        <v>2626800</v>
      </c>
      <c r="AB837" s="20">
        <v>6639592</v>
      </c>
      <c r="AC837" s="20">
        <v>468920</v>
      </c>
      <c r="AF837" s="20">
        <v>778248</v>
      </c>
      <c r="AG837" s="20">
        <v>2859720</v>
      </c>
      <c r="AH837" s="20">
        <v>1351200</v>
      </c>
      <c r="AR837" s="20">
        <v>5458088</v>
      </c>
      <c r="AS837" s="20">
        <v>1365328</v>
      </c>
      <c r="AV837" s="20">
        <v>816048</v>
      </c>
      <c r="AW837" s="20">
        <v>2578080</v>
      </c>
      <c r="AX837" s="20">
        <v>2956176</v>
      </c>
      <c r="BH837" s="28">
        <v>7715632</v>
      </c>
      <c r="BI837" s="28">
        <v>19813312</v>
      </c>
    </row>
    <row r="838" spans="1:61" hidden="1" x14ac:dyDescent="0.3">
      <c r="A838" s="1" t="s">
        <v>739</v>
      </c>
      <c r="B838" s="1" t="s">
        <v>110</v>
      </c>
      <c r="C838" s="1" t="s">
        <v>660</v>
      </c>
      <c r="D838" s="1" t="s">
        <v>661</v>
      </c>
      <c r="E838" s="1" t="s">
        <v>660</v>
      </c>
      <c r="F838" s="1" t="s">
        <v>661</v>
      </c>
      <c r="G838" s="1" t="s">
        <v>1817</v>
      </c>
      <c r="H838" s="1" t="s">
        <v>1818</v>
      </c>
      <c r="I838" s="1" t="s">
        <v>110</v>
      </c>
      <c r="J838" s="1" t="s">
        <v>229</v>
      </c>
      <c r="K838" s="1" t="s">
        <v>118</v>
      </c>
      <c r="L838" s="1" t="s">
        <v>103</v>
      </c>
      <c r="M838" s="20">
        <v>829692</v>
      </c>
      <c r="P838" s="20">
        <v>634344</v>
      </c>
      <c r="Q838" s="20">
        <v>1580640</v>
      </c>
      <c r="R838" s="20">
        <v>1371600</v>
      </c>
      <c r="AB838" s="20">
        <v>4416276</v>
      </c>
      <c r="AC838" s="20">
        <v>674288</v>
      </c>
      <c r="AF838" s="20">
        <v>192152</v>
      </c>
      <c r="AG838" s="20">
        <v>2388000</v>
      </c>
      <c r="AH838" s="20">
        <v>1947552</v>
      </c>
      <c r="AR838" s="20">
        <v>5201992</v>
      </c>
      <c r="AS838" s="20">
        <v>1042880</v>
      </c>
      <c r="AV838" s="20">
        <v>570296</v>
      </c>
      <c r="AW838" s="20">
        <v>2394840</v>
      </c>
      <c r="AX838" s="20">
        <v>1945944</v>
      </c>
      <c r="BH838" s="28">
        <v>5953960</v>
      </c>
      <c r="BI838" s="28">
        <v>15572228</v>
      </c>
    </row>
    <row r="839" spans="1:61" hidden="1" x14ac:dyDescent="0.3">
      <c r="A839" s="1" t="s">
        <v>739</v>
      </c>
      <c r="B839" s="1" t="s">
        <v>110</v>
      </c>
      <c r="C839" s="1" t="s">
        <v>660</v>
      </c>
      <c r="D839" s="1" t="s">
        <v>661</v>
      </c>
      <c r="E839" s="1" t="s">
        <v>660</v>
      </c>
      <c r="F839" s="1" t="s">
        <v>661</v>
      </c>
      <c r="G839" s="1" t="s">
        <v>1819</v>
      </c>
      <c r="H839" s="1" t="s">
        <v>1820</v>
      </c>
      <c r="I839" s="1" t="s">
        <v>110</v>
      </c>
      <c r="J839" s="1" t="s">
        <v>229</v>
      </c>
      <c r="K839" s="1" t="s">
        <v>118</v>
      </c>
      <c r="L839" s="1" t="s">
        <v>103</v>
      </c>
      <c r="M839" s="20">
        <v>294492</v>
      </c>
      <c r="Q839" s="20">
        <v>1431720</v>
      </c>
      <c r="R839" s="20">
        <v>142800</v>
      </c>
      <c r="AB839" s="20">
        <v>1869012</v>
      </c>
      <c r="AC839" s="20">
        <v>198320</v>
      </c>
      <c r="AF839" s="20">
        <v>128904</v>
      </c>
      <c r="AG839" s="20">
        <v>1308960</v>
      </c>
      <c r="AH839" s="20">
        <v>1136568</v>
      </c>
      <c r="AR839" s="20">
        <v>2772752</v>
      </c>
      <c r="AS839" s="20">
        <v>474784</v>
      </c>
      <c r="AW839" s="20">
        <v>957360</v>
      </c>
      <c r="AX839" s="20">
        <v>788136</v>
      </c>
      <c r="BH839" s="28">
        <v>2220280</v>
      </c>
      <c r="BI839" s="28">
        <v>6862044</v>
      </c>
    </row>
    <row r="840" spans="1:61" hidden="1" x14ac:dyDescent="0.3">
      <c r="A840" s="1" t="s">
        <v>739</v>
      </c>
      <c r="B840" s="1" t="s">
        <v>110</v>
      </c>
      <c r="C840" s="1" t="s">
        <v>660</v>
      </c>
      <c r="D840" s="1" t="s">
        <v>661</v>
      </c>
      <c r="E840" s="1" t="s">
        <v>660</v>
      </c>
      <c r="F840" s="1" t="s">
        <v>661</v>
      </c>
      <c r="G840" s="1" t="s">
        <v>1821</v>
      </c>
      <c r="H840" s="1" t="s">
        <v>1822</v>
      </c>
      <c r="I840" s="1" t="s">
        <v>110</v>
      </c>
      <c r="J840" s="1" t="s">
        <v>229</v>
      </c>
      <c r="K840" s="1" t="s">
        <v>118</v>
      </c>
      <c r="L840" s="1" t="s">
        <v>103</v>
      </c>
      <c r="M840" s="20">
        <v>1070400</v>
      </c>
      <c r="P840" s="20">
        <v>830640</v>
      </c>
      <c r="Q840" s="20">
        <v>2741520</v>
      </c>
      <c r="R840" s="20">
        <v>1492800</v>
      </c>
      <c r="AB840" s="20">
        <v>6135360</v>
      </c>
      <c r="AC840" s="20">
        <v>626504</v>
      </c>
      <c r="AF840" s="20">
        <v>425824</v>
      </c>
      <c r="AG840" s="20">
        <v>2206320</v>
      </c>
      <c r="AH840" s="20">
        <v>1844352</v>
      </c>
      <c r="AR840" s="20">
        <v>5103000</v>
      </c>
      <c r="AS840" s="20">
        <v>1189680</v>
      </c>
      <c r="AV840" s="20">
        <v>562792</v>
      </c>
      <c r="AW840" s="20">
        <v>1451280</v>
      </c>
      <c r="AX840" s="20">
        <v>1809888</v>
      </c>
      <c r="BH840" s="28">
        <v>5013640</v>
      </c>
      <c r="BI840" s="28">
        <v>16252000</v>
      </c>
    </row>
    <row r="841" spans="1:61" hidden="1" x14ac:dyDescent="0.3">
      <c r="A841" s="1" t="s">
        <v>739</v>
      </c>
      <c r="B841" s="1" t="s">
        <v>110</v>
      </c>
      <c r="C841" s="1" t="s">
        <v>660</v>
      </c>
      <c r="D841" s="1" t="s">
        <v>661</v>
      </c>
      <c r="E841" s="1" t="s">
        <v>660</v>
      </c>
      <c r="F841" s="1" t="s">
        <v>661</v>
      </c>
      <c r="G841" s="1" t="s">
        <v>1823</v>
      </c>
      <c r="H841" s="1" t="s">
        <v>1824</v>
      </c>
      <c r="I841" s="1" t="s">
        <v>110</v>
      </c>
      <c r="J841" s="1" t="s">
        <v>229</v>
      </c>
      <c r="K841" s="1" t="s">
        <v>118</v>
      </c>
      <c r="L841" s="1" t="s">
        <v>103</v>
      </c>
      <c r="M841" s="20">
        <v>1595454</v>
      </c>
      <c r="P841" s="20">
        <v>313560</v>
      </c>
      <c r="Q841" s="20">
        <v>992160</v>
      </c>
      <c r="R841" s="20">
        <v>1686000</v>
      </c>
      <c r="AB841" s="20">
        <v>4587174</v>
      </c>
      <c r="AC841" s="20">
        <v>825416</v>
      </c>
      <c r="AF841" s="20">
        <v>192400</v>
      </c>
      <c r="AG841" s="20">
        <v>2652960</v>
      </c>
      <c r="AH841" s="20">
        <v>3218688</v>
      </c>
      <c r="AR841" s="20">
        <v>6889464</v>
      </c>
      <c r="AW841" s="20">
        <v>1748400</v>
      </c>
      <c r="AX841" s="20">
        <v>1943376</v>
      </c>
      <c r="BH841" s="28">
        <v>3691776</v>
      </c>
      <c r="BI841" s="28">
        <v>15168414</v>
      </c>
    </row>
    <row r="842" spans="1:61" hidden="1" x14ac:dyDescent="0.3">
      <c r="A842" s="1" t="s">
        <v>739</v>
      </c>
      <c r="B842" s="1" t="s">
        <v>110</v>
      </c>
      <c r="C842" s="1" t="s">
        <v>660</v>
      </c>
      <c r="D842" s="1" t="s">
        <v>661</v>
      </c>
      <c r="E842" s="1" t="s">
        <v>660</v>
      </c>
      <c r="F842" s="1" t="s">
        <v>661</v>
      </c>
      <c r="G842" s="1" t="s">
        <v>1825</v>
      </c>
      <c r="H842" s="1" t="s">
        <v>1826</v>
      </c>
      <c r="I842" s="1" t="s">
        <v>110</v>
      </c>
      <c r="J842" s="1" t="s">
        <v>229</v>
      </c>
      <c r="K842" s="1" t="s">
        <v>118</v>
      </c>
      <c r="L842" s="1" t="s">
        <v>103</v>
      </c>
      <c r="M842" s="20">
        <v>1668204</v>
      </c>
      <c r="P842" s="20">
        <v>428992</v>
      </c>
      <c r="Q842" s="20">
        <v>503880</v>
      </c>
      <c r="R842" s="20">
        <v>129600</v>
      </c>
      <c r="AB842" s="20">
        <v>2730676</v>
      </c>
      <c r="AC842" s="20">
        <v>828512</v>
      </c>
      <c r="AG842" s="20">
        <v>445200</v>
      </c>
      <c r="AH842" s="20">
        <v>494400</v>
      </c>
      <c r="AR842" s="20">
        <v>1768112</v>
      </c>
      <c r="AS842" s="20">
        <v>808392</v>
      </c>
      <c r="AV842" s="20">
        <v>242392</v>
      </c>
      <c r="AW842" s="20">
        <v>510240</v>
      </c>
      <c r="AX842" s="20">
        <v>404352</v>
      </c>
      <c r="BH842" s="28">
        <v>1965376</v>
      </c>
      <c r="BI842" s="28">
        <v>6464164</v>
      </c>
    </row>
    <row r="843" spans="1:61" hidden="1" x14ac:dyDescent="0.3">
      <c r="A843" s="1" t="s">
        <v>739</v>
      </c>
      <c r="B843" s="1" t="s">
        <v>110</v>
      </c>
      <c r="C843" s="1" t="s">
        <v>660</v>
      </c>
      <c r="D843" s="1" t="s">
        <v>661</v>
      </c>
      <c r="E843" s="1" t="s">
        <v>660</v>
      </c>
      <c r="F843" s="1" t="s">
        <v>661</v>
      </c>
      <c r="G843" s="1" t="s">
        <v>1827</v>
      </c>
      <c r="H843" s="1" t="s">
        <v>1828</v>
      </c>
      <c r="I843" s="1" t="s">
        <v>110</v>
      </c>
      <c r="J843" s="1" t="s">
        <v>229</v>
      </c>
      <c r="K843" s="1" t="s">
        <v>118</v>
      </c>
      <c r="L843" s="1" t="s">
        <v>103</v>
      </c>
      <c r="M843" s="20">
        <v>1629492</v>
      </c>
      <c r="P843" s="20">
        <v>296920</v>
      </c>
      <c r="Q843" s="20">
        <v>1601160</v>
      </c>
      <c r="R843" s="20">
        <v>1268400</v>
      </c>
      <c r="AB843" s="20">
        <v>4795972</v>
      </c>
      <c r="AC843" s="20">
        <v>1575992</v>
      </c>
      <c r="AF843" s="20">
        <v>239048</v>
      </c>
      <c r="AG843" s="20">
        <v>2085120</v>
      </c>
      <c r="AH843" s="20">
        <v>1807200</v>
      </c>
      <c r="AR843" s="20">
        <v>5707360</v>
      </c>
      <c r="AS843" s="20">
        <v>2042352</v>
      </c>
      <c r="AV843" s="20">
        <v>164400</v>
      </c>
      <c r="AW843" s="20">
        <v>1389480</v>
      </c>
      <c r="AX843" s="20">
        <v>607368</v>
      </c>
      <c r="BH843" s="28">
        <v>4203600</v>
      </c>
      <c r="BI843" s="28">
        <v>14706932</v>
      </c>
    </row>
    <row r="844" spans="1:61" hidden="1" x14ac:dyDescent="0.3">
      <c r="A844" s="1" t="s">
        <v>739</v>
      </c>
      <c r="B844" s="1" t="s">
        <v>110</v>
      </c>
      <c r="C844" s="1" t="s">
        <v>660</v>
      </c>
      <c r="D844" s="1" t="s">
        <v>661</v>
      </c>
      <c r="E844" s="1" t="s">
        <v>660</v>
      </c>
      <c r="F844" s="1" t="s">
        <v>661</v>
      </c>
      <c r="G844" s="1" t="s">
        <v>1829</v>
      </c>
      <c r="H844" s="1" t="s">
        <v>1830</v>
      </c>
      <c r="I844" s="1" t="s">
        <v>110</v>
      </c>
      <c r="J844" s="1" t="s">
        <v>229</v>
      </c>
      <c r="K844" s="1" t="s">
        <v>118</v>
      </c>
      <c r="L844" s="1" t="s">
        <v>103</v>
      </c>
      <c r="P844" s="20">
        <v>632624</v>
      </c>
      <c r="Q844" s="20">
        <v>2412360</v>
      </c>
      <c r="R844" s="20">
        <v>1114800</v>
      </c>
      <c r="AB844" s="20">
        <v>4159784</v>
      </c>
      <c r="AC844" s="20">
        <v>1253600</v>
      </c>
      <c r="AF844" s="20">
        <v>286800</v>
      </c>
      <c r="AG844" s="20">
        <v>2851800</v>
      </c>
      <c r="AH844" s="20">
        <v>1289952</v>
      </c>
      <c r="AR844" s="20">
        <v>5682152</v>
      </c>
      <c r="AS844" s="20">
        <v>1284620</v>
      </c>
      <c r="AV844" s="20">
        <v>989688</v>
      </c>
      <c r="AW844" s="20">
        <v>2249280</v>
      </c>
      <c r="AX844" s="20">
        <v>1461552</v>
      </c>
      <c r="BH844" s="28">
        <v>5985140</v>
      </c>
      <c r="BI844" s="28">
        <v>15827076</v>
      </c>
    </row>
    <row r="845" spans="1:61" hidden="1" x14ac:dyDescent="0.3">
      <c r="A845" s="1" t="s">
        <v>739</v>
      </c>
      <c r="B845" s="1" t="s">
        <v>110</v>
      </c>
      <c r="C845" s="1" t="s">
        <v>660</v>
      </c>
      <c r="D845" s="1" t="s">
        <v>661</v>
      </c>
      <c r="E845" s="1" t="s">
        <v>660</v>
      </c>
      <c r="F845" s="1" t="s">
        <v>661</v>
      </c>
      <c r="G845" s="1" t="s">
        <v>1831</v>
      </c>
      <c r="H845" s="1" t="s">
        <v>1832</v>
      </c>
      <c r="I845" s="1" t="s">
        <v>110</v>
      </c>
      <c r="J845" s="1" t="s">
        <v>229</v>
      </c>
      <c r="K845" s="1" t="s">
        <v>118</v>
      </c>
      <c r="L845" s="1" t="s">
        <v>103</v>
      </c>
      <c r="M845" s="20">
        <v>4183692</v>
      </c>
      <c r="P845" s="20">
        <v>391320</v>
      </c>
      <c r="Q845" s="20">
        <v>1461720</v>
      </c>
      <c r="R845" s="20">
        <v>1371600</v>
      </c>
      <c r="AB845" s="20">
        <v>7408332</v>
      </c>
      <c r="AC845" s="20">
        <v>3897164</v>
      </c>
      <c r="AF845" s="20">
        <v>216536</v>
      </c>
      <c r="AG845" s="20">
        <v>2169120</v>
      </c>
      <c r="AH845" s="20">
        <v>1947552</v>
      </c>
      <c r="AR845" s="20">
        <v>8230372</v>
      </c>
      <c r="AS845" s="20">
        <v>1930488</v>
      </c>
      <c r="AV845" s="20">
        <v>144296</v>
      </c>
      <c r="AW845" s="20">
        <v>1873440</v>
      </c>
      <c r="AX845" s="20">
        <v>2640696</v>
      </c>
      <c r="BH845" s="28">
        <v>6588920</v>
      </c>
      <c r="BI845" s="28">
        <v>22227624</v>
      </c>
    </row>
    <row r="846" spans="1:61" hidden="1" x14ac:dyDescent="0.3">
      <c r="A846" s="1" t="s">
        <v>739</v>
      </c>
      <c r="B846" s="1" t="s">
        <v>110</v>
      </c>
      <c r="C846" s="1" t="s">
        <v>660</v>
      </c>
      <c r="D846" s="1" t="s">
        <v>661</v>
      </c>
      <c r="E846" s="1" t="s">
        <v>660</v>
      </c>
      <c r="F846" s="1" t="s">
        <v>661</v>
      </c>
      <c r="G846" s="1" t="s">
        <v>1833</v>
      </c>
      <c r="H846" s="1" t="s">
        <v>1834</v>
      </c>
      <c r="I846" s="1" t="s">
        <v>110</v>
      </c>
      <c r="J846" s="1" t="s">
        <v>229</v>
      </c>
      <c r="K846" s="1" t="s">
        <v>118</v>
      </c>
      <c r="L846" s="1" t="s">
        <v>103</v>
      </c>
      <c r="P846" s="20">
        <v>291808</v>
      </c>
      <c r="Q846" s="20">
        <v>1053600</v>
      </c>
      <c r="R846" s="20">
        <v>637200</v>
      </c>
      <c r="AB846" s="20">
        <v>1982608</v>
      </c>
      <c r="AG846" s="20">
        <v>666600</v>
      </c>
      <c r="AH846" s="20">
        <v>637200</v>
      </c>
      <c r="AR846" s="20">
        <v>1303800</v>
      </c>
      <c r="AV846" s="20">
        <v>144296</v>
      </c>
      <c r="AW846" s="20">
        <v>1205880</v>
      </c>
      <c r="AX846" s="20">
        <v>457200</v>
      </c>
      <c r="BH846" s="28">
        <v>1807376</v>
      </c>
      <c r="BI846" s="28">
        <v>5093784</v>
      </c>
    </row>
    <row r="847" spans="1:61" hidden="1" x14ac:dyDescent="0.3">
      <c r="A847" s="1" t="s">
        <v>739</v>
      </c>
      <c r="B847" s="1" t="s">
        <v>110</v>
      </c>
      <c r="C847" s="1" t="s">
        <v>660</v>
      </c>
      <c r="D847" s="1" t="s">
        <v>661</v>
      </c>
      <c r="E847" s="1" t="s">
        <v>660</v>
      </c>
      <c r="F847" s="1" t="s">
        <v>661</v>
      </c>
      <c r="G847" s="1" t="s">
        <v>1835</v>
      </c>
      <c r="H847" s="1" t="s">
        <v>1836</v>
      </c>
      <c r="I847" s="1" t="s">
        <v>110</v>
      </c>
      <c r="J847" s="1" t="s">
        <v>229</v>
      </c>
      <c r="K847" s="1" t="s">
        <v>118</v>
      </c>
      <c r="L847" s="1" t="s">
        <v>103</v>
      </c>
      <c r="M847" s="20">
        <v>559092</v>
      </c>
      <c r="P847" s="20">
        <v>104520</v>
      </c>
      <c r="Q847" s="20">
        <v>1289520</v>
      </c>
      <c r="R847" s="20">
        <v>1694400</v>
      </c>
      <c r="AB847" s="20">
        <v>3647532</v>
      </c>
      <c r="AC847" s="20">
        <v>560912</v>
      </c>
      <c r="AF847" s="20">
        <v>260520</v>
      </c>
      <c r="AG847" s="20">
        <v>1621680</v>
      </c>
      <c r="AH847" s="20">
        <v>1641552</v>
      </c>
      <c r="AR847" s="20">
        <v>4084664</v>
      </c>
      <c r="AS847" s="20">
        <v>989688</v>
      </c>
      <c r="AV847" s="20">
        <v>144296</v>
      </c>
      <c r="AW847" s="20">
        <v>561120</v>
      </c>
      <c r="AX847" s="20">
        <v>1286688</v>
      </c>
      <c r="BH847" s="28">
        <v>2981792</v>
      </c>
      <c r="BI847" s="28">
        <v>10713988</v>
      </c>
    </row>
    <row r="848" spans="1:61" hidden="1" x14ac:dyDescent="0.3">
      <c r="A848" s="1" t="s">
        <v>739</v>
      </c>
      <c r="B848" s="1" t="s">
        <v>110</v>
      </c>
      <c r="C848" s="1" t="s">
        <v>660</v>
      </c>
      <c r="D848" s="1" t="s">
        <v>661</v>
      </c>
      <c r="E848" s="1" t="s">
        <v>660</v>
      </c>
      <c r="F848" s="1" t="s">
        <v>661</v>
      </c>
      <c r="G848" s="1" t="s">
        <v>1837</v>
      </c>
      <c r="H848" s="1" t="s">
        <v>1838</v>
      </c>
      <c r="I848" s="1" t="s">
        <v>110</v>
      </c>
      <c r="J848" s="1" t="s">
        <v>229</v>
      </c>
      <c r="K848" s="1" t="s">
        <v>118</v>
      </c>
      <c r="L848" s="1" t="s">
        <v>103</v>
      </c>
      <c r="M848" s="20">
        <v>1600296</v>
      </c>
      <c r="Q848" s="20">
        <v>1233600</v>
      </c>
      <c r="R848" s="20">
        <v>1266000</v>
      </c>
      <c r="AB848" s="20">
        <v>4099896</v>
      </c>
      <c r="AC848" s="20">
        <v>600576</v>
      </c>
      <c r="AF848" s="20">
        <v>337944</v>
      </c>
      <c r="AG848" s="20">
        <v>2427360</v>
      </c>
      <c r="AH848" s="20">
        <v>2118072</v>
      </c>
      <c r="AR848" s="20">
        <v>5483952</v>
      </c>
      <c r="AS848" s="20">
        <v>967308</v>
      </c>
      <c r="AV848" s="20">
        <v>87632</v>
      </c>
      <c r="AW848" s="20">
        <v>2219040</v>
      </c>
      <c r="AX848" s="20">
        <v>2331504</v>
      </c>
      <c r="BH848" s="28">
        <v>5605484</v>
      </c>
      <c r="BI848" s="28">
        <v>15189332</v>
      </c>
    </row>
    <row r="849" spans="1:61" hidden="1" x14ac:dyDescent="0.3">
      <c r="A849" s="1" t="s">
        <v>739</v>
      </c>
      <c r="B849" s="1" t="s">
        <v>110</v>
      </c>
      <c r="C849" s="1" t="s">
        <v>660</v>
      </c>
      <c r="D849" s="1" t="s">
        <v>661</v>
      </c>
      <c r="E849" s="1" t="s">
        <v>660</v>
      </c>
      <c r="F849" s="1" t="s">
        <v>661</v>
      </c>
      <c r="G849" s="1" t="s">
        <v>1839</v>
      </c>
      <c r="H849" s="1" t="s">
        <v>1840</v>
      </c>
      <c r="I849" s="1" t="s">
        <v>110</v>
      </c>
      <c r="J849" s="1" t="s">
        <v>229</v>
      </c>
      <c r="K849" s="1" t="s">
        <v>118</v>
      </c>
      <c r="L849" s="1" t="s">
        <v>103</v>
      </c>
      <c r="P849" s="20">
        <v>104520</v>
      </c>
      <c r="Q849" s="20">
        <v>1214760</v>
      </c>
      <c r="R849" s="20">
        <v>1114800</v>
      </c>
      <c r="AB849" s="20">
        <v>2434080</v>
      </c>
      <c r="AC849" s="20">
        <v>198320</v>
      </c>
      <c r="AF849" s="20">
        <v>156000</v>
      </c>
      <c r="AG849" s="20">
        <v>1291080</v>
      </c>
      <c r="AH849" s="20">
        <v>657600</v>
      </c>
      <c r="AR849" s="20">
        <v>2303000</v>
      </c>
      <c r="AV849" s="20">
        <v>156000</v>
      </c>
      <c r="AW849" s="20">
        <v>1225320</v>
      </c>
      <c r="AX849" s="20">
        <v>885600</v>
      </c>
      <c r="BH849" s="28">
        <v>2266920</v>
      </c>
      <c r="BI849" s="28">
        <v>7004000</v>
      </c>
    </row>
    <row r="850" spans="1:61" hidden="1" x14ac:dyDescent="0.3">
      <c r="A850" s="1" t="s">
        <v>739</v>
      </c>
      <c r="B850" s="1" t="s">
        <v>110</v>
      </c>
      <c r="C850" s="1" t="s">
        <v>660</v>
      </c>
      <c r="D850" s="1" t="s">
        <v>661</v>
      </c>
      <c r="E850" s="1" t="s">
        <v>660</v>
      </c>
      <c r="F850" s="1" t="s">
        <v>661</v>
      </c>
      <c r="G850" s="1" t="s">
        <v>1841</v>
      </c>
      <c r="H850" s="1" t="s">
        <v>1842</v>
      </c>
      <c r="I850" s="1" t="s">
        <v>110</v>
      </c>
      <c r="J850" s="1" t="s">
        <v>229</v>
      </c>
      <c r="K850" s="1" t="s">
        <v>118</v>
      </c>
      <c r="L850" s="1" t="s">
        <v>103</v>
      </c>
      <c r="Q850" s="20">
        <v>1544280</v>
      </c>
      <c r="R850" s="20">
        <v>1208400</v>
      </c>
      <c r="AB850" s="20">
        <v>2752680</v>
      </c>
      <c r="AC850" s="20">
        <v>1807070</v>
      </c>
      <c r="AF850" s="20">
        <v>128904</v>
      </c>
      <c r="AG850" s="20">
        <v>1409280</v>
      </c>
      <c r="AH850" s="20">
        <v>1072968</v>
      </c>
      <c r="AR850" s="20">
        <v>4418222</v>
      </c>
      <c r="AS850" s="20">
        <v>355200</v>
      </c>
      <c r="AV850" s="20">
        <v>144296</v>
      </c>
      <c r="AW850" s="20">
        <v>1347480</v>
      </c>
      <c r="AX850" s="20">
        <v>1072968</v>
      </c>
      <c r="BH850" s="28">
        <v>2919944</v>
      </c>
      <c r="BI850" s="28">
        <v>10090846</v>
      </c>
    </row>
    <row r="851" spans="1:61" hidden="1" x14ac:dyDescent="0.3">
      <c r="A851" s="1" t="s">
        <v>739</v>
      </c>
      <c r="B851" s="1" t="s">
        <v>110</v>
      </c>
      <c r="C851" s="1" t="s">
        <v>660</v>
      </c>
      <c r="D851" s="1" t="s">
        <v>661</v>
      </c>
      <c r="E851" s="1" t="s">
        <v>660</v>
      </c>
      <c r="F851" s="1" t="s">
        <v>661</v>
      </c>
      <c r="G851" s="1" t="s">
        <v>1843</v>
      </c>
      <c r="H851" s="1" t="s">
        <v>1844</v>
      </c>
      <c r="I851" s="1" t="s">
        <v>110</v>
      </c>
      <c r="J851" s="1" t="s">
        <v>229</v>
      </c>
      <c r="K851" s="1" t="s">
        <v>118</v>
      </c>
      <c r="L851" s="1" t="s">
        <v>103</v>
      </c>
      <c r="P851" s="20">
        <v>99408</v>
      </c>
      <c r="Q851" s="20">
        <v>1283400</v>
      </c>
      <c r="R851" s="20">
        <v>486000</v>
      </c>
      <c r="AB851" s="20">
        <v>1868808</v>
      </c>
      <c r="AC851" s="20">
        <v>198320</v>
      </c>
      <c r="AG851" s="20">
        <v>1392840</v>
      </c>
      <c r="AH851" s="20">
        <v>892968</v>
      </c>
      <c r="AR851" s="20">
        <v>2484128</v>
      </c>
      <c r="AW851" s="20">
        <v>496080</v>
      </c>
      <c r="AX851" s="20">
        <v>757488</v>
      </c>
      <c r="BH851" s="28">
        <v>1253568</v>
      </c>
      <c r="BI851" s="28">
        <v>5606504</v>
      </c>
    </row>
    <row r="852" spans="1:61" hidden="1" x14ac:dyDescent="0.3">
      <c r="A852" s="1" t="s">
        <v>739</v>
      </c>
      <c r="B852" s="1" t="s">
        <v>110</v>
      </c>
      <c r="C852" s="1" t="s">
        <v>660</v>
      </c>
      <c r="D852" s="1" t="s">
        <v>661</v>
      </c>
      <c r="E852" s="1" t="s">
        <v>660</v>
      </c>
      <c r="F852" s="1" t="s">
        <v>661</v>
      </c>
      <c r="G852" s="1" t="s">
        <v>1845</v>
      </c>
      <c r="H852" s="1" t="s">
        <v>1846</v>
      </c>
      <c r="I852" s="1" t="s">
        <v>110</v>
      </c>
      <c r="J852" s="1" t="s">
        <v>229</v>
      </c>
      <c r="K852" s="1" t="s">
        <v>118</v>
      </c>
      <c r="L852" s="1" t="s">
        <v>103</v>
      </c>
      <c r="M852" s="20">
        <v>639692</v>
      </c>
      <c r="P852" s="20">
        <v>527928</v>
      </c>
      <c r="Q852" s="20">
        <v>2876040</v>
      </c>
      <c r="R852" s="20">
        <v>943200</v>
      </c>
      <c r="AB852" s="20">
        <v>4986860</v>
      </c>
      <c r="AC852" s="20">
        <v>1581476</v>
      </c>
      <c r="AF852" s="20">
        <v>604840</v>
      </c>
      <c r="AG852" s="20">
        <v>2069520</v>
      </c>
      <c r="AH852" s="20">
        <v>2265336</v>
      </c>
      <c r="AR852" s="20">
        <v>6521172</v>
      </c>
      <c r="AS852" s="20">
        <v>569070</v>
      </c>
      <c r="AV852" s="20">
        <v>300296</v>
      </c>
      <c r="AW852" s="20">
        <v>1517160</v>
      </c>
      <c r="AX852" s="20">
        <v>2107728</v>
      </c>
      <c r="BH852" s="28">
        <v>4494254</v>
      </c>
      <c r="BI852" s="28">
        <v>16002286</v>
      </c>
    </row>
    <row r="853" spans="1:61" hidden="1" x14ac:dyDescent="0.3">
      <c r="A853" s="1" t="s">
        <v>739</v>
      </c>
      <c r="B853" s="1" t="s">
        <v>110</v>
      </c>
      <c r="C853" s="1" t="s">
        <v>660</v>
      </c>
      <c r="D853" s="1" t="s">
        <v>661</v>
      </c>
      <c r="E853" s="1" t="s">
        <v>660</v>
      </c>
      <c r="F853" s="1" t="s">
        <v>661</v>
      </c>
      <c r="G853" s="1" t="s">
        <v>1847</v>
      </c>
      <c r="H853" s="1" t="s">
        <v>1848</v>
      </c>
      <c r="I853" s="1" t="s">
        <v>110</v>
      </c>
      <c r="J853" s="1" t="s">
        <v>229</v>
      </c>
      <c r="K853" s="1" t="s">
        <v>118</v>
      </c>
      <c r="L853" s="1" t="s">
        <v>103</v>
      </c>
      <c r="M853" s="20">
        <v>264600</v>
      </c>
      <c r="P853" s="20">
        <v>99408</v>
      </c>
      <c r="Q853" s="20">
        <v>1547400</v>
      </c>
      <c r="R853" s="20">
        <v>2145600</v>
      </c>
      <c r="AB853" s="20">
        <v>4057008</v>
      </c>
      <c r="AC853" s="20">
        <v>577936</v>
      </c>
      <c r="AF853" s="20">
        <v>413808</v>
      </c>
      <c r="AG853" s="20">
        <v>1486920</v>
      </c>
      <c r="AH853" s="20">
        <v>3105936</v>
      </c>
      <c r="AR853" s="20">
        <v>5584600</v>
      </c>
      <c r="AS853" s="20">
        <v>236800</v>
      </c>
      <c r="AV853" s="20">
        <v>444592</v>
      </c>
      <c r="AW853" s="20">
        <v>981360</v>
      </c>
      <c r="AX853" s="20">
        <v>2025960</v>
      </c>
      <c r="BH853" s="28">
        <v>3688712</v>
      </c>
      <c r="BI853" s="28">
        <v>13330320</v>
      </c>
    </row>
    <row r="854" spans="1:61" hidden="1" x14ac:dyDescent="0.3">
      <c r="A854" s="1" t="s">
        <v>739</v>
      </c>
      <c r="B854" s="1" t="s">
        <v>110</v>
      </c>
      <c r="C854" s="1" t="s">
        <v>660</v>
      </c>
      <c r="D854" s="1" t="s">
        <v>661</v>
      </c>
      <c r="E854" s="1" t="s">
        <v>660</v>
      </c>
      <c r="F854" s="1" t="s">
        <v>661</v>
      </c>
      <c r="G854" s="1" t="s">
        <v>1849</v>
      </c>
      <c r="H854" s="1" t="s">
        <v>1850</v>
      </c>
      <c r="I854" s="1" t="s">
        <v>110</v>
      </c>
      <c r="J854" s="1" t="s">
        <v>229</v>
      </c>
      <c r="K854" s="1" t="s">
        <v>118</v>
      </c>
      <c r="L854" s="1" t="s">
        <v>103</v>
      </c>
      <c r="M854" s="20">
        <v>1094292</v>
      </c>
      <c r="P854" s="20">
        <v>726120</v>
      </c>
      <c r="Q854" s="20">
        <v>1628400</v>
      </c>
      <c r="R854" s="20">
        <v>1057200</v>
      </c>
      <c r="AB854" s="20">
        <v>4506012</v>
      </c>
      <c r="AC854" s="20">
        <v>1614284</v>
      </c>
      <c r="AF854" s="20">
        <v>458296</v>
      </c>
      <c r="AG854" s="20">
        <v>1884240</v>
      </c>
      <c r="AH854" s="20">
        <v>2444520</v>
      </c>
      <c r="AR854" s="20">
        <v>6401340</v>
      </c>
      <c r="AS854" s="20">
        <v>2185980</v>
      </c>
      <c r="AV854" s="20">
        <v>648360</v>
      </c>
      <c r="AW854" s="20">
        <v>1449840</v>
      </c>
      <c r="AX854" s="20">
        <v>2409888</v>
      </c>
      <c r="BH854" s="28">
        <v>6694068</v>
      </c>
      <c r="BI854" s="28">
        <v>17601420</v>
      </c>
    </row>
    <row r="855" spans="1:61" hidden="1" x14ac:dyDescent="0.3">
      <c r="A855" s="1" t="s">
        <v>739</v>
      </c>
      <c r="B855" s="1" t="s">
        <v>110</v>
      </c>
      <c r="C855" s="1" t="s">
        <v>660</v>
      </c>
      <c r="D855" s="1" t="s">
        <v>661</v>
      </c>
      <c r="E855" s="1" t="s">
        <v>660</v>
      </c>
      <c r="F855" s="1" t="s">
        <v>661</v>
      </c>
      <c r="G855" s="1" t="s">
        <v>1851</v>
      </c>
      <c r="H855" s="1" t="s">
        <v>1852</v>
      </c>
      <c r="I855" s="1" t="s">
        <v>110</v>
      </c>
      <c r="J855" s="1" t="s">
        <v>229</v>
      </c>
      <c r="K855" s="1" t="s">
        <v>118</v>
      </c>
      <c r="L855" s="1" t="s">
        <v>103</v>
      </c>
      <c r="M855" s="20">
        <v>2080162</v>
      </c>
      <c r="P855" s="20">
        <v>655128</v>
      </c>
      <c r="Q855" s="20">
        <v>2407560</v>
      </c>
      <c r="R855" s="20">
        <v>2833200</v>
      </c>
      <c r="AB855" s="20">
        <v>7976050</v>
      </c>
      <c r="AC855" s="20">
        <v>1591434</v>
      </c>
      <c r="AG855" s="20">
        <v>3497160</v>
      </c>
      <c r="AH855" s="20">
        <v>3213888</v>
      </c>
      <c r="AR855" s="20">
        <v>8302482</v>
      </c>
      <c r="AS855" s="20">
        <v>1787128</v>
      </c>
      <c r="AV855" s="20">
        <v>674728</v>
      </c>
      <c r="AW855" s="20">
        <v>2594880</v>
      </c>
      <c r="AX855" s="20">
        <v>3157608</v>
      </c>
      <c r="BH855" s="28">
        <v>8214344</v>
      </c>
      <c r="BI855" s="28">
        <v>24492876</v>
      </c>
    </row>
    <row r="856" spans="1:61" hidden="1" x14ac:dyDescent="0.3">
      <c r="A856" s="1" t="s">
        <v>739</v>
      </c>
      <c r="B856" s="1" t="s">
        <v>110</v>
      </c>
      <c r="C856" s="1" t="s">
        <v>660</v>
      </c>
      <c r="D856" s="1" t="s">
        <v>661</v>
      </c>
      <c r="E856" s="1" t="s">
        <v>660</v>
      </c>
      <c r="F856" s="1" t="s">
        <v>661</v>
      </c>
      <c r="G856" s="1" t="s">
        <v>1853</v>
      </c>
      <c r="H856" s="1" t="s">
        <v>1854</v>
      </c>
      <c r="I856" s="1" t="s">
        <v>110</v>
      </c>
      <c r="J856" s="1" t="s">
        <v>229</v>
      </c>
      <c r="K856" s="1" t="s">
        <v>118</v>
      </c>
      <c r="L856" s="1" t="s">
        <v>103</v>
      </c>
      <c r="P856" s="20">
        <v>401440</v>
      </c>
      <c r="Q856" s="20">
        <v>2488920</v>
      </c>
      <c r="R856" s="20">
        <v>2294400</v>
      </c>
      <c r="AB856" s="20">
        <v>5184760</v>
      </c>
      <c r="AC856" s="20">
        <v>237984</v>
      </c>
      <c r="AF856" s="20">
        <v>493944</v>
      </c>
      <c r="AG856" s="20">
        <v>3063720</v>
      </c>
      <c r="AH856" s="20">
        <v>1625784</v>
      </c>
      <c r="AR856" s="20">
        <v>5421432</v>
      </c>
      <c r="AV856" s="20">
        <v>566440</v>
      </c>
      <c r="AW856" s="20">
        <v>2717400</v>
      </c>
      <c r="AX856" s="20">
        <v>3344832</v>
      </c>
      <c r="BH856" s="28">
        <v>6628672</v>
      </c>
      <c r="BI856" s="28">
        <v>17234864</v>
      </c>
    </row>
    <row r="857" spans="1:61" hidden="1" x14ac:dyDescent="0.3">
      <c r="A857" s="1" t="s">
        <v>739</v>
      </c>
      <c r="B857" s="1" t="s">
        <v>110</v>
      </c>
      <c r="C857" s="1" t="s">
        <v>660</v>
      </c>
      <c r="D857" s="1" t="s">
        <v>661</v>
      </c>
      <c r="E857" s="1" t="s">
        <v>660</v>
      </c>
      <c r="F857" s="1" t="s">
        <v>661</v>
      </c>
      <c r="G857" s="1" t="s">
        <v>1855</v>
      </c>
      <c r="H857" s="1" t="s">
        <v>1856</v>
      </c>
      <c r="I857" s="1" t="s">
        <v>110</v>
      </c>
      <c r="J857" s="1" t="s">
        <v>229</v>
      </c>
      <c r="K857" s="1" t="s">
        <v>118</v>
      </c>
      <c r="L857" s="1" t="s">
        <v>103</v>
      </c>
      <c r="M857" s="20">
        <v>264600</v>
      </c>
      <c r="P857" s="20">
        <v>209040</v>
      </c>
      <c r="Q857" s="20">
        <v>2111400</v>
      </c>
      <c r="R857" s="20">
        <v>1538400</v>
      </c>
      <c r="AB857" s="20">
        <v>4123440</v>
      </c>
      <c r="AC857" s="20">
        <v>237984</v>
      </c>
      <c r="AF857" s="20">
        <v>235320</v>
      </c>
      <c r="AG857" s="20">
        <v>2078280</v>
      </c>
      <c r="AH857" s="20">
        <v>2006184</v>
      </c>
      <c r="AR857" s="20">
        <v>4557768</v>
      </c>
      <c r="AW857" s="20">
        <v>870480</v>
      </c>
      <c r="AX857" s="20">
        <v>1643088</v>
      </c>
      <c r="BH857" s="28">
        <v>2513568</v>
      </c>
      <c r="BI857" s="28">
        <v>11194776</v>
      </c>
    </row>
    <row r="858" spans="1:61" hidden="1" x14ac:dyDescent="0.3">
      <c r="A858" s="1" t="s">
        <v>739</v>
      </c>
      <c r="B858" s="1" t="s">
        <v>110</v>
      </c>
      <c r="C858" s="1" t="s">
        <v>660</v>
      </c>
      <c r="D858" s="1" t="s">
        <v>661</v>
      </c>
      <c r="E858" s="1" t="s">
        <v>660</v>
      </c>
      <c r="F858" s="1" t="s">
        <v>661</v>
      </c>
      <c r="G858" s="1" t="s">
        <v>1857</v>
      </c>
      <c r="H858" s="1" t="s">
        <v>1858</v>
      </c>
      <c r="I858" s="1" t="s">
        <v>110</v>
      </c>
      <c r="J858" s="1" t="s">
        <v>229</v>
      </c>
      <c r="K858" s="1" t="s">
        <v>118</v>
      </c>
      <c r="L858" s="1" t="s">
        <v>103</v>
      </c>
      <c r="M858" s="20">
        <v>1226592</v>
      </c>
      <c r="P858" s="20">
        <v>638032</v>
      </c>
      <c r="Q858" s="20">
        <v>2218200</v>
      </c>
      <c r="R858" s="20">
        <v>1342800</v>
      </c>
      <c r="AB858" s="20">
        <v>5425624</v>
      </c>
      <c r="AC858" s="20">
        <v>237984</v>
      </c>
      <c r="AF858" s="20">
        <v>347336</v>
      </c>
      <c r="AG858" s="20">
        <v>2105520</v>
      </c>
      <c r="AH858" s="20">
        <v>2096136</v>
      </c>
      <c r="AR858" s="20">
        <v>4786976</v>
      </c>
      <c r="AV858" s="20">
        <v>686984</v>
      </c>
      <c r="AW858" s="20">
        <v>1209840</v>
      </c>
      <c r="AX858" s="20">
        <v>1545888</v>
      </c>
      <c r="BH858" s="28">
        <v>3442712</v>
      </c>
      <c r="BI858" s="28">
        <v>13655312</v>
      </c>
    </row>
    <row r="859" spans="1:61" hidden="1" x14ac:dyDescent="0.3">
      <c r="A859" s="1" t="s">
        <v>739</v>
      </c>
      <c r="B859" s="1" t="s">
        <v>110</v>
      </c>
      <c r="C859" s="1" t="s">
        <v>660</v>
      </c>
      <c r="D859" s="1" t="s">
        <v>661</v>
      </c>
      <c r="E859" s="1" t="s">
        <v>660</v>
      </c>
      <c r="F859" s="1" t="s">
        <v>661</v>
      </c>
      <c r="G859" s="1" t="s">
        <v>1859</v>
      </c>
      <c r="H859" s="1" t="s">
        <v>1860</v>
      </c>
      <c r="I859" s="1" t="s">
        <v>110</v>
      </c>
      <c r="J859" s="1" t="s">
        <v>229</v>
      </c>
      <c r="K859" s="1" t="s">
        <v>118</v>
      </c>
      <c r="L859" s="1" t="s">
        <v>103</v>
      </c>
      <c r="M859" s="20">
        <v>823692</v>
      </c>
      <c r="Q859" s="20">
        <v>400680</v>
      </c>
      <c r="R859" s="20">
        <v>758400</v>
      </c>
      <c r="AB859" s="20">
        <v>1982772</v>
      </c>
      <c r="AC859" s="20">
        <v>688808</v>
      </c>
      <c r="AG859" s="20">
        <v>1474320</v>
      </c>
      <c r="AH859" s="20">
        <v>861552</v>
      </c>
      <c r="AR859" s="20">
        <v>3024680</v>
      </c>
      <c r="AS859" s="20">
        <v>317312</v>
      </c>
      <c r="AW859" s="20">
        <v>856440</v>
      </c>
      <c r="AX859" s="20">
        <v>832752</v>
      </c>
      <c r="BH859" s="28">
        <v>2006504</v>
      </c>
      <c r="BI859" s="28">
        <v>7013956</v>
      </c>
    </row>
    <row r="860" spans="1:61" hidden="1" x14ac:dyDescent="0.3">
      <c r="A860" s="1" t="s">
        <v>739</v>
      </c>
      <c r="B860" s="1" t="s">
        <v>110</v>
      </c>
      <c r="C860" s="1" t="s">
        <v>660</v>
      </c>
      <c r="D860" s="1" t="s">
        <v>661</v>
      </c>
      <c r="E860" s="1" t="s">
        <v>660</v>
      </c>
      <c r="F860" s="1" t="s">
        <v>661</v>
      </c>
      <c r="G860" s="1" t="s">
        <v>1861</v>
      </c>
      <c r="H860" s="1" t="s">
        <v>1862</v>
      </c>
      <c r="I860" s="1" t="s">
        <v>110</v>
      </c>
      <c r="J860" s="1" t="s">
        <v>229</v>
      </c>
      <c r="K860" s="1" t="s">
        <v>118</v>
      </c>
      <c r="L860" s="1" t="s">
        <v>103</v>
      </c>
      <c r="M860" s="20">
        <v>2158092</v>
      </c>
      <c r="P860" s="20">
        <v>768344</v>
      </c>
      <c r="Q860" s="20">
        <v>3742440</v>
      </c>
      <c r="R860" s="20">
        <v>3414000</v>
      </c>
      <c r="AB860" s="20">
        <v>10082876</v>
      </c>
      <c r="AC860" s="20">
        <v>1640924</v>
      </c>
      <c r="AF860" s="20">
        <v>415704</v>
      </c>
      <c r="AG860" s="20">
        <v>4274040</v>
      </c>
      <c r="AH860" s="20">
        <v>3208536</v>
      </c>
      <c r="AR860" s="20">
        <v>9539204</v>
      </c>
      <c r="AS860" s="20">
        <v>953576</v>
      </c>
      <c r="AV860" s="20">
        <v>494424</v>
      </c>
      <c r="AW860" s="20">
        <v>3428040</v>
      </c>
      <c r="AX860" s="20">
        <v>3386016</v>
      </c>
      <c r="BH860" s="28">
        <v>8262056</v>
      </c>
      <c r="BI860" s="28">
        <v>27884136</v>
      </c>
    </row>
    <row r="861" spans="1:61" hidden="1" x14ac:dyDescent="0.3">
      <c r="A861" s="1" t="s">
        <v>739</v>
      </c>
      <c r="B861" s="1" t="s">
        <v>110</v>
      </c>
      <c r="C861" s="1" t="s">
        <v>660</v>
      </c>
      <c r="D861" s="1" t="s">
        <v>661</v>
      </c>
      <c r="E861" s="1" t="s">
        <v>660</v>
      </c>
      <c r="F861" s="1" t="s">
        <v>661</v>
      </c>
      <c r="G861" s="1" t="s">
        <v>1863</v>
      </c>
      <c r="H861" s="1" t="s">
        <v>1864</v>
      </c>
      <c r="I861" s="1" t="s">
        <v>110</v>
      </c>
      <c r="J861" s="1" t="s">
        <v>229</v>
      </c>
      <c r="K861" s="1" t="s">
        <v>118</v>
      </c>
      <c r="L861" s="1" t="s">
        <v>103</v>
      </c>
      <c r="P861" s="20">
        <v>399720</v>
      </c>
      <c r="Q861" s="20">
        <v>1845120</v>
      </c>
      <c r="R861" s="20">
        <v>1237200</v>
      </c>
      <c r="AB861" s="20">
        <v>3482040</v>
      </c>
      <c r="AC861" s="20">
        <v>600576</v>
      </c>
      <c r="AF861" s="20">
        <v>720120</v>
      </c>
      <c r="AG861" s="20">
        <v>2741640</v>
      </c>
      <c r="AH861" s="20">
        <v>1889952</v>
      </c>
      <c r="AR861" s="20">
        <v>5952288</v>
      </c>
      <c r="AV861" s="20">
        <v>540624</v>
      </c>
      <c r="AW861" s="20">
        <v>2225640</v>
      </c>
      <c r="AX861" s="20">
        <v>1889088</v>
      </c>
      <c r="BH861" s="28">
        <v>4655352</v>
      </c>
      <c r="BI861" s="28">
        <v>14089680</v>
      </c>
    </row>
    <row r="862" spans="1:61" hidden="1" x14ac:dyDescent="0.3">
      <c r="A862" s="1" t="s">
        <v>739</v>
      </c>
      <c r="B862" s="1" t="s">
        <v>110</v>
      </c>
      <c r="C862" s="1" t="s">
        <v>660</v>
      </c>
      <c r="D862" s="1" t="s">
        <v>661</v>
      </c>
      <c r="E862" s="1" t="s">
        <v>660</v>
      </c>
      <c r="F862" s="1" t="s">
        <v>661</v>
      </c>
      <c r="G862" s="1" t="s">
        <v>1865</v>
      </c>
      <c r="H862" s="1" t="s">
        <v>1866</v>
      </c>
      <c r="I862" s="1" t="s">
        <v>110</v>
      </c>
      <c r="J862" s="1" t="s">
        <v>229</v>
      </c>
      <c r="K862" s="1" t="s">
        <v>118</v>
      </c>
      <c r="L862" s="1" t="s">
        <v>103</v>
      </c>
      <c r="M862" s="20">
        <v>1061400</v>
      </c>
      <c r="P862" s="20">
        <v>417408</v>
      </c>
      <c r="Q862" s="20">
        <v>2216400</v>
      </c>
      <c r="R862" s="20">
        <v>1516800</v>
      </c>
      <c r="AB862" s="20">
        <v>5212008</v>
      </c>
      <c r="AC862" s="20">
        <v>2800592</v>
      </c>
      <c r="AF862" s="20">
        <v>280032</v>
      </c>
      <c r="AG862" s="20">
        <v>2013840</v>
      </c>
      <c r="AH862" s="20">
        <v>811320</v>
      </c>
      <c r="AR862" s="20">
        <v>5905784</v>
      </c>
      <c r="AS862" s="20">
        <v>2124204</v>
      </c>
      <c r="AV862" s="20">
        <v>664536</v>
      </c>
      <c r="AW862" s="20">
        <v>1828320</v>
      </c>
      <c r="AX862" s="20">
        <v>2038536</v>
      </c>
      <c r="BH862" s="28">
        <v>6655596</v>
      </c>
      <c r="BI862" s="28">
        <v>17773388</v>
      </c>
    </row>
    <row r="863" spans="1:61" hidden="1" x14ac:dyDescent="0.3">
      <c r="A863" s="1" t="s">
        <v>739</v>
      </c>
      <c r="B863" s="1" t="s">
        <v>110</v>
      </c>
      <c r="C863" s="1" t="s">
        <v>660</v>
      </c>
      <c r="D863" s="1" t="s">
        <v>661</v>
      </c>
      <c r="E863" s="1" t="s">
        <v>660</v>
      </c>
      <c r="F863" s="1" t="s">
        <v>661</v>
      </c>
      <c r="G863" s="1" t="s">
        <v>1867</v>
      </c>
      <c r="H863" s="1" t="s">
        <v>1868</v>
      </c>
      <c r="I863" s="1" t="s">
        <v>110</v>
      </c>
      <c r="J863" s="1" t="s">
        <v>229</v>
      </c>
      <c r="K863" s="1" t="s">
        <v>118</v>
      </c>
      <c r="L863" s="1" t="s">
        <v>103</v>
      </c>
      <c r="M863" s="20">
        <v>1967652</v>
      </c>
      <c r="P863" s="20">
        <v>1122448</v>
      </c>
      <c r="Q863" s="20">
        <v>2523360</v>
      </c>
      <c r="R863" s="20">
        <v>2004000</v>
      </c>
      <c r="AB863" s="20">
        <v>7617460</v>
      </c>
      <c r="AC863" s="20">
        <v>1404950</v>
      </c>
      <c r="AF863" s="20">
        <v>1138048</v>
      </c>
      <c r="AG863" s="20">
        <v>2408520</v>
      </c>
      <c r="AH863" s="20">
        <v>2107152</v>
      </c>
      <c r="AR863" s="20">
        <v>7058670</v>
      </c>
      <c r="AV863" s="20">
        <v>1080968</v>
      </c>
      <c r="AW863" s="20">
        <v>1276800</v>
      </c>
      <c r="AX863" s="20">
        <v>2185152</v>
      </c>
      <c r="BH863" s="28">
        <v>4542920</v>
      </c>
      <c r="BI863" s="28">
        <v>19219050</v>
      </c>
    </row>
    <row r="864" spans="1:61" hidden="1" x14ac:dyDescent="0.3">
      <c r="A864" s="1" t="s">
        <v>739</v>
      </c>
      <c r="B864" s="1" t="s">
        <v>110</v>
      </c>
      <c r="C864" s="1" t="s">
        <v>660</v>
      </c>
      <c r="D864" s="1" t="s">
        <v>661</v>
      </c>
      <c r="E864" s="1" t="s">
        <v>660</v>
      </c>
      <c r="F864" s="1" t="s">
        <v>661</v>
      </c>
      <c r="G864" s="1" t="s">
        <v>1869</v>
      </c>
      <c r="H864" s="1" t="s">
        <v>1870</v>
      </c>
      <c r="I864" s="1" t="s">
        <v>110</v>
      </c>
      <c r="J864" s="1" t="s">
        <v>229</v>
      </c>
      <c r="K864" s="1" t="s">
        <v>118</v>
      </c>
      <c r="L864" s="1" t="s">
        <v>103</v>
      </c>
      <c r="M864" s="20">
        <v>1241412</v>
      </c>
      <c r="P864" s="20">
        <v>235320</v>
      </c>
      <c r="Q864" s="20">
        <v>839520</v>
      </c>
      <c r="R864" s="20">
        <v>1065600</v>
      </c>
      <c r="AB864" s="20">
        <v>3381852</v>
      </c>
      <c r="AC864" s="20">
        <v>496790</v>
      </c>
      <c r="AF864" s="20">
        <v>104520</v>
      </c>
      <c r="AG864" s="20">
        <v>1616520</v>
      </c>
      <c r="AH864" s="20">
        <v>1500336</v>
      </c>
      <c r="AR864" s="20">
        <v>3718166</v>
      </c>
      <c r="AS864" s="20">
        <v>625800</v>
      </c>
      <c r="AV864" s="20">
        <v>418496</v>
      </c>
      <c r="AW864" s="20">
        <v>1187760</v>
      </c>
      <c r="AX864" s="20">
        <v>728688</v>
      </c>
      <c r="BH864" s="28">
        <v>2960744</v>
      </c>
      <c r="BI864" s="28">
        <v>10060762</v>
      </c>
    </row>
    <row r="865" spans="1:61" hidden="1" x14ac:dyDescent="0.3">
      <c r="A865" s="1" t="s">
        <v>739</v>
      </c>
      <c r="B865" s="1" t="s">
        <v>110</v>
      </c>
      <c r="C865" s="1" t="s">
        <v>660</v>
      </c>
      <c r="D865" s="1" t="s">
        <v>661</v>
      </c>
      <c r="E865" s="1" t="s">
        <v>660</v>
      </c>
      <c r="F865" s="1" t="s">
        <v>661</v>
      </c>
      <c r="G865" s="1" t="s">
        <v>1871</v>
      </c>
      <c r="H865" s="1" t="s">
        <v>1872</v>
      </c>
      <c r="I865" s="1" t="s">
        <v>110</v>
      </c>
      <c r="J865" s="1" t="s">
        <v>229</v>
      </c>
      <c r="K865" s="1" t="s">
        <v>118</v>
      </c>
      <c r="L865" s="1" t="s">
        <v>103</v>
      </c>
      <c r="M865" s="20">
        <v>1122162</v>
      </c>
      <c r="P865" s="20">
        <v>490728</v>
      </c>
      <c r="Q865" s="20">
        <v>2040960</v>
      </c>
      <c r="R865" s="20">
        <v>2494800</v>
      </c>
      <c r="AB865" s="20">
        <v>6148650</v>
      </c>
      <c r="AC865" s="20">
        <v>419280</v>
      </c>
      <c r="AF865" s="20">
        <v>322952</v>
      </c>
      <c r="AG865" s="20">
        <v>2802360</v>
      </c>
      <c r="AH865" s="20">
        <v>1926120</v>
      </c>
      <c r="AR865" s="20">
        <v>5470712</v>
      </c>
      <c r="AV865" s="20">
        <v>164400</v>
      </c>
      <c r="AW865" s="20">
        <v>1257240</v>
      </c>
      <c r="AX865" s="20">
        <v>3151728</v>
      </c>
      <c r="BH865" s="28">
        <v>4573368</v>
      </c>
      <c r="BI865" s="28">
        <v>16192730</v>
      </c>
    </row>
    <row r="866" spans="1:61" hidden="1" x14ac:dyDescent="0.3">
      <c r="A866" s="1" t="s">
        <v>739</v>
      </c>
      <c r="B866" s="1" t="s">
        <v>110</v>
      </c>
      <c r="C866" s="1" t="s">
        <v>660</v>
      </c>
      <c r="D866" s="1" t="s">
        <v>661</v>
      </c>
      <c r="E866" s="1" t="s">
        <v>660</v>
      </c>
      <c r="F866" s="1" t="s">
        <v>661</v>
      </c>
      <c r="G866" s="1" t="s">
        <v>1873</v>
      </c>
      <c r="H866" s="1" t="s">
        <v>1874</v>
      </c>
      <c r="I866" s="1" t="s">
        <v>110</v>
      </c>
      <c r="J866" s="1" t="s">
        <v>229</v>
      </c>
      <c r="K866" s="1" t="s">
        <v>118</v>
      </c>
      <c r="L866" s="1" t="s">
        <v>103</v>
      </c>
      <c r="P866" s="20">
        <v>960448</v>
      </c>
      <c r="Q866" s="20">
        <v>1714320</v>
      </c>
      <c r="R866" s="20">
        <v>1813200</v>
      </c>
      <c r="AB866" s="20">
        <v>4487968</v>
      </c>
      <c r="AC866" s="20">
        <v>0</v>
      </c>
      <c r="AR866" s="20">
        <v>0</v>
      </c>
      <c r="BI866" s="28">
        <v>4487968</v>
      </c>
    </row>
    <row r="867" spans="1:61" hidden="1" x14ac:dyDescent="0.3">
      <c r="A867" s="1" t="s">
        <v>739</v>
      </c>
      <c r="B867" s="1" t="s">
        <v>110</v>
      </c>
      <c r="C867" s="1" t="s">
        <v>660</v>
      </c>
      <c r="D867" s="1" t="s">
        <v>661</v>
      </c>
      <c r="E867" s="1" t="s">
        <v>660</v>
      </c>
      <c r="F867" s="1" t="s">
        <v>661</v>
      </c>
      <c r="G867" s="1" t="s">
        <v>1875</v>
      </c>
      <c r="H867" s="1" t="s">
        <v>1876</v>
      </c>
      <c r="I867" s="1" t="s">
        <v>110</v>
      </c>
      <c r="J867" s="1" t="s">
        <v>229</v>
      </c>
      <c r="K867" s="1" t="s">
        <v>118</v>
      </c>
      <c r="L867" s="1" t="s">
        <v>103</v>
      </c>
      <c r="M867" s="20">
        <v>1293984</v>
      </c>
      <c r="P867" s="20">
        <v>104520</v>
      </c>
      <c r="Q867" s="20">
        <v>730080</v>
      </c>
      <c r="R867" s="20">
        <v>1615200</v>
      </c>
      <c r="AB867" s="20">
        <v>3743784</v>
      </c>
      <c r="AC867" s="20">
        <v>237984</v>
      </c>
      <c r="AF867" s="20">
        <v>104520</v>
      </c>
      <c r="AG867" s="20">
        <v>1380240</v>
      </c>
      <c r="AH867" s="20">
        <v>1569720</v>
      </c>
      <c r="AR867" s="20">
        <v>3292464</v>
      </c>
      <c r="AS867" s="20">
        <v>2407452</v>
      </c>
      <c r="AW867" s="20">
        <v>896880</v>
      </c>
      <c r="AX867" s="20">
        <v>1833552</v>
      </c>
      <c r="BH867" s="28">
        <v>5137884</v>
      </c>
      <c r="BI867" s="28">
        <v>12174132</v>
      </c>
    </row>
    <row r="868" spans="1:61" hidden="1" x14ac:dyDescent="0.3">
      <c r="A868" s="1" t="s">
        <v>739</v>
      </c>
      <c r="B868" s="1" t="s">
        <v>110</v>
      </c>
      <c r="C868" s="1" t="s">
        <v>660</v>
      </c>
      <c r="D868" s="1" t="s">
        <v>661</v>
      </c>
      <c r="E868" s="1" t="s">
        <v>660</v>
      </c>
      <c r="F868" s="1" t="s">
        <v>661</v>
      </c>
      <c r="G868" s="1" t="s">
        <v>1877</v>
      </c>
      <c r="H868" s="1" t="s">
        <v>1878</v>
      </c>
      <c r="I868" s="1" t="s">
        <v>110</v>
      </c>
      <c r="J868" s="1" t="s">
        <v>229</v>
      </c>
      <c r="K868" s="1" t="s">
        <v>118</v>
      </c>
      <c r="L868" s="1" t="s">
        <v>103</v>
      </c>
      <c r="M868" s="20">
        <v>294492</v>
      </c>
      <c r="P868" s="20">
        <v>365928</v>
      </c>
      <c r="Q868" s="20">
        <v>783720</v>
      </c>
      <c r="R868" s="20">
        <v>808800</v>
      </c>
      <c r="AB868" s="20">
        <v>2252940</v>
      </c>
      <c r="AC868" s="20">
        <v>118992</v>
      </c>
      <c r="AF868" s="20">
        <v>192400</v>
      </c>
      <c r="AG868" s="20">
        <v>1202280</v>
      </c>
      <c r="AH868" s="20">
        <v>711384</v>
      </c>
      <c r="AR868" s="20">
        <v>2225056</v>
      </c>
      <c r="AV868" s="20">
        <v>87632</v>
      </c>
      <c r="AW868" s="20">
        <v>1253640</v>
      </c>
      <c r="AX868" s="20">
        <v>1327152</v>
      </c>
      <c r="BH868" s="28">
        <v>2668424</v>
      </c>
      <c r="BI868" s="28">
        <v>7146420</v>
      </c>
    </row>
    <row r="869" spans="1:61" hidden="1" x14ac:dyDescent="0.3">
      <c r="A869" s="1" t="s">
        <v>739</v>
      </c>
      <c r="B869" s="1" t="s">
        <v>110</v>
      </c>
      <c r="C869" s="1" t="s">
        <v>660</v>
      </c>
      <c r="D869" s="1" t="s">
        <v>661</v>
      </c>
      <c r="E869" s="1" t="s">
        <v>660</v>
      </c>
      <c r="F869" s="1" t="s">
        <v>661</v>
      </c>
      <c r="G869" s="1" t="s">
        <v>1879</v>
      </c>
      <c r="H869" s="1" t="s">
        <v>1880</v>
      </c>
      <c r="I869" s="1" t="s">
        <v>110</v>
      </c>
      <c r="J869" s="1" t="s">
        <v>229</v>
      </c>
      <c r="K869" s="1" t="s">
        <v>118</v>
      </c>
      <c r="L869" s="1" t="s">
        <v>103</v>
      </c>
      <c r="P869" s="20">
        <v>470448</v>
      </c>
      <c r="Q869" s="20">
        <v>2621760</v>
      </c>
      <c r="R869" s="20">
        <v>2679600</v>
      </c>
      <c r="AB869" s="20">
        <v>5771808</v>
      </c>
      <c r="AC869" s="20">
        <v>1491576</v>
      </c>
      <c r="AF869" s="20">
        <v>580104</v>
      </c>
      <c r="AG869" s="20">
        <v>3055200</v>
      </c>
      <c r="AH869" s="20">
        <v>2590536</v>
      </c>
      <c r="AR869" s="20">
        <v>7717416</v>
      </c>
      <c r="AV869" s="20">
        <v>439496</v>
      </c>
      <c r="AW869" s="20">
        <v>1981080</v>
      </c>
      <c r="AX869" s="20">
        <v>2570640</v>
      </c>
      <c r="BH869" s="28">
        <v>4991216</v>
      </c>
      <c r="BI869" s="28">
        <v>18480440</v>
      </c>
    </row>
    <row r="870" spans="1:61" hidden="1" x14ac:dyDescent="0.3">
      <c r="A870" s="1" t="s">
        <v>739</v>
      </c>
      <c r="B870" s="1" t="s">
        <v>110</v>
      </c>
      <c r="C870" s="1" t="s">
        <v>660</v>
      </c>
      <c r="D870" s="1" t="s">
        <v>661</v>
      </c>
      <c r="E870" s="1" t="s">
        <v>660</v>
      </c>
      <c r="F870" s="1" t="s">
        <v>661</v>
      </c>
      <c r="G870" s="1" t="s">
        <v>1881</v>
      </c>
      <c r="H870" s="1" t="s">
        <v>1882</v>
      </c>
      <c r="I870" s="1" t="s">
        <v>110</v>
      </c>
      <c r="J870" s="1" t="s">
        <v>229</v>
      </c>
      <c r="K870" s="1" t="s">
        <v>118</v>
      </c>
      <c r="L870" s="1" t="s">
        <v>103</v>
      </c>
      <c r="P870" s="20">
        <v>104520</v>
      </c>
      <c r="Q870" s="20">
        <v>839520</v>
      </c>
      <c r="R870" s="20">
        <v>465600</v>
      </c>
      <c r="AB870" s="20">
        <v>1409640</v>
      </c>
      <c r="AC870" s="20">
        <v>198320</v>
      </c>
      <c r="AG870" s="20">
        <v>1140840</v>
      </c>
      <c r="AH870" s="20">
        <v>891384</v>
      </c>
      <c r="AR870" s="20">
        <v>2230544</v>
      </c>
      <c r="AS870" s="20">
        <v>482628</v>
      </c>
      <c r="AV870" s="20">
        <v>439496</v>
      </c>
      <c r="AW870" s="20">
        <v>1146000</v>
      </c>
      <c r="AX870" s="20">
        <v>805440</v>
      </c>
      <c r="BH870" s="28">
        <v>2873564</v>
      </c>
      <c r="BI870" s="28">
        <v>6513748</v>
      </c>
    </row>
    <row r="871" spans="1:61" hidden="1" x14ac:dyDescent="0.3">
      <c r="A871" s="1" t="s">
        <v>739</v>
      </c>
      <c r="B871" s="1" t="s">
        <v>110</v>
      </c>
      <c r="C871" s="1" t="s">
        <v>660</v>
      </c>
      <c r="D871" s="1" t="s">
        <v>661</v>
      </c>
      <c r="E871" s="1" t="s">
        <v>660</v>
      </c>
      <c r="F871" s="1" t="s">
        <v>661</v>
      </c>
      <c r="G871" s="1" t="s">
        <v>1883</v>
      </c>
      <c r="H871" s="1" t="s">
        <v>1884</v>
      </c>
      <c r="I871" s="1" t="s">
        <v>110</v>
      </c>
      <c r="J871" s="1" t="s">
        <v>229</v>
      </c>
      <c r="K871" s="1" t="s">
        <v>118</v>
      </c>
      <c r="L871" s="1" t="s">
        <v>103</v>
      </c>
      <c r="M871" s="20">
        <v>1104900</v>
      </c>
      <c r="P871" s="20">
        <v>203928</v>
      </c>
      <c r="Q871" s="20">
        <v>1620960</v>
      </c>
      <c r="R871" s="20">
        <v>2457600</v>
      </c>
      <c r="AB871" s="20">
        <v>5387388</v>
      </c>
      <c r="AC871" s="20">
        <v>1284360</v>
      </c>
      <c r="AF871" s="20">
        <v>209040</v>
      </c>
      <c r="AG871" s="20">
        <v>1213440</v>
      </c>
      <c r="AH871" s="20">
        <v>1572000</v>
      </c>
      <c r="AR871" s="20">
        <v>4278840</v>
      </c>
      <c r="AV871" s="20">
        <v>374432</v>
      </c>
      <c r="AW871" s="20">
        <v>1342560</v>
      </c>
      <c r="AX871" s="20">
        <v>2237280</v>
      </c>
      <c r="BH871" s="28">
        <v>3954272</v>
      </c>
      <c r="BI871" s="28">
        <v>13620500</v>
      </c>
    </row>
    <row r="872" spans="1:61" hidden="1" x14ac:dyDescent="0.3">
      <c r="A872" s="1" t="s">
        <v>739</v>
      </c>
      <c r="B872" s="1" t="s">
        <v>110</v>
      </c>
      <c r="C872" s="1" t="s">
        <v>660</v>
      </c>
      <c r="D872" s="1" t="s">
        <v>661</v>
      </c>
      <c r="E872" s="1" t="s">
        <v>660</v>
      </c>
      <c r="F872" s="1" t="s">
        <v>661</v>
      </c>
      <c r="G872" s="1" t="s">
        <v>1885</v>
      </c>
      <c r="H872" s="1" t="s">
        <v>1886</v>
      </c>
      <c r="I872" s="1" t="s">
        <v>110</v>
      </c>
      <c r="J872" s="1" t="s">
        <v>229</v>
      </c>
      <c r="K872" s="1" t="s">
        <v>118</v>
      </c>
      <c r="L872" s="1" t="s">
        <v>103</v>
      </c>
      <c r="M872" s="20">
        <v>132300</v>
      </c>
      <c r="P872" s="20">
        <v>104520</v>
      </c>
      <c r="Q872" s="20">
        <v>1206240</v>
      </c>
      <c r="R872" s="20">
        <v>600000</v>
      </c>
      <c r="AB872" s="20">
        <v>2043060</v>
      </c>
      <c r="AC872" s="20">
        <v>356976</v>
      </c>
      <c r="AG872" s="20">
        <v>1397280</v>
      </c>
      <c r="AH872" s="20">
        <v>1792752</v>
      </c>
      <c r="AR872" s="20">
        <v>3547008</v>
      </c>
      <c r="AW872" s="20">
        <v>660120</v>
      </c>
      <c r="AX872" s="20">
        <v>990240</v>
      </c>
      <c r="BH872" s="28">
        <v>1650360</v>
      </c>
      <c r="BI872" s="28">
        <v>7240428</v>
      </c>
    </row>
    <row r="873" spans="1:61" hidden="1" x14ac:dyDescent="0.3">
      <c r="A873" s="1" t="s">
        <v>739</v>
      </c>
      <c r="B873" s="1" t="s">
        <v>110</v>
      </c>
      <c r="C873" s="1" t="s">
        <v>660</v>
      </c>
      <c r="D873" s="1" t="s">
        <v>661</v>
      </c>
      <c r="E873" s="1" t="s">
        <v>660</v>
      </c>
      <c r="F873" s="1" t="s">
        <v>661</v>
      </c>
      <c r="G873" s="1" t="s">
        <v>1887</v>
      </c>
      <c r="H873" s="1" t="s">
        <v>1888</v>
      </c>
      <c r="I873" s="1" t="s">
        <v>110</v>
      </c>
      <c r="J873" s="1" t="s">
        <v>229</v>
      </c>
      <c r="K873" s="1" t="s">
        <v>118</v>
      </c>
      <c r="L873" s="1" t="s">
        <v>103</v>
      </c>
      <c r="P873" s="20">
        <v>689128</v>
      </c>
      <c r="Q873" s="20">
        <v>2492640</v>
      </c>
      <c r="R873" s="20">
        <v>1800000</v>
      </c>
      <c r="AB873" s="20">
        <v>4981768</v>
      </c>
      <c r="AC873" s="20">
        <v>237984</v>
      </c>
      <c r="AF873" s="20">
        <v>643352</v>
      </c>
      <c r="AG873" s="20">
        <v>2693520</v>
      </c>
      <c r="AH873" s="20">
        <v>1620120</v>
      </c>
      <c r="AR873" s="20">
        <v>5194976</v>
      </c>
      <c r="AS873" s="20">
        <v>362592</v>
      </c>
      <c r="AV873" s="20">
        <v>507024</v>
      </c>
      <c r="AW873" s="20">
        <v>2284080</v>
      </c>
      <c r="AX873" s="20">
        <v>3285216</v>
      </c>
      <c r="BH873" s="28">
        <v>6438912</v>
      </c>
      <c r="BI873" s="28">
        <v>16615656</v>
      </c>
    </row>
    <row r="874" spans="1:61" hidden="1" x14ac:dyDescent="0.3">
      <c r="A874" s="1" t="s">
        <v>739</v>
      </c>
      <c r="B874" s="1" t="s">
        <v>110</v>
      </c>
      <c r="C874" s="1" t="s">
        <v>660</v>
      </c>
      <c r="D874" s="1" t="s">
        <v>661</v>
      </c>
      <c r="E874" s="1" t="s">
        <v>660</v>
      </c>
      <c r="F874" s="1" t="s">
        <v>661</v>
      </c>
      <c r="G874" s="1" t="s">
        <v>1889</v>
      </c>
      <c r="H874" s="1" t="s">
        <v>1890</v>
      </c>
      <c r="I874" s="1" t="s">
        <v>110</v>
      </c>
      <c r="J874" s="1" t="s">
        <v>229</v>
      </c>
      <c r="K874" s="1" t="s">
        <v>118</v>
      </c>
      <c r="L874" s="1" t="s">
        <v>103</v>
      </c>
      <c r="M874" s="20">
        <v>1762770</v>
      </c>
      <c r="P874" s="20">
        <v>732328</v>
      </c>
      <c r="Q874" s="20">
        <v>2308560</v>
      </c>
      <c r="R874" s="20">
        <v>2318400</v>
      </c>
      <c r="AB874" s="20">
        <v>7122058</v>
      </c>
      <c r="AC874" s="20">
        <v>1482440</v>
      </c>
      <c r="AF874" s="20">
        <v>619872</v>
      </c>
      <c r="AG874" s="20">
        <v>1655280</v>
      </c>
      <c r="AH874" s="20">
        <v>1791720</v>
      </c>
      <c r="AR874" s="20">
        <v>5549312</v>
      </c>
      <c r="AS874" s="20">
        <v>2448672</v>
      </c>
      <c r="AV874" s="20">
        <v>748520</v>
      </c>
      <c r="AW874" s="20">
        <v>1705200</v>
      </c>
      <c r="AX874" s="20">
        <v>2483280</v>
      </c>
      <c r="BH874" s="28">
        <v>7385672</v>
      </c>
      <c r="BI874" s="28">
        <v>20057042</v>
      </c>
    </row>
    <row r="875" spans="1:61" hidden="1" x14ac:dyDescent="0.3">
      <c r="A875" s="1" t="s">
        <v>739</v>
      </c>
      <c r="B875" s="1" t="s">
        <v>110</v>
      </c>
      <c r="C875" s="1" t="s">
        <v>660</v>
      </c>
      <c r="D875" s="1" t="s">
        <v>661</v>
      </c>
      <c r="E875" s="1" t="s">
        <v>660</v>
      </c>
      <c r="F875" s="1" t="s">
        <v>661</v>
      </c>
      <c r="G875" s="1" t="s">
        <v>1891</v>
      </c>
      <c r="H875" s="1" t="s">
        <v>1892</v>
      </c>
      <c r="I875" s="1" t="s">
        <v>110</v>
      </c>
      <c r="J875" s="1" t="s">
        <v>229</v>
      </c>
      <c r="K875" s="1" t="s">
        <v>118</v>
      </c>
      <c r="L875" s="1" t="s">
        <v>103</v>
      </c>
      <c r="P875" s="20">
        <v>266520</v>
      </c>
      <c r="Q875" s="20">
        <v>2646000</v>
      </c>
      <c r="R875" s="20">
        <v>1255200</v>
      </c>
      <c r="AB875" s="20">
        <v>4167720</v>
      </c>
      <c r="AC875" s="20">
        <v>198320</v>
      </c>
      <c r="AF875" s="20">
        <v>209040</v>
      </c>
      <c r="AG875" s="20">
        <v>1515120</v>
      </c>
      <c r="AH875" s="20">
        <v>547152</v>
      </c>
      <c r="AR875" s="20">
        <v>2469632</v>
      </c>
      <c r="AW875" s="20">
        <v>1560600</v>
      </c>
      <c r="AX875" s="20">
        <v>1011672</v>
      </c>
      <c r="BH875" s="28">
        <v>2572272</v>
      </c>
      <c r="BI875" s="28">
        <v>9209624</v>
      </c>
    </row>
    <row r="876" spans="1:61" hidden="1" x14ac:dyDescent="0.3">
      <c r="A876" s="1" t="s">
        <v>739</v>
      </c>
      <c r="B876" s="1" t="s">
        <v>110</v>
      </c>
      <c r="C876" s="1" t="s">
        <v>660</v>
      </c>
      <c r="D876" s="1" t="s">
        <v>661</v>
      </c>
      <c r="E876" s="1" t="s">
        <v>660</v>
      </c>
      <c r="F876" s="1" t="s">
        <v>661</v>
      </c>
      <c r="G876" s="1" t="s">
        <v>1893</v>
      </c>
      <c r="H876" s="1" t="s">
        <v>1894</v>
      </c>
      <c r="I876" s="1" t="s">
        <v>110</v>
      </c>
      <c r="J876" s="1" t="s">
        <v>229</v>
      </c>
      <c r="K876" s="1" t="s">
        <v>118</v>
      </c>
      <c r="L876" s="1" t="s">
        <v>103</v>
      </c>
      <c r="M876" s="20">
        <v>1400604</v>
      </c>
      <c r="P876" s="20">
        <v>817128</v>
      </c>
      <c r="Q876" s="20">
        <v>1409880</v>
      </c>
      <c r="R876" s="20">
        <v>1857600</v>
      </c>
      <c r="AB876" s="20">
        <v>5485212</v>
      </c>
      <c r="AC876" s="20">
        <v>1507176</v>
      </c>
      <c r="AF876" s="20">
        <v>641704</v>
      </c>
      <c r="AG876" s="20">
        <v>2604120</v>
      </c>
      <c r="AH876" s="20">
        <v>2179368</v>
      </c>
      <c r="AR876" s="20">
        <v>6932368</v>
      </c>
      <c r="AV876" s="20">
        <v>144296</v>
      </c>
      <c r="AW876" s="20">
        <v>1666200</v>
      </c>
      <c r="AX876" s="20">
        <v>3386760</v>
      </c>
      <c r="BH876" s="28">
        <v>5197256</v>
      </c>
      <c r="BI876" s="28">
        <v>17614836</v>
      </c>
    </row>
    <row r="877" spans="1:61" hidden="1" x14ac:dyDescent="0.3">
      <c r="A877" s="1" t="s">
        <v>739</v>
      </c>
      <c r="B877" s="1" t="s">
        <v>110</v>
      </c>
      <c r="C877" s="1" t="s">
        <v>660</v>
      </c>
      <c r="D877" s="1" t="s">
        <v>661</v>
      </c>
      <c r="E877" s="1" t="s">
        <v>660</v>
      </c>
      <c r="F877" s="1" t="s">
        <v>661</v>
      </c>
      <c r="G877" s="1" t="s">
        <v>1895</v>
      </c>
      <c r="H877" s="1" t="s">
        <v>1896</v>
      </c>
      <c r="I877" s="1" t="s">
        <v>110</v>
      </c>
      <c r="J877" s="1" t="s">
        <v>229</v>
      </c>
      <c r="K877" s="1" t="s">
        <v>118</v>
      </c>
      <c r="L877" s="1" t="s">
        <v>103</v>
      </c>
      <c r="M877" s="20">
        <v>799800</v>
      </c>
      <c r="Q877" s="20">
        <v>831000</v>
      </c>
      <c r="R877" s="20">
        <v>1086000</v>
      </c>
      <c r="AB877" s="20">
        <v>2716800</v>
      </c>
      <c r="AC877" s="20">
        <v>1287640</v>
      </c>
      <c r="AG877" s="20">
        <v>1260840</v>
      </c>
      <c r="AH877" s="20">
        <v>1004352</v>
      </c>
      <c r="AR877" s="20">
        <v>3552832</v>
      </c>
      <c r="AS877" s="20">
        <v>592000</v>
      </c>
      <c r="AW877" s="20">
        <v>694680</v>
      </c>
      <c r="AX877" s="20">
        <v>1547328</v>
      </c>
      <c r="BH877" s="28">
        <v>2834008</v>
      </c>
      <c r="BI877" s="28">
        <v>9103640</v>
      </c>
    </row>
    <row r="878" spans="1:61" hidden="1" x14ac:dyDescent="0.3">
      <c r="A878" s="1" t="s">
        <v>739</v>
      </c>
      <c r="B878" s="1" t="s">
        <v>110</v>
      </c>
      <c r="C878" s="1" t="s">
        <v>660</v>
      </c>
      <c r="D878" s="1" t="s">
        <v>661</v>
      </c>
      <c r="E878" s="1" t="s">
        <v>660</v>
      </c>
      <c r="F878" s="1" t="s">
        <v>661</v>
      </c>
      <c r="G878" s="1" t="s">
        <v>1897</v>
      </c>
      <c r="H878" s="1" t="s">
        <v>1898</v>
      </c>
      <c r="I878" s="1" t="s">
        <v>110</v>
      </c>
      <c r="J878" s="1" t="s">
        <v>229</v>
      </c>
      <c r="K878" s="1" t="s">
        <v>118</v>
      </c>
      <c r="L878" s="1" t="s">
        <v>103</v>
      </c>
      <c r="M878" s="20">
        <v>989862</v>
      </c>
      <c r="P878" s="20">
        <v>104520</v>
      </c>
      <c r="Q878" s="20">
        <v>2727000</v>
      </c>
      <c r="R878" s="20">
        <v>1686000</v>
      </c>
      <c r="AB878" s="20">
        <v>5507382</v>
      </c>
      <c r="AF878" s="20">
        <v>104520</v>
      </c>
      <c r="AG878" s="20">
        <v>1828560</v>
      </c>
      <c r="AH878" s="20">
        <v>1168584</v>
      </c>
      <c r="AR878" s="20">
        <v>3101664</v>
      </c>
      <c r="AW878" s="20">
        <v>2370720</v>
      </c>
      <c r="AX878" s="20">
        <v>2650632</v>
      </c>
      <c r="BH878" s="28">
        <v>5021352</v>
      </c>
      <c r="BI878" s="28">
        <v>13630398</v>
      </c>
    </row>
    <row r="879" spans="1:61" hidden="1" x14ac:dyDescent="0.3">
      <c r="A879" s="1" t="s">
        <v>739</v>
      </c>
      <c r="B879" s="1" t="s">
        <v>110</v>
      </c>
      <c r="C879" s="1" t="s">
        <v>660</v>
      </c>
      <c r="D879" s="1" t="s">
        <v>661</v>
      </c>
      <c r="E879" s="1" t="s">
        <v>660</v>
      </c>
      <c r="F879" s="1" t="s">
        <v>661</v>
      </c>
      <c r="G879" s="1" t="s">
        <v>1899</v>
      </c>
      <c r="H879" s="1" t="s">
        <v>1900</v>
      </c>
      <c r="I879" s="1" t="s">
        <v>110</v>
      </c>
      <c r="J879" s="1" t="s">
        <v>229</v>
      </c>
      <c r="K879" s="1" t="s">
        <v>118</v>
      </c>
      <c r="L879" s="1" t="s">
        <v>103</v>
      </c>
      <c r="M879" s="20">
        <v>710100</v>
      </c>
      <c r="P879" s="20">
        <v>470448</v>
      </c>
      <c r="Q879" s="20">
        <v>2233560</v>
      </c>
      <c r="R879" s="20">
        <v>3314400</v>
      </c>
      <c r="AB879" s="20">
        <v>6728508</v>
      </c>
      <c r="AC879" s="20">
        <v>1134384</v>
      </c>
      <c r="AF879" s="20">
        <v>321056</v>
      </c>
      <c r="AG879" s="20">
        <v>2859360</v>
      </c>
      <c r="AH879" s="20">
        <v>3018936</v>
      </c>
      <c r="AR879" s="20">
        <v>7333736</v>
      </c>
      <c r="AS879" s="20">
        <v>426108</v>
      </c>
      <c r="AV879" s="20">
        <v>428120</v>
      </c>
      <c r="AW879" s="20">
        <v>1428000</v>
      </c>
      <c r="AX879" s="20">
        <v>2722344</v>
      </c>
      <c r="BH879" s="28">
        <v>5004572</v>
      </c>
      <c r="BI879" s="28">
        <v>19066816</v>
      </c>
    </row>
    <row r="880" spans="1:61" hidden="1" x14ac:dyDescent="0.3">
      <c r="A880" s="1" t="s">
        <v>739</v>
      </c>
      <c r="B880" s="1" t="s">
        <v>110</v>
      </c>
      <c r="C880" s="1" t="s">
        <v>660</v>
      </c>
      <c r="D880" s="1" t="s">
        <v>661</v>
      </c>
      <c r="E880" s="1" t="s">
        <v>660</v>
      </c>
      <c r="F880" s="1" t="s">
        <v>661</v>
      </c>
      <c r="G880" s="1" t="s">
        <v>1901</v>
      </c>
      <c r="H880" s="1" t="s">
        <v>1902</v>
      </c>
      <c r="I880" s="1" t="s">
        <v>110</v>
      </c>
      <c r="J880" s="1" t="s">
        <v>229</v>
      </c>
      <c r="K880" s="1" t="s">
        <v>118</v>
      </c>
      <c r="L880" s="1" t="s">
        <v>103</v>
      </c>
      <c r="P880" s="20">
        <v>235320</v>
      </c>
      <c r="Q880" s="20">
        <v>1204800</v>
      </c>
      <c r="R880" s="20">
        <v>486000</v>
      </c>
      <c r="AB880" s="20">
        <v>1926120</v>
      </c>
      <c r="AC880" s="20">
        <v>198320</v>
      </c>
      <c r="AF880" s="20">
        <v>320400</v>
      </c>
      <c r="AG880" s="20">
        <v>1224840</v>
      </c>
      <c r="AH880" s="20">
        <v>171600</v>
      </c>
      <c r="AR880" s="20">
        <v>1915160</v>
      </c>
      <c r="AS880" s="20">
        <v>426108</v>
      </c>
      <c r="AV880" s="20">
        <v>300296</v>
      </c>
      <c r="AW880" s="20">
        <v>1149480</v>
      </c>
      <c r="AX880" s="20">
        <v>443088</v>
      </c>
      <c r="BH880" s="28">
        <v>2318972</v>
      </c>
      <c r="BI880" s="28">
        <v>6160252</v>
      </c>
    </row>
    <row r="881" spans="1:61" hidden="1" x14ac:dyDescent="0.3">
      <c r="A881" s="1" t="s">
        <v>739</v>
      </c>
      <c r="B881" s="1" t="s">
        <v>110</v>
      </c>
      <c r="C881" s="1" t="s">
        <v>660</v>
      </c>
      <c r="D881" s="1" t="s">
        <v>661</v>
      </c>
      <c r="E881" s="1" t="s">
        <v>660</v>
      </c>
      <c r="F881" s="1" t="s">
        <v>661</v>
      </c>
      <c r="G881" s="1" t="s">
        <v>1903</v>
      </c>
      <c r="H881" s="1" t="s">
        <v>1904</v>
      </c>
      <c r="I881" s="1" t="s">
        <v>110</v>
      </c>
      <c r="J881" s="1" t="s">
        <v>229</v>
      </c>
      <c r="K881" s="1" t="s">
        <v>118</v>
      </c>
      <c r="L881" s="1" t="s">
        <v>103</v>
      </c>
      <c r="M881" s="20">
        <v>132300</v>
      </c>
      <c r="P881" s="20">
        <v>334728</v>
      </c>
      <c r="Q881" s="20">
        <v>1134000</v>
      </c>
      <c r="R881" s="20">
        <v>751200</v>
      </c>
      <c r="AB881" s="20">
        <v>2352228</v>
      </c>
      <c r="AC881" s="20">
        <v>774438</v>
      </c>
      <c r="AF881" s="20">
        <v>478952</v>
      </c>
      <c r="AG881" s="20">
        <v>1918200</v>
      </c>
      <c r="AH881" s="20">
        <v>1168584</v>
      </c>
      <c r="AR881" s="20">
        <v>4340174</v>
      </c>
      <c r="AV881" s="20">
        <v>185728</v>
      </c>
      <c r="AW881" s="20">
        <v>1221720</v>
      </c>
      <c r="AX881" s="20">
        <v>1700112</v>
      </c>
      <c r="BH881" s="28">
        <v>3107560</v>
      </c>
      <c r="BI881" s="28">
        <v>9799962</v>
      </c>
    </row>
    <row r="882" spans="1:61" hidden="1" x14ac:dyDescent="0.3">
      <c r="A882" s="1" t="s">
        <v>739</v>
      </c>
      <c r="B882" s="1" t="s">
        <v>110</v>
      </c>
      <c r="C882" s="1" t="s">
        <v>660</v>
      </c>
      <c r="D882" s="1" t="s">
        <v>661</v>
      </c>
      <c r="E882" s="1" t="s">
        <v>660</v>
      </c>
      <c r="F882" s="1" t="s">
        <v>661</v>
      </c>
      <c r="G882" s="1" t="s">
        <v>1905</v>
      </c>
      <c r="H882" s="1" t="s">
        <v>1906</v>
      </c>
      <c r="I882" s="1" t="s">
        <v>110</v>
      </c>
      <c r="J882" s="1" t="s">
        <v>229</v>
      </c>
      <c r="K882" s="1" t="s">
        <v>118</v>
      </c>
      <c r="L882" s="1" t="s">
        <v>103</v>
      </c>
      <c r="M882" s="20">
        <v>2667612</v>
      </c>
      <c r="P882" s="20">
        <v>104520</v>
      </c>
      <c r="Q882" s="20">
        <v>1483080</v>
      </c>
      <c r="R882" s="20">
        <v>1611600</v>
      </c>
      <c r="AB882" s="20">
        <v>5866812</v>
      </c>
      <c r="AC882" s="20">
        <v>475968</v>
      </c>
      <c r="AF882" s="20">
        <v>209040</v>
      </c>
      <c r="AG882" s="20">
        <v>1716120</v>
      </c>
      <c r="AH882" s="20">
        <v>739368</v>
      </c>
      <c r="AR882" s="20">
        <v>3140496</v>
      </c>
      <c r="AS882" s="20">
        <v>2414496</v>
      </c>
      <c r="AW882" s="20">
        <v>1803360</v>
      </c>
      <c r="AX882" s="20">
        <v>1484640</v>
      </c>
      <c r="BH882" s="28">
        <v>5702496</v>
      </c>
      <c r="BI882" s="28">
        <v>14709804</v>
      </c>
    </row>
    <row r="883" spans="1:61" hidden="1" x14ac:dyDescent="0.3">
      <c r="A883" s="1" t="s">
        <v>739</v>
      </c>
      <c r="B883" s="1" t="s">
        <v>110</v>
      </c>
      <c r="C883" s="1" t="s">
        <v>660</v>
      </c>
      <c r="D883" s="1" t="s">
        <v>661</v>
      </c>
      <c r="E883" s="1" t="s">
        <v>660</v>
      </c>
      <c r="F883" s="1" t="s">
        <v>661</v>
      </c>
      <c r="G883" s="1" t="s">
        <v>1907</v>
      </c>
      <c r="H883" s="1" t="s">
        <v>1908</v>
      </c>
      <c r="I883" s="1" t="s">
        <v>110</v>
      </c>
      <c r="J883" s="1" t="s">
        <v>229</v>
      </c>
      <c r="K883" s="1" t="s">
        <v>118</v>
      </c>
      <c r="L883" s="1" t="s">
        <v>103</v>
      </c>
      <c r="P883" s="20">
        <v>104520</v>
      </c>
      <c r="Q883" s="20">
        <v>990000</v>
      </c>
      <c r="R883" s="20">
        <v>600000</v>
      </c>
      <c r="AB883" s="20">
        <v>1694520</v>
      </c>
      <c r="AC883" s="20">
        <v>679904</v>
      </c>
      <c r="AF883" s="20">
        <v>104520</v>
      </c>
      <c r="AG883" s="20">
        <v>942720</v>
      </c>
      <c r="AH883" s="20">
        <v>1035768</v>
      </c>
      <c r="AR883" s="20">
        <v>2762912</v>
      </c>
      <c r="AS883" s="20">
        <v>355200</v>
      </c>
      <c r="AW883" s="20">
        <v>1428000</v>
      </c>
      <c r="AX883" s="20">
        <v>721368</v>
      </c>
      <c r="BH883" s="28">
        <v>2504568</v>
      </c>
      <c r="BI883" s="28">
        <v>6962000</v>
      </c>
    </row>
    <row r="884" spans="1:61" hidden="1" x14ac:dyDescent="0.3">
      <c r="A884" s="1" t="s">
        <v>739</v>
      </c>
      <c r="B884" s="1" t="s">
        <v>110</v>
      </c>
      <c r="C884" s="1" t="s">
        <v>660</v>
      </c>
      <c r="D884" s="1" t="s">
        <v>661</v>
      </c>
      <c r="E884" s="1" t="s">
        <v>660</v>
      </c>
      <c r="F884" s="1" t="s">
        <v>661</v>
      </c>
      <c r="G884" s="1" t="s">
        <v>1909</v>
      </c>
      <c r="H884" s="1" t="s">
        <v>1910</v>
      </c>
      <c r="I884" s="1" t="s">
        <v>110</v>
      </c>
      <c r="J884" s="1" t="s">
        <v>229</v>
      </c>
      <c r="K884" s="1" t="s">
        <v>118</v>
      </c>
      <c r="L884" s="1" t="s">
        <v>103</v>
      </c>
      <c r="M884" s="20">
        <v>132300</v>
      </c>
      <c r="P884" s="20">
        <v>592120</v>
      </c>
      <c r="Q884" s="20">
        <v>1243560</v>
      </c>
      <c r="R884" s="20">
        <v>1609200</v>
      </c>
      <c r="AB884" s="20">
        <v>3577180</v>
      </c>
      <c r="AC884" s="20">
        <v>198320</v>
      </c>
      <c r="AF884" s="20">
        <v>457704</v>
      </c>
      <c r="AG884" s="20">
        <v>2360160</v>
      </c>
      <c r="AH884" s="20">
        <v>1600800</v>
      </c>
      <c r="AR884" s="20">
        <v>4616984</v>
      </c>
      <c r="AV884" s="20">
        <v>353776</v>
      </c>
      <c r="AW884" s="20">
        <v>1656240</v>
      </c>
      <c r="AX884" s="20">
        <v>1867656</v>
      </c>
      <c r="BH884" s="28">
        <v>3877672</v>
      </c>
      <c r="BI884" s="28">
        <v>12071836</v>
      </c>
    </row>
    <row r="885" spans="1:61" hidden="1" x14ac:dyDescent="0.3">
      <c r="A885" s="1" t="s">
        <v>739</v>
      </c>
      <c r="B885" s="1" t="s">
        <v>110</v>
      </c>
      <c r="C885" s="1" t="s">
        <v>660</v>
      </c>
      <c r="D885" s="1" t="s">
        <v>661</v>
      </c>
      <c r="E885" s="1" t="s">
        <v>660</v>
      </c>
      <c r="F885" s="1" t="s">
        <v>661</v>
      </c>
      <c r="G885" s="1" t="s">
        <v>1911</v>
      </c>
      <c r="H885" s="1" t="s">
        <v>1912</v>
      </c>
      <c r="I885" s="1" t="s">
        <v>110</v>
      </c>
      <c r="J885" s="1" t="s">
        <v>229</v>
      </c>
      <c r="K885" s="1" t="s">
        <v>118</v>
      </c>
      <c r="L885" s="1" t="s">
        <v>103</v>
      </c>
      <c r="P885" s="20">
        <v>266520</v>
      </c>
      <c r="Q885" s="20">
        <v>855120</v>
      </c>
      <c r="R885" s="20">
        <v>1582800</v>
      </c>
      <c r="AB885" s="20">
        <v>2704440</v>
      </c>
      <c r="AC885" s="20">
        <v>198320</v>
      </c>
      <c r="AG885" s="20">
        <v>790080</v>
      </c>
      <c r="AH885" s="20">
        <v>916968</v>
      </c>
      <c r="AR885" s="20">
        <v>1905368</v>
      </c>
      <c r="AW885" s="20">
        <v>446640</v>
      </c>
      <c r="AX885" s="20">
        <v>554472</v>
      </c>
      <c r="BH885" s="28">
        <v>1001112</v>
      </c>
      <c r="BI885" s="28">
        <v>5610920</v>
      </c>
    </row>
    <row r="886" spans="1:61" hidden="1" x14ac:dyDescent="0.3">
      <c r="A886" s="1" t="s">
        <v>739</v>
      </c>
      <c r="B886" s="1" t="s">
        <v>110</v>
      </c>
      <c r="C886" s="1" t="s">
        <v>660</v>
      </c>
      <c r="D886" s="1" t="s">
        <v>661</v>
      </c>
      <c r="E886" s="1" t="s">
        <v>660</v>
      </c>
      <c r="F886" s="1" t="s">
        <v>661</v>
      </c>
      <c r="G886" s="1" t="s">
        <v>1913</v>
      </c>
      <c r="H886" s="1" t="s">
        <v>1914</v>
      </c>
      <c r="I886" s="1" t="s">
        <v>110</v>
      </c>
      <c r="J886" s="1" t="s">
        <v>229</v>
      </c>
      <c r="K886" s="1" t="s">
        <v>118</v>
      </c>
      <c r="L886" s="1" t="s">
        <v>103</v>
      </c>
      <c r="Q886" s="20">
        <v>966720</v>
      </c>
      <c r="R886" s="20">
        <v>1200000</v>
      </c>
      <c r="AB886" s="20">
        <v>2166720</v>
      </c>
      <c r="AG886" s="20">
        <v>1278360</v>
      </c>
      <c r="AH886" s="20">
        <v>435768</v>
      </c>
      <c r="AR886" s="20">
        <v>1714128</v>
      </c>
      <c r="AW886" s="20">
        <v>648720</v>
      </c>
      <c r="AX886" s="20">
        <v>750168</v>
      </c>
      <c r="BH886" s="28">
        <v>1398888</v>
      </c>
      <c r="BI886" s="28">
        <v>5279736</v>
      </c>
    </row>
    <row r="887" spans="1:61" hidden="1" x14ac:dyDescent="0.3">
      <c r="A887" s="1" t="s">
        <v>739</v>
      </c>
      <c r="B887" s="1" t="s">
        <v>110</v>
      </c>
      <c r="C887" s="1" t="s">
        <v>660</v>
      </c>
      <c r="D887" s="1" t="s">
        <v>661</v>
      </c>
      <c r="E887" s="1" t="s">
        <v>660</v>
      </c>
      <c r="F887" s="1" t="s">
        <v>661</v>
      </c>
      <c r="G887" s="1" t="s">
        <v>1915</v>
      </c>
      <c r="H887" s="1" t="s">
        <v>1916</v>
      </c>
      <c r="I887" s="1" t="s">
        <v>110</v>
      </c>
      <c r="J887" s="1" t="s">
        <v>229</v>
      </c>
      <c r="K887" s="1" t="s">
        <v>118</v>
      </c>
      <c r="L887" s="1" t="s">
        <v>103</v>
      </c>
      <c r="M887" s="20">
        <v>2566266</v>
      </c>
      <c r="P887" s="20">
        <v>296920</v>
      </c>
      <c r="Q887" s="20">
        <v>2215320</v>
      </c>
      <c r="R887" s="20">
        <v>1538400</v>
      </c>
      <c r="AB887" s="20">
        <v>6616906</v>
      </c>
      <c r="AC887" s="20">
        <v>436304</v>
      </c>
      <c r="AG887" s="20">
        <v>2443920</v>
      </c>
      <c r="AH887" s="20">
        <v>1004352</v>
      </c>
      <c r="AR887" s="20">
        <v>3884576</v>
      </c>
      <c r="AS887" s="20">
        <v>1774140</v>
      </c>
      <c r="AW887" s="20">
        <v>1636080</v>
      </c>
      <c r="AX887" s="20">
        <v>1536456</v>
      </c>
      <c r="BH887" s="28">
        <v>4946676</v>
      </c>
      <c r="BI887" s="28">
        <v>15448158</v>
      </c>
    </row>
    <row r="888" spans="1:61" hidden="1" x14ac:dyDescent="0.3">
      <c r="A888" s="1" t="s">
        <v>739</v>
      </c>
      <c r="B888" s="1" t="s">
        <v>110</v>
      </c>
      <c r="C888" s="1" t="s">
        <v>660</v>
      </c>
      <c r="D888" s="1" t="s">
        <v>661</v>
      </c>
      <c r="E888" s="1" t="s">
        <v>660</v>
      </c>
      <c r="F888" s="1" t="s">
        <v>661</v>
      </c>
      <c r="G888" s="1" t="s">
        <v>1917</v>
      </c>
      <c r="H888" s="1" t="s">
        <v>1918</v>
      </c>
      <c r="I888" s="1" t="s">
        <v>110</v>
      </c>
      <c r="J888" s="1" t="s">
        <v>229</v>
      </c>
      <c r="K888" s="1" t="s">
        <v>118</v>
      </c>
      <c r="L888" s="1" t="s">
        <v>103</v>
      </c>
      <c r="M888" s="20">
        <v>264600</v>
      </c>
      <c r="P888" s="20">
        <v>209040</v>
      </c>
      <c r="Q888" s="20">
        <v>1198560</v>
      </c>
      <c r="R888" s="20">
        <v>1538400</v>
      </c>
      <c r="AB888" s="20">
        <v>3210600</v>
      </c>
      <c r="AC888" s="20">
        <v>475968</v>
      </c>
      <c r="AG888" s="20">
        <v>996480</v>
      </c>
      <c r="AH888" s="20">
        <v>1327152</v>
      </c>
      <c r="AR888" s="20">
        <v>2799600</v>
      </c>
      <c r="AS888" s="20">
        <v>596940</v>
      </c>
      <c r="AW888" s="20">
        <v>1412640</v>
      </c>
      <c r="AX888" s="20">
        <v>2106648</v>
      </c>
      <c r="BH888" s="28">
        <v>4116228</v>
      </c>
      <c r="BI888" s="28">
        <v>10126428</v>
      </c>
    </row>
    <row r="889" spans="1:61" hidden="1" x14ac:dyDescent="0.3">
      <c r="A889" s="1" t="s">
        <v>739</v>
      </c>
      <c r="B889" s="1" t="s">
        <v>110</v>
      </c>
      <c r="C889" s="1" t="s">
        <v>660</v>
      </c>
      <c r="D889" s="1" t="s">
        <v>661</v>
      </c>
      <c r="E889" s="1" t="s">
        <v>660</v>
      </c>
      <c r="F889" s="1" t="s">
        <v>661</v>
      </c>
      <c r="G889" s="1" t="s">
        <v>1919</v>
      </c>
      <c r="H889" s="1" t="s">
        <v>1920</v>
      </c>
      <c r="I889" s="1" t="s">
        <v>110</v>
      </c>
      <c r="J889" s="1" t="s">
        <v>229</v>
      </c>
      <c r="K889" s="1" t="s">
        <v>118</v>
      </c>
      <c r="L889" s="1" t="s">
        <v>103</v>
      </c>
      <c r="M889" s="20">
        <v>1152054</v>
      </c>
      <c r="P889" s="20">
        <v>104520</v>
      </c>
      <c r="Q889" s="20">
        <v>1084560</v>
      </c>
      <c r="R889" s="20">
        <v>1228800</v>
      </c>
      <c r="AB889" s="20">
        <v>3569934</v>
      </c>
      <c r="AC889" s="20">
        <v>638422</v>
      </c>
      <c r="AF889" s="20">
        <v>104520</v>
      </c>
      <c r="AG889" s="20">
        <v>1530240</v>
      </c>
      <c r="AH889" s="20">
        <v>1775952</v>
      </c>
      <c r="AR889" s="20">
        <v>4049134</v>
      </c>
      <c r="AS889" s="20">
        <v>871628</v>
      </c>
      <c r="AV889" s="20">
        <v>706192</v>
      </c>
      <c r="AW889" s="20">
        <v>1356720</v>
      </c>
      <c r="AX889" s="20">
        <v>900288</v>
      </c>
      <c r="BH889" s="28">
        <v>3834828</v>
      </c>
      <c r="BI889" s="28">
        <v>11453896</v>
      </c>
    </row>
    <row r="890" spans="1:61" hidden="1" x14ac:dyDescent="0.3">
      <c r="A890" s="1" t="s">
        <v>739</v>
      </c>
      <c r="B890" s="1" t="s">
        <v>110</v>
      </c>
      <c r="C890" s="1" t="s">
        <v>660</v>
      </c>
      <c r="D890" s="1" t="s">
        <v>661</v>
      </c>
      <c r="E890" s="1" t="s">
        <v>660</v>
      </c>
      <c r="F890" s="1" t="s">
        <v>661</v>
      </c>
      <c r="G890" s="1" t="s">
        <v>1921</v>
      </c>
      <c r="H890" s="1" t="s">
        <v>1922</v>
      </c>
      <c r="I890" s="1" t="s">
        <v>110</v>
      </c>
      <c r="J890" s="1" t="s">
        <v>229</v>
      </c>
      <c r="K890" s="1" t="s">
        <v>118</v>
      </c>
      <c r="L890" s="1" t="s">
        <v>103</v>
      </c>
      <c r="M890" s="20">
        <v>1352892</v>
      </c>
      <c r="P890" s="20">
        <v>399720</v>
      </c>
      <c r="Q890" s="20">
        <v>1731480</v>
      </c>
      <c r="R890" s="20">
        <v>2772000</v>
      </c>
      <c r="AB890" s="20">
        <v>6256092</v>
      </c>
      <c r="AC890" s="20">
        <v>838560</v>
      </c>
      <c r="AF890" s="20">
        <v>209040</v>
      </c>
      <c r="AG890" s="20">
        <v>2071440</v>
      </c>
      <c r="AH890" s="20">
        <v>3253272</v>
      </c>
      <c r="AR890" s="20">
        <v>6372312</v>
      </c>
      <c r="AS890" s="20">
        <v>925476</v>
      </c>
      <c r="AV890" s="20">
        <v>393296</v>
      </c>
      <c r="AW890" s="20">
        <v>1882320</v>
      </c>
      <c r="AX890" s="20">
        <v>3782136</v>
      </c>
      <c r="BH890" s="28">
        <v>6983228</v>
      </c>
      <c r="BI890" s="28">
        <v>19611632</v>
      </c>
    </row>
    <row r="891" spans="1:61" hidden="1" x14ac:dyDescent="0.3">
      <c r="A891" s="1" t="s">
        <v>739</v>
      </c>
      <c r="B891" s="1" t="s">
        <v>110</v>
      </c>
      <c r="C891" s="1" t="s">
        <v>660</v>
      </c>
      <c r="D891" s="1" t="s">
        <v>661</v>
      </c>
      <c r="E891" s="1" t="s">
        <v>660</v>
      </c>
      <c r="F891" s="1" t="s">
        <v>661</v>
      </c>
      <c r="G891" s="1" t="s">
        <v>1923</v>
      </c>
      <c r="H891" s="1" t="s">
        <v>1924</v>
      </c>
      <c r="I891" s="1" t="s">
        <v>110</v>
      </c>
      <c r="J891" s="1" t="s">
        <v>229</v>
      </c>
      <c r="K891" s="1" t="s">
        <v>118</v>
      </c>
      <c r="L891" s="1" t="s">
        <v>103</v>
      </c>
      <c r="M891" s="20">
        <v>1260462</v>
      </c>
      <c r="P891" s="20">
        <v>209040</v>
      </c>
      <c r="Q891" s="20">
        <v>3077640</v>
      </c>
      <c r="R891" s="20">
        <v>2455200</v>
      </c>
      <c r="AB891" s="20">
        <v>7002342</v>
      </c>
      <c r="AC891" s="20">
        <v>237984</v>
      </c>
      <c r="AG891" s="20">
        <v>3159720</v>
      </c>
      <c r="AH891" s="20">
        <v>2127552</v>
      </c>
      <c r="AR891" s="20">
        <v>5525256</v>
      </c>
      <c r="AS891" s="20">
        <v>1860424</v>
      </c>
      <c r="AV891" s="20">
        <v>242392</v>
      </c>
      <c r="AW891" s="20">
        <v>2308920</v>
      </c>
      <c r="AX891" s="20">
        <v>2667912</v>
      </c>
      <c r="BH891" s="28">
        <v>7079648</v>
      </c>
      <c r="BI891" s="28">
        <v>19607246</v>
      </c>
    </row>
    <row r="892" spans="1:61" hidden="1" x14ac:dyDescent="0.3">
      <c r="A892" s="1" t="s">
        <v>739</v>
      </c>
      <c r="B892" s="1" t="s">
        <v>110</v>
      </c>
      <c r="C892" s="1" t="s">
        <v>660</v>
      </c>
      <c r="D892" s="1" t="s">
        <v>661</v>
      </c>
      <c r="E892" s="1" t="s">
        <v>660</v>
      </c>
      <c r="F892" s="1" t="s">
        <v>661</v>
      </c>
      <c r="G892" s="1" t="s">
        <v>1925</v>
      </c>
      <c r="H892" s="1" t="s">
        <v>1926</v>
      </c>
      <c r="I892" s="1" t="s">
        <v>110</v>
      </c>
      <c r="J892" s="1" t="s">
        <v>229</v>
      </c>
      <c r="K892" s="1" t="s">
        <v>118</v>
      </c>
      <c r="L892" s="1" t="s">
        <v>103</v>
      </c>
      <c r="P892" s="20">
        <v>104520</v>
      </c>
      <c r="Q892" s="20">
        <v>2399880</v>
      </c>
      <c r="R892" s="20">
        <v>1501200</v>
      </c>
      <c r="AB892" s="20">
        <v>4005600</v>
      </c>
      <c r="AC892" s="20">
        <v>198320</v>
      </c>
      <c r="AF892" s="20">
        <v>424920</v>
      </c>
      <c r="AG892" s="20">
        <v>2703480</v>
      </c>
      <c r="AH892" s="20">
        <v>1194168</v>
      </c>
      <c r="AR892" s="20">
        <v>4520888</v>
      </c>
      <c r="AS892" s="20">
        <v>1289580</v>
      </c>
      <c r="AV892" s="20">
        <v>373192</v>
      </c>
      <c r="AW892" s="20">
        <v>1727040</v>
      </c>
      <c r="AX892" s="20">
        <v>900288</v>
      </c>
      <c r="BH892" s="28">
        <v>4290100</v>
      </c>
      <c r="BI892" s="28">
        <v>12816588</v>
      </c>
    </row>
    <row r="893" spans="1:61" hidden="1" x14ac:dyDescent="0.3">
      <c r="A893" s="1" t="s">
        <v>739</v>
      </c>
      <c r="B893" s="1" t="s">
        <v>110</v>
      </c>
      <c r="C893" s="1" t="s">
        <v>660</v>
      </c>
      <c r="D893" s="1" t="s">
        <v>661</v>
      </c>
      <c r="E893" s="1" t="s">
        <v>660</v>
      </c>
      <c r="F893" s="1" t="s">
        <v>661</v>
      </c>
      <c r="G893" s="1" t="s">
        <v>1927</v>
      </c>
      <c r="H893" s="1" t="s">
        <v>1928</v>
      </c>
      <c r="I893" s="1" t="s">
        <v>110</v>
      </c>
      <c r="J893" s="1" t="s">
        <v>229</v>
      </c>
      <c r="K893" s="1" t="s">
        <v>118</v>
      </c>
      <c r="L893" s="1" t="s">
        <v>103</v>
      </c>
      <c r="M893" s="20">
        <v>996492</v>
      </c>
      <c r="P893" s="20">
        <v>439248</v>
      </c>
      <c r="Q893" s="20">
        <v>3134520</v>
      </c>
      <c r="R893" s="20">
        <v>4172400</v>
      </c>
      <c r="AB893" s="20">
        <v>8742660</v>
      </c>
      <c r="AC893" s="20">
        <v>237984</v>
      </c>
      <c r="AF893" s="20">
        <v>384304</v>
      </c>
      <c r="AG893" s="20">
        <v>3655680</v>
      </c>
      <c r="AH893" s="20">
        <v>5511024</v>
      </c>
      <c r="AR893" s="20">
        <v>9788992</v>
      </c>
      <c r="AS893" s="20">
        <v>1278096</v>
      </c>
      <c r="AV893" s="20">
        <v>512720</v>
      </c>
      <c r="AW893" s="20">
        <v>2532000</v>
      </c>
      <c r="AX893" s="20">
        <v>6135840</v>
      </c>
      <c r="BH893" s="28">
        <v>10458656</v>
      </c>
      <c r="BI893" s="28">
        <v>28990308</v>
      </c>
    </row>
    <row r="894" spans="1:61" hidden="1" x14ac:dyDescent="0.3">
      <c r="A894" s="1" t="s">
        <v>739</v>
      </c>
      <c r="B894" s="1" t="s">
        <v>110</v>
      </c>
      <c r="C894" s="1" t="s">
        <v>660</v>
      </c>
      <c r="D894" s="1" t="s">
        <v>661</v>
      </c>
      <c r="E894" s="1" t="s">
        <v>660</v>
      </c>
      <c r="F894" s="1" t="s">
        <v>661</v>
      </c>
      <c r="G894" s="1" t="s">
        <v>1929</v>
      </c>
      <c r="H894" s="1" t="s">
        <v>1930</v>
      </c>
      <c r="I894" s="1" t="s">
        <v>110</v>
      </c>
      <c r="J894" s="1" t="s">
        <v>229</v>
      </c>
      <c r="K894" s="1" t="s">
        <v>118</v>
      </c>
      <c r="L894" s="1" t="s">
        <v>103</v>
      </c>
      <c r="M894" s="20">
        <v>430770</v>
      </c>
      <c r="P894" s="20">
        <v>104520</v>
      </c>
      <c r="Q894" s="20">
        <v>2939160</v>
      </c>
      <c r="R894" s="20">
        <v>1995600</v>
      </c>
      <c r="AB894" s="20">
        <v>5470050</v>
      </c>
      <c r="AC894" s="20">
        <v>498608</v>
      </c>
      <c r="AF894" s="20">
        <v>104520</v>
      </c>
      <c r="AG894" s="20">
        <v>3688440</v>
      </c>
      <c r="AH894" s="20">
        <v>1818000</v>
      </c>
      <c r="AR894" s="20">
        <v>6109568</v>
      </c>
      <c r="AS894" s="20">
        <v>544508</v>
      </c>
      <c r="AV894" s="20">
        <v>156000</v>
      </c>
      <c r="AW894" s="20">
        <v>2997360</v>
      </c>
      <c r="AX894" s="20">
        <v>2541840</v>
      </c>
      <c r="BH894" s="28">
        <v>6239708</v>
      </c>
      <c r="BI894" s="28">
        <v>17819326</v>
      </c>
    </row>
    <row r="895" spans="1:61" hidden="1" x14ac:dyDescent="0.3">
      <c r="A895" s="1" t="s">
        <v>739</v>
      </c>
      <c r="B895" s="1" t="s">
        <v>110</v>
      </c>
      <c r="C895" s="1" t="s">
        <v>660</v>
      </c>
      <c r="D895" s="1" t="s">
        <v>661</v>
      </c>
      <c r="E895" s="1" t="s">
        <v>660</v>
      </c>
      <c r="F895" s="1" t="s">
        <v>661</v>
      </c>
      <c r="G895" s="1" t="s">
        <v>1931</v>
      </c>
      <c r="H895" s="1" t="s">
        <v>1932</v>
      </c>
      <c r="I895" s="1" t="s">
        <v>110</v>
      </c>
      <c r="J895" s="1" t="s">
        <v>229</v>
      </c>
      <c r="K895" s="1" t="s">
        <v>118</v>
      </c>
      <c r="L895" s="1" t="s">
        <v>103</v>
      </c>
      <c r="M895" s="20">
        <v>1714692</v>
      </c>
      <c r="P895" s="20">
        <v>500848</v>
      </c>
      <c r="Q895" s="20">
        <v>838320</v>
      </c>
      <c r="R895" s="20">
        <v>1837200</v>
      </c>
      <c r="AB895" s="20">
        <v>4891060</v>
      </c>
      <c r="AC895" s="20">
        <v>797288</v>
      </c>
      <c r="AF895" s="20">
        <v>87632</v>
      </c>
      <c r="AG895" s="20">
        <v>1428480</v>
      </c>
      <c r="AH895" s="20">
        <v>1004352</v>
      </c>
      <c r="AR895" s="20">
        <v>3317752</v>
      </c>
      <c r="AV895" s="20">
        <v>373192</v>
      </c>
      <c r="AW895" s="20">
        <v>871920</v>
      </c>
      <c r="AX895" s="20">
        <v>1057200</v>
      </c>
      <c r="BH895" s="28">
        <v>2302312</v>
      </c>
      <c r="BI895" s="28">
        <v>10511124</v>
      </c>
    </row>
    <row r="896" spans="1:61" hidden="1" x14ac:dyDescent="0.3">
      <c r="A896" s="1" t="s">
        <v>739</v>
      </c>
      <c r="B896" s="1" t="s">
        <v>110</v>
      </c>
      <c r="C896" s="1" t="s">
        <v>660</v>
      </c>
      <c r="D896" s="1" t="s">
        <v>661</v>
      </c>
      <c r="E896" s="1" t="s">
        <v>660</v>
      </c>
      <c r="F896" s="1" t="s">
        <v>661</v>
      </c>
      <c r="G896" s="1" t="s">
        <v>1933</v>
      </c>
      <c r="H896" s="1" t="s">
        <v>1934</v>
      </c>
      <c r="I896" s="1" t="s">
        <v>110</v>
      </c>
      <c r="J896" s="1" t="s">
        <v>229</v>
      </c>
      <c r="K896" s="1" t="s">
        <v>118</v>
      </c>
      <c r="L896" s="1" t="s">
        <v>103</v>
      </c>
      <c r="M896" s="20">
        <v>1704092</v>
      </c>
      <c r="P896" s="20">
        <v>558328</v>
      </c>
      <c r="Q896" s="20">
        <v>3228240</v>
      </c>
      <c r="R896" s="20">
        <v>3861600</v>
      </c>
      <c r="AB896" s="20">
        <v>9352260</v>
      </c>
      <c r="AC896" s="20">
        <v>1599112</v>
      </c>
      <c r="AF896" s="20">
        <v>1110296</v>
      </c>
      <c r="AG896" s="20">
        <v>4602120</v>
      </c>
      <c r="AH896" s="20">
        <v>4757784</v>
      </c>
      <c r="AR896" s="20">
        <v>12069312</v>
      </c>
      <c r="AS896" s="20">
        <v>1611188</v>
      </c>
      <c r="AV896" s="20">
        <v>669288</v>
      </c>
      <c r="AW896" s="20">
        <v>2985000</v>
      </c>
      <c r="AX896" s="20">
        <v>4321896</v>
      </c>
      <c r="BH896" s="28">
        <v>9587372</v>
      </c>
      <c r="BI896" s="28">
        <v>31008944</v>
      </c>
    </row>
    <row r="897" spans="1:61" hidden="1" x14ac:dyDescent="0.3">
      <c r="A897" s="1" t="s">
        <v>739</v>
      </c>
      <c r="B897" s="1" t="s">
        <v>110</v>
      </c>
      <c r="C897" s="1" t="s">
        <v>660</v>
      </c>
      <c r="D897" s="1" t="s">
        <v>661</v>
      </c>
      <c r="E897" s="1" t="s">
        <v>660</v>
      </c>
      <c r="F897" s="1" t="s">
        <v>661</v>
      </c>
      <c r="G897" s="1" t="s">
        <v>1935</v>
      </c>
      <c r="H897" s="1" t="s">
        <v>1936</v>
      </c>
      <c r="I897" s="1" t="s">
        <v>110</v>
      </c>
      <c r="J897" s="1" t="s">
        <v>229</v>
      </c>
      <c r="K897" s="1" t="s">
        <v>118</v>
      </c>
      <c r="L897" s="1" t="s">
        <v>103</v>
      </c>
      <c r="M897" s="20">
        <v>592962</v>
      </c>
      <c r="P897" s="20">
        <v>296920</v>
      </c>
      <c r="Q897" s="20">
        <v>3393840</v>
      </c>
      <c r="R897" s="20">
        <v>1086000</v>
      </c>
      <c r="AB897" s="20">
        <v>5369722</v>
      </c>
      <c r="AC897" s="20">
        <v>198320</v>
      </c>
      <c r="AF897" s="20">
        <v>353776</v>
      </c>
      <c r="AG897" s="20">
        <v>3822600</v>
      </c>
      <c r="AH897" s="20">
        <v>1643136</v>
      </c>
      <c r="AR897" s="20">
        <v>6017832</v>
      </c>
      <c r="AV897" s="20">
        <v>398392</v>
      </c>
      <c r="AW897" s="20">
        <v>2610720</v>
      </c>
      <c r="AX897" s="20">
        <v>1486176</v>
      </c>
      <c r="BH897" s="28">
        <v>4495288</v>
      </c>
      <c r="BI897" s="28">
        <v>15882842</v>
      </c>
    </row>
    <row r="898" spans="1:61" hidden="1" x14ac:dyDescent="0.3">
      <c r="A898" s="1" t="s">
        <v>739</v>
      </c>
      <c r="B898" s="1" t="s">
        <v>110</v>
      </c>
      <c r="C898" s="1" t="s">
        <v>660</v>
      </c>
      <c r="D898" s="1" t="s">
        <v>661</v>
      </c>
      <c r="E898" s="1" t="s">
        <v>660</v>
      </c>
      <c r="F898" s="1" t="s">
        <v>661</v>
      </c>
      <c r="G898" s="1" t="s">
        <v>1937</v>
      </c>
      <c r="H898" s="1" t="s">
        <v>1938</v>
      </c>
      <c r="I898" s="1" t="s">
        <v>110</v>
      </c>
      <c r="J898" s="1" t="s">
        <v>229</v>
      </c>
      <c r="K898" s="1" t="s">
        <v>118</v>
      </c>
      <c r="L898" s="1" t="s">
        <v>103</v>
      </c>
      <c r="Q898" s="20">
        <v>539280</v>
      </c>
      <c r="R898" s="20">
        <v>486000</v>
      </c>
      <c r="AB898" s="20">
        <v>1025280</v>
      </c>
      <c r="AC898" s="20">
        <v>198320</v>
      </c>
      <c r="AG898" s="20">
        <v>1886040</v>
      </c>
      <c r="AH898" s="20">
        <v>816168</v>
      </c>
      <c r="AR898" s="20">
        <v>2900528</v>
      </c>
      <c r="AW898" s="20">
        <v>1038600</v>
      </c>
      <c r="AX898" s="20">
        <v>571776</v>
      </c>
      <c r="BH898" s="28">
        <v>1610376</v>
      </c>
      <c r="BI898" s="28">
        <v>5536184</v>
      </c>
    </row>
    <row r="899" spans="1:61" hidden="1" x14ac:dyDescent="0.3">
      <c r="A899" s="1" t="s">
        <v>739</v>
      </c>
      <c r="B899" s="1" t="s">
        <v>110</v>
      </c>
      <c r="C899" s="1" t="s">
        <v>660</v>
      </c>
      <c r="D899" s="1" t="s">
        <v>661</v>
      </c>
      <c r="E899" s="1" t="s">
        <v>660</v>
      </c>
      <c r="F899" s="1" t="s">
        <v>661</v>
      </c>
      <c r="G899" s="1" t="s">
        <v>1939</v>
      </c>
      <c r="H899" s="1" t="s">
        <v>1940</v>
      </c>
      <c r="I899" s="1" t="s">
        <v>110</v>
      </c>
      <c r="J899" s="1" t="s">
        <v>229</v>
      </c>
      <c r="K899" s="1" t="s">
        <v>118</v>
      </c>
      <c r="L899" s="1" t="s">
        <v>103</v>
      </c>
      <c r="M899" s="20">
        <v>573912</v>
      </c>
      <c r="Q899" s="20">
        <v>2393640</v>
      </c>
      <c r="R899" s="20">
        <v>1257600</v>
      </c>
      <c r="AB899" s="20">
        <v>4225152</v>
      </c>
      <c r="AC899" s="20">
        <v>600576</v>
      </c>
      <c r="AG899" s="20">
        <v>1408080</v>
      </c>
      <c r="AH899" s="20">
        <v>1114800</v>
      </c>
      <c r="AR899" s="20">
        <v>3123456</v>
      </c>
      <c r="AS899" s="20">
        <v>2233200</v>
      </c>
      <c r="AW899" s="20">
        <v>1405800</v>
      </c>
      <c r="AX899" s="20">
        <v>1615944</v>
      </c>
      <c r="BH899" s="28">
        <v>5254944</v>
      </c>
      <c r="BI899" s="28">
        <v>12603552</v>
      </c>
    </row>
    <row r="900" spans="1:61" hidden="1" x14ac:dyDescent="0.3">
      <c r="A900" s="1" t="s">
        <v>739</v>
      </c>
      <c r="B900" s="1" t="s">
        <v>110</v>
      </c>
      <c r="C900" s="1" t="s">
        <v>660</v>
      </c>
      <c r="D900" s="1" t="s">
        <v>661</v>
      </c>
      <c r="E900" s="1" t="s">
        <v>660</v>
      </c>
      <c r="F900" s="1" t="s">
        <v>661</v>
      </c>
      <c r="G900" s="1" t="s">
        <v>1941</v>
      </c>
      <c r="H900" s="1" t="s">
        <v>1942</v>
      </c>
      <c r="I900" s="1" t="s">
        <v>110</v>
      </c>
      <c r="J900" s="1" t="s">
        <v>229</v>
      </c>
      <c r="K900" s="1" t="s">
        <v>118</v>
      </c>
      <c r="L900" s="1" t="s">
        <v>103</v>
      </c>
      <c r="M900" s="20">
        <v>1156032</v>
      </c>
      <c r="P900" s="20">
        <v>99408</v>
      </c>
      <c r="Q900" s="20">
        <v>1132800</v>
      </c>
      <c r="R900" s="20">
        <v>1294800</v>
      </c>
      <c r="AB900" s="20">
        <v>3683040</v>
      </c>
      <c r="AC900" s="20">
        <v>1375100</v>
      </c>
      <c r="AG900" s="20">
        <v>1469280</v>
      </c>
      <c r="AH900" s="20">
        <v>2404752</v>
      </c>
      <c r="AR900" s="20">
        <v>5249132</v>
      </c>
      <c r="AW900" s="20">
        <v>900960</v>
      </c>
      <c r="AX900" s="20">
        <v>1171776</v>
      </c>
      <c r="BH900" s="28">
        <v>2072736</v>
      </c>
      <c r="BI900" s="28">
        <v>11004908</v>
      </c>
    </row>
    <row r="901" spans="1:61" hidden="1" x14ac:dyDescent="0.3">
      <c r="A901" s="1" t="s">
        <v>739</v>
      </c>
      <c r="B901" s="1" t="s">
        <v>110</v>
      </c>
      <c r="C901" s="1" t="s">
        <v>660</v>
      </c>
      <c r="D901" s="1" t="s">
        <v>661</v>
      </c>
      <c r="E901" s="1" t="s">
        <v>660</v>
      </c>
      <c r="F901" s="1" t="s">
        <v>661</v>
      </c>
      <c r="G901" s="1" t="s">
        <v>1943</v>
      </c>
      <c r="H901" s="1" t="s">
        <v>1944</v>
      </c>
      <c r="I901" s="1" t="s">
        <v>110</v>
      </c>
      <c r="J901" s="1" t="s">
        <v>229</v>
      </c>
      <c r="K901" s="1" t="s">
        <v>118</v>
      </c>
      <c r="L901" s="1" t="s">
        <v>103</v>
      </c>
      <c r="M901" s="20">
        <v>691392</v>
      </c>
      <c r="P901" s="20">
        <v>368816</v>
      </c>
      <c r="Q901" s="20">
        <v>1501560</v>
      </c>
      <c r="R901" s="20">
        <v>1408800</v>
      </c>
      <c r="AB901" s="20">
        <v>3970568</v>
      </c>
      <c r="AC901" s="20">
        <v>1284360</v>
      </c>
      <c r="AF901" s="20">
        <v>192152</v>
      </c>
      <c r="AG901" s="20">
        <v>1966920</v>
      </c>
      <c r="AH901" s="20">
        <v>2245368</v>
      </c>
      <c r="AR901" s="20">
        <v>5688800</v>
      </c>
      <c r="AV901" s="20">
        <v>472872</v>
      </c>
      <c r="AW901" s="20">
        <v>1960680</v>
      </c>
      <c r="AX901" s="20">
        <v>1637280</v>
      </c>
      <c r="BH901" s="28">
        <v>4070832</v>
      </c>
      <c r="BI901" s="28">
        <v>13730200</v>
      </c>
    </row>
    <row r="902" spans="1:61" hidden="1" x14ac:dyDescent="0.3">
      <c r="A902" s="1" t="s">
        <v>739</v>
      </c>
      <c r="B902" s="1" t="s">
        <v>110</v>
      </c>
      <c r="C902" s="1" t="s">
        <v>660</v>
      </c>
      <c r="D902" s="1" t="s">
        <v>661</v>
      </c>
      <c r="E902" s="1" t="s">
        <v>660</v>
      </c>
      <c r="F902" s="1" t="s">
        <v>661</v>
      </c>
      <c r="G902" s="1" t="s">
        <v>1945</v>
      </c>
      <c r="H902" s="1" t="s">
        <v>1946</v>
      </c>
      <c r="I902" s="1" t="s">
        <v>110</v>
      </c>
      <c r="J902" s="1" t="s">
        <v>229</v>
      </c>
      <c r="K902" s="1" t="s">
        <v>118</v>
      </c>
      <c r="L902" s="1" t="s">
        <v>103</v>
      </c>
      <c r="M902" s="20">
        <v>264600</v>
      </c>
      <c r="P902" s="20">
        <v>104520</v>
      </c>
      <c r="Q902" s="20">
        <v>1061400</v>
      </c>
      <c r="R902" s="20">
        <v>642000</v>
      </c>
      <c r="AB902" s="20">
        <v>2072520</v>
      </c>
      <c r="AF902" s="20">
        <v>430544</v>
      </c>
      <c r="AG902" s="20">
        <v>2153640</v>
      </c>
      <c r="AH902" s="20">
        <v>758568</v>
      </c>
      <c r="AR902" s="20">
        <v>3342752</v>
      </c>
      <c r="AS902" s="20">
        <v>964736</v>
      </c>
      <c r="AV902" s="20">
        <v>164400</v>
      </c>
      <c r="AW902" s="20">
        <v>836520</v>
      </c>
      <c r="AX902" s="20">
        <v>871488</v>
      </c>
      <c r="BH902" s="28">
        <v>2837144</v>
      </c>
      <c r="BI902" s="28">
        <v>8252416</v>
      </c>
    </row>
    <row r="903" spans="1:61" hidden="1" x14ac:dyDescent="0.3">
      <c r="A903" s="1" t="s">
        <v>739</v>
      </c>
      <c r="B903" s="1" t="s">
        <v>110</v>
      </c>
      <c r="C903" s="1" t="s">
        <v>660</v>
      </c>
      <c r="D903" s="1" t="s">
        <v>661</v>
      </c>
      <c r="E903" s="1" t="s">
        <v>660</v>
      </c>
      <c r="F903" s="1" t="s">
        <v>661</v>
      </c>
      <c r="G903" s="1" t="s">
        <v>1947</v>
      </c>
      <c r="H903" s="1" t="s">
        <v>1948</v>
      </c>
      <c r="I903" s="1" t="s">
        <v>110</v>
      </c>
      <c r="J903" s="1" t="s">
        <v>229</v>
      </c>
      <c r="K903" s="1" t="s">
        <v>118</v>
      </c>
      <c r="L903" s="1" t="s">
        <v>103</v>
      </c>
      <c r="P903" s="20">
        <v>292800</v>
      </c>
      <c r="Q903" s="20">
        <v>1484640</v>
      </c>
      <c r="R903" s="20">
        <v>285600</v>
      </c>
      <c r="AB903" s="20">
        <v>2063040</v>
      </c>
      <c r="AC903" s="20">
        <v>118992</v>
      </c>
      <c r="AG903" s="20">
        <v>1054440</v>
      </c>
      <c r="AH903" s="20">
        <v>142800</v>
      </c>
      <c r="AR903" s="20">
        <v>1316232</v>
      </c>
      <c r="AV903" s="20">
        <v>218432</v>
      </c>
      <c r="AW903" s="20">
        <v>1668240</v>
      </c>
      <c r="AX903" s="20">
        <v>457200</v>
      </c>
      <c r="BH903" s="28">
        <v>2343872</v>
      </c>
      <c r="BI903" s="28">
        <v>5723144</v>
      </c>
    </row>
    <row r="904" spans="1:61" hidden="1" x14ac:dyDescent="0.3">
      <c r="A904" s="1" t="s">
        <v>739</v>
      </c>
      <c r="B904" s="1" t="s">
        <v>110</v>
      </c>
      <c r="C904" s="1" t="s">
        <v>660</v>
      </c>
      <c r="D904" s="1" t="s">
        <v>661</v>
      </c>
      <c r="E904" s="1" t="s">
        <v>660</v>
      </c>
      <c r="F904" s="1" t="s">
        <v>661</v>
      </c>
      <c r="G904" s="1" t="s">
        <v>1949</v>
      </c>
      <c r="H904" s="1" t="s">
        <v>1950</v>
      </c>
      <c r="I904" s="1" t="s">
        <v>110</v>
      </c>
      <c r="J904" s="1" t="s">
        <v>229</v>
      </c>
      <c r="K904" s="1" t="s">
        <v>118</v>
      </c>
      <c r="L904" s="1" t="s">
        <v>103</v>
      </c>
      <c r="Q904" s="20">
        <v>1159920</v>
      </c>
      <c r="R904" s="20">
        <v>780000</v>
      </c>
      <c r="AB904" s="20">
        <v>1939920</v>
      </c>
      <c r="AG904" s="20">
        <v>1650960</v>
      </c>
      <c r="AH904" s="20">
        <v>951600</v>
      </c>
      <c r="AR904" s="20">
        <v>2602560</v>
      </c>
      <c r="AS904" s="20">
        <v>339952</v>
      </c>
      <c r="AW904" s="20">
        <v>832320</v>
      </c>
      <c r="AX904" s="20">
        <v>1041552</v>
      </c>
      <c r="BH904" s="28">
        <v>2213824</v>
      </c>
      <c r="BI904" s="28">
        <v>6756304</v>
      </c>
    </row>
    <row r="905" spans="1:61" hidden="1" x14ac:dyDescent="0.3">
      <c r="A905" s="1" t="s">
        <v>739</v>
      </c>
      <c r="B905" s="1" t="s">
        <v>110</v>
      </c>
      <c r="C905" s="1" t="s">
        <v>660</v>
      </c>
      <c r="D905" s="1" t="s">
        <v>661</v>
      </c>
      <c r="E905" s="1" t="s">
        <v>660</v>
      </c>
      <c r="F905" s="1" t="s">
        <v>661</v>
      </c>
      <c r="G905" s="1" t="s">
        <v>1951</v>
      </c>
      <c r="H905" s="1" t="s">
        <v>1952</v>
      </c>
      <c r="I905" s="1" t="s">
        <v>110</v>
      </c>
      <c r="J905" s="1" t="s">
        <v>229</v>
      </c>
      <c r="K905" s="1" t="s">
        <v>118</v>
      </c>
      <c r="L905" s="1" t="s">
        <v>103</v>
      </c>
      <c r="M905" s="20">
        <v>860562</v>
      </c>
      <c r="P905" s="20">
        <v>504240</v>
      </c>
      <c r="Q905" s="20">
        <v>3205560</v>
      </c>
      <c r="R905" s="20">
        <v>1358400</v>
      </c>
      <c r="AB905" s="20">
        <v>5928762</v>
      </c>
      <c r="AC905" s="20">
        <v>951936</v>
      </c>
      <c r="AF905" s="20">
        <v>608104</v>
      </c>
      <c r="AG905" s="20">
        <v>3746640</v>
      </c>
      <c r="AH905" s="20">
        <v>2883504</v>
      </c>
      <c r="AR905" s="20">
        <v>8190184</v>
      </c>
      <c r="AS905" s="20">
        <v>2602912</v>
      </c>
      <c r="AV905" s="20">
        <v>605120</v>
      </c>
      <c r="AW905" s="20">
        <v>3464280</v>
      </c>
      <c r="AX905" s="20">
        <v>2263560</v>
      </c>
      <c r="BH905" s="28">
        <v>8935872</v>
      </c>
      <c r="BI905" s="28">
        <v>23054818</v>
      </c>
    </row>
    <row r="906" spans="1:61" hidden="1" x14ac:dyDescent="0.3">
      <c r="A906" s="1" t="s">
        <v>739</v>
      </c>
      <c r="B906" s="1" t="s">
        <v>110</v>
      </c>
      <c r="C906" s="1" t="s">
        <v>660</v>
      </c>
      <c r="D906" s="1" t="s">
        <v>661</v>
      </c>
      <c r="E906" s="1" t="s">
        <v>660</v>
      </c>
      <c r="F906" s="1" t="s">
        <v>661</v>
      </c>
      <c r="G906" s="1" t="s">
        <v>1953</v>
      </c>
      <c r="H906" s="1" t="s">
        <v>1954</v>
      </c>
      <c r="I906" s="1" t="s">
        <v>110</v>
      </c>
      <c r="J906" s="1" t="s">
        <v>229</v>
      </c>
      <c r="K906" s="1" t="s">
        <v>118</v>
      </c>
      <c r="L906" s="1" t="s">
        <v>103</v>
      </c>
      <c r="M906" s="20">
        <v>706212</v>
      </c>
      <c r="P906" s="20">
        <v>104520</v>
      </c>
      <c r="Q906" s="20">
        <v>1254360</v>
      </c>
      <c r="R906" s="20">
        <v>1752000</v>
      </c>
      <c r="AB906" s="20">
        <v>3817092</v>
      </c>
      <c r="AC906" s="20">
        <v>760412</v>
      </c>
      <c r="AF906" s="20">
        <v>130800</v>
      </c>
      <c r="AG906" s="20">
        <v>1113240</v>
      </c>
      <c r="AH906" s="20">
        <v>1744752</v>
      </c>
      <c r="AR906" s="20">
        <v>3749204</v>
      </c>
      <c r="AS906" s="20">
        <v>569280</v>
      </c>
      <c r="AV906" s="20">
        <v>262496</v>
      </c>
      <c r="AW906" s="20">
        <v>1481640</v>
      </c>
      <c r="AX906" s="20">
        <v>1373256</v>
      </c>
      <c r="BH906" s="28">
        <v>3686672</v>
      </c>
      <c r="BI906" s="28">
        <v>11252968</v>
      </c>
    </row>
    <row r="907" spans="1:61" hidden="1" x14ac:dyDescent="0.3">
      <c r="A907" s="1" t="s">
        <v>739</v>
      </c>
      <c r="B907" s="1" t="s">
        <v>110</v>
      </c>
      <c r="C907" s="1" t="s">
        <v>660</v>
      </c>
      <c r="D907" s="1" t="s">
        <v>661</v>
      </c>
      <c r="E907" s="1" t="s">
        <v>660</v>
      </c>
      <c r="F907" s="1" t="s">
        <v>661</v>
      </c>
      <c r="G907" s="1" t="s">
        <v>1955</v>
      </c>
      <c r="H907" s="1" t="s">
        <v>1956</v>
      </c>
      <c r="I907" s="1" t="s">
        <v>110</v>
      </c>
      <c r="J907" s="1" t="s">
        <v>229</v>
      </c>
      <c r="K907" s="1" t="s">
        <v>118</v>
      </c>
      <c r="L907" s="1" t="s">
        <v>103</v>
      </c>
      <c r="P907" s="20">
        <v>104520</v>
      </c>
      <c r="Q907" s="20">
        <v>599280</v>
      </c>
      <c r="R907" s="20">
        <v>142800</v>
      </c>
      <c r="AB907" s="20">
        <v>846600</v>
      </c>
      <c r="AC907" s="20">
        <v>198320</v>
      </c>
      <c r="AG907" s="20">
        <v>612000</v>
      </c>
      <c r="AR907" s="20">
        <v>810320</v>
      </c>
      <c r="BI907" s="28">
        <v>1656920</v>
      </c>
    </row>
    <row r="908" spans="1:61" hidden="1" x14ac:dyDescent="0.3">
      <c r="A908" s="1" t="s">
        <v>739</v>
      </c>
      <c r="B908" s="1" t="s">
        <v>110</v>
      </c>
      <c r="C908" s="1" t="s">
        <v>660</v>
      </c>
      <c r="D908" s="1" t="s">
        <v>661</v>
      </c>
      <c r="E908" s="1" t="s">
        <v>660</v>
      </c>
      <c r="F908" s="1" t="s">
        <v>661</v>
      </c>
      <c r="G908" s="1" t="s">
        <v>1957</v>
      </c>
      <c r="H908" s="1" t="s">
        <v>1958</v>
      </c>
      <c r="I908" s="1" t="s">
        <v>110</v>
      </c>
      <c r="J908" s="1" t="s">
        <v>229</v>
      </c>
      <c r="K908" s="1" t="s">
        <v>118</v>
      </c>
      <c r="L908" s="1" t="s">
        <v>103</v>
      </c>
      <c r="M908" s="20">
        <v>294492</v>
      </c>
      <c r="P908" s="20">
        <v>133496</v>
      </c>
      <c r="Q908" s="20">
        <v>1270560</v>
      </c>
      <c r="R908" s="20">
        <v>486000</v>
      </c>
      <c r="AB908" s="20">
        <v>2184548</v>
      </c>
      <c r="AC908" s="20">
        <v>475968</v>
      </c>
      <c r="AG908" s="20">
        <v>1200840</v>
      </c>
      <c r="AH908" s="20">
        <v>1257600</v>
      </c>
      <c r="AR908" s="20">
        <v>2934408</v>
      </c>
      <c r="AS908" s="20">
        <v>298470</v>
      </c>
      <c r="AW908" s="20">
        <v>1604880</v>
      </c>
      <c r="AX908" s="20">
        <v>1207944</v>
      </c>
      <c r="BH908" s="28">
        <v>3111294</v>
      </c>
      <c r="BI908" s="28">
        <v>8230250</v>
      </c>
    </row>
    <row r="909" spans="1:61" hidden="1" x14ac:dyDescent="0.3">
      <c r="A909" s="1" t="s">
        <v>739</v>
      </c>
      <c r="B909" s="1" t="s">
        <v>110</v>
      </c>
      <c r="C909" s="1" t="s">
        <v>660</v>
      </c>
      <c r="D909" s="1" t="s">
        <v>661</v>
      </c>
      <c r="E909" s="1" t="s">
        <v>660</v>
      </c>
      <c r="F909" s="1" t="s">
        <v>661</v>
      </c>
      <c r="G909" s="1" t="s">
        <v>1959</v>
      </c>
      <c r="H909" s="1" t="s">
        <v>1960</v>
      </c>
      <c r="I909" s="1" t="s">
        <v>110</v>
      </c>
      <c r="J909" s="1" t="s">
        <v>229</v>
      </c>
      <c r="K909" s="1" t="s">
        <v>118</v>
      </c>
      <c r="L909" s="1" t="s">
        <v>103</v>
      </c>
      <c r="M909" s="20">
        <v>2659512</v>
      </c>
      <c r="P909" s="20">
        <v>825024</v>
      </c>
      <c r="Q909" s="20">
        <v>2249040</v>
      </c>
      <c r="R909" s="20">
        <v>1144800</v>
      </c>
      <c r="AB909" s="20">
        <v>6878376</v>
      </c>
      <c r="AC909" s="20">
        <v>536454</v>
      </c>
      <c r="AF909" s="20">
        <v>564688</v>
      </c>
      <c r="AG909" s="20">
        <v>1427520</v>
      </c>
      <c r="AH909" s="20">
        <v>1231368</v>
      </c>
      <c r="AR909" s="20">
        <v>3760030</v>
      </c>
      <c r="AS909" s="20">
        <v>365412</v>
      </c>
      <c r="AV909" s="20">
        <v>262496</v>
      </c>
      <c r="AW909" s="20">
        <v>1955040</v>
      </c>
      <c r="AX909" s="20">
        <v>1133040</v>
      </c>
      <c r="BH909" s="28">
        <v>3715988</v>
      </c>
      <c r="BI909" s="28">
        <v>14354394</v>
      </c>
    </row>
    <row r="910" spans="1:61" hidden="1" x14ac:dyDescent="0.3">
      <c r="A910" s="1" t="s">
        <v>739</v>
      </c>
      <c r="B910" s="1" t="s">
        <v>110</v>
      </c>
      <c r="C910" s="1" t="s">
        <v>660</v>
      </c>
      <c r="D910" s="1" t="s">
        <v>661</v>
      </c>
      <c r="E910" s="1" t="s">
        <v>660</v>
      </c>
      <c r="F910" s="1" t="s">
        <v>661</v>
      </c>
      <c r="G910" s="1" t="s">
        <v>1961</v>
      </c>
      <c r="H910" s="1" t="s">
        <v>1962</v>
      </c>
      <c r="I910" s="1" t="s">
        <v>110</v>
      </c>
      <c r="J910" s="1" t="s">
        <v>229</v>
      </c>
      <c r="K910" s="1" t="s">
        <v>118</v>
      </c>
      <c r="L910" s="1" t="s">
        <v>103</v>
      </c>
      <c r="M910" s="20">
        <v>829692</v>
      </c>
      <c r="P910" s="20">
        <v>371040</v>
      </c>
      <c r="Q910" s="20">
        <v>1533480</v>
      </c>
      <c r="R910" s="20">
        <v>1329600</v>
      </c>
      <c r="AB910" s="20">
        <v>4063812</v>
      </c>
      <c r="AC910" s="20">
        <v>1873254</v>
      </c>
      <c r="AF910" s="20">
        <v>284904</v>
      </c>
      <c r="AG910" s="20">
        <v>1629840</v>
      </c>
      <c r="AH910" s="20">
        <v>2127552</v>
      </c>
      <c r="AR910" s="20">
        <v>5915550</v>
      </c>
      <c r="AS910" s="20">
        <v>716400</v>
      </c>
      <c r="AV910" s="20">
        <v>130800</v>
      </c>
      <c r="AW910" s="20">
        <v>1298640</v>
      </c>
      <c r="AX910" s="20">
        <v>1637376</v>
      </c>
      <c r="BH910" s="28">
        <v>3783216</v>
      </c>
      <c r="BI910" s="28">
        <v>13762578</v>
      </c>
    </row>
    <row r="911" spans="1:61" hidden="1" x14ac:dyDescent="0.3">
      <c r="A911" s="1" t="s">
        <v>739</v>
      </c>
      <c r="B911" s="1" t="s">
        <v>110</v>
      </c>
      <c r="C911" s="1" t="s">
        <v>660</v>
      </c>
      <c r="D911" s="1" t="s">
        <v>661</v>
      </c>
      <c r="E911" s="1" t="s">
        <v>660</v>
      </c>
      <c r="F911" s="1" t="s">
        <v>661</v>
      </c>
      <c r="G911" s="1" t="s">
        <v>1963</v>
      </c>
      <c r="H911" s="1" t="s">
        <v>1964</v>
      </c>
      <c r="I911" s="1" t="s">
        <v>110</v>
      </c>
      <c r="J911" s="1" t="s">
        <v>229</v>
      </c>
      <c r="K911" s="1" t="s">
        <v>118</v>
      </c>
      <c r="L911" s="1" t="s">
        <v>103</v>
      </c>
      <c r="M911" s="20">
        <v>577800</v>
      </c>
      <c r="P911" s="20">
        <v>104520</v>
      </c>
      <c r="Q911" s="20">
        <v>1369800</v>
      </c>
      <c r="R911" s="20">
        <v>1575600</v>
      </c>
      <c r="AB911" s="20">
        <v>3627720</v>
      </c>
      <c r="AC911" s="20">
        <v>237984</v>
      </c>
      <c r="AF911" s="20">
        <v>322952</v>
      </c>
      <c r="AG911" s="20">
        <v>1016280</v>
      </c>
      <c r="AH911" s="20">
        <v>750168</v>
      </c>
      <c r="AR911" s="20">
        <v>2327384</v>
      </c>
      <c r="AS911" s="20">
        <v>298680</v>
      </c>
      <c r="AV911" s="20">
        <v>196192</v>
      </c>
      <c r="AW911" s="20">
        <v>1022760</v>
      </c>
      <c r="AX911" s="20">
        <v>1657152</v>
      </c>
      <c r="BH911" s="28">
        <v>3174784</v>
      </c>
      <c r="BI911" s="28">
        <v>9129888</v>
      </c>
    </row>
    <row r="912" spans="1:61" hidden="1" x14ac:dyDescent="0.3">
      <c r="A912" s="1" t="s">
        <v>739</v>
      </c>
      <c r="B912" s="1" t="s">
        <v>110</v>
      </c>
      <c r="C912" s="1" t="s">
        <v>660</v>
      </c>
      <c r="D912" s="1" t="s">
        <v>661</v>
      </c>
      <c r="E912" s="1" t="s">
        <v>660</v>
      </c>
      <c r="F912" s="1" t="s">
        <v>661</v>
      </c>
      <c r="G912" s="1" t="s">
        <v>1965</v>
      </c>
      <c r="H912" s="1" t="s">
        <v>1966</v>
      </c>
      <c r="I912" s="1" t="s">
        <v>110</v>
      </c>
      <c r="J912" s="1" t="s">
        <v>229</v>
      </c>
      <c r="K912" s="1" t="s">
        <v>118</v>
      </c>
      <c r="L912" s="1" t="s">
        <v>103</v>
      </c>
      <c r="M912" s="20">
        <v>1672092</v>
      </c>
      <c r="P912" s="20">
        <v>601720</v>
      </c>
      <c r="Q912" s="20">
        <v>4113600</v>
      </c>
      <c r="R912" s="20">
        <v>1866000</v>
      </c>
      <c r="AB912" s="20">
        <v>8253412</v>
      </c>
      <c r="AC912" s="20">
        <v>1387926</v>
      </c>
      <c r="AF912" s="20">
        <v>260520</v>
      </c>
      <c r="AG912" s="20">
        <v>3267240</v>
      </c>
      <c r="AH912" s="20">
        <v>2156352</v>
      </c>
      <c r="AR912" s="20">
        <v>7072038</v>
      </c>
      <c r="AS912" s="20">
        <v>1459328</v>
      </c>
      <c r="AV912" s="20">
        <v>460272</v>
      </c>
      <c r="AW912" s="20">
        <v>3966600</v>
      </c>
      <c r="AX912" s="20">
        <v>2392248</v>
      </c>
      <c r="BH912" s="28">
        <v>8278448</v>
      </c>
      <c r="BI912" s="28">
        <v>23603898</v>
      </c>
    </row>
    <row r="913" spans="1:61" hidden="1" x14ac:dyDescent="0.3">
      <c r="A913" s="1" t="s">
        <v>739</v>
      </c>
      <c r="B913" s="1" t="s">
        <v>110</v>
      </c>
      <c r="C913" s="1" t="s">
        <v>660</v>
      </c>
      <c r="D913" s="1" t="s">
        <v>661</v>
      </c>
      <c r="E913" s="1" t="s">
        <v>660</v>
      </c>
      <c r="F913" s="1" t="s">
        <v>661</v>
      </c>
      <c r="G913" s="1" t="s">
        <v>1967</v>
      </c>
      <c r="H913" s="1" t="s">
        <v>1968</v>
      </c>
      <c r="I913" s="1" t="s">
        <v>110</v>
      </c>
      <c r="J913" s="1" t="s">
        <v>229</v>
      </c>
      <c r="K913" s="1" t="s">
        <v>118</v>
      </c>
      <c r="L913" s="1" t="s">
        <v>103</v>
      </c>
      <c r="P913" s="20">
        <v>1193648</v>
      </c>
      <c r="Q913" s="20">
        <v>2765160</v>
      </c>
      <c r="R913" s="20">
        <v>3420000</v>
      </c>
      <c r="AB913" s="20">
        <v>7378808</v>
      </c>
      <c r="AF913" s="20">
        <v>718000</v>
      </c>
      <c r="AG913" s="20">
        <v>2997960</v>
      </c>
      <c r="AH913" s="20">
        <v>3657720</v>
      </c>
      <c r="AR913" s="20">
        <v>7373680</v>
      </c>
      <c r="AV913" s="20">
        <v>1011928</v>
      </c>
      <c r="AW913" s="20">
        <v>2218080</v>
      </c>
      <c r="AX913" s="20">
        <v>4808616</v>
      </c>
      <c r="BH913" s="28">
        <v>8038624</v>
      </c>
      <c r="BI913" s="28">
        <v>22791112</v>
      </c>
    </row>
    <row r="914" spans="1:61" hidden="1" x14ac:dyDescent="0.3">
      <c r="A914" s="1" t="s">
        <v>739</v>
      </c>
      <c r="B914" s="1" t="s">
        <v>110</v>
      </c>
      <c r="C914" s="1" t="s">
        <v>660</v>
      </c>
      <c r="D914" s="1" t="s">
        <v>661</v>
      </c>
      <c r="E914" s="1" t="s">
        <v>660</v>
      </c>
      <c r="F914" s="1" t="s">
        <v>661</v>
      </c>
      <c r="G914" s="1" t="s">
        <v>1969</v>
      </c>
      <c r="H914" s="1" t="s">
        <v>1970</v>
      </c>
      <c r="I914" s="1" t="s">
        <v>110</v>
      </c>
      <c r="J914" s="1" t="s">
        <v>229</v>
      </c>
      <c r="K914" s="1" t="s">
        <v>118</v>
      </c>
      <c r="L914" s="1" t="s">
        <v>103</v>
      </c>
      <c r="M914" s="20">
        <v>264600</v>
      </c>
      <c r="P914" s="20">
        <v>104520</v>
      </c>
      <c r="Q914" s="20">
        <v>1435680</v>
      </c>
      <c r="R914" s="20">
        <v>1257600</v>
      </c>
      <c r="AB914" s="20">
        <v>3062400</v>
      </c>
      <c r="AC914" s="20">
        <v>237984</v>
      </c>
      <c r="AF914" s="20">
        <v>104520</v>
      </c>
      <c r="AG914" s="20">
        <v>2263560</v>
      </c>
      <c r="AH914" s="20">
        <v>1538568</v>
      </c>
      <c r="AR914" s="20">
        <v>4144632</v>
      </c>
      <c r="AS914" s="20">
        <v>355200</v>
      </c>
      <c r="AV914" s="20">
        <v>87632</v>
      </c>
      <c r="AW914" s="20">
        <v>1711680</v>
      </c>
      <c r="AX914" s="20">
        <v>1493544</v>
      </c>
      <c r="BH914" s="28">
        <v>3648056</v>
      </c>
      <c r="BI914" s="28">
        <v>10855088</v>
      </c>
    </row>
    <row r="915" spans="1:61" hidden="1" x14ac:dyDescent="0.3">
      <c r="A915" s="1" t="s">
        <v>739</v>
      </c>
      <c r="B915" s="1" t="s">
        <v>110</v>
      </c>
      <c r="C915" s="1" t="s">
        <v>660</v>
      </c>
      <c r="D915" s="1" t="s">
        <v>661</v>
      </c>
      <c r="E915" s="1" t="s">
        <v>660</v>
      </c>
      <c r="F915" s="1" t="s">
        <v>661</v>
      </c>
      <c r="G915" s="1" t="s">
        <v>1971</v>
      </c>
      <c r="H915" s="1" t="s">
        <v>1972</v>
      </c>
      <c r="I915" s="1" t="s">
        <v>110</v>
      </c>
      <c r="J915" s="1" t="s">
        <v>229</v>
      </c>
      <c r="K915" s="1" t="s">
        <v>118</v>
      </c>
      <c r="L915" s="1" t="s">
        <v>103</v>
      </c>
      <c r="M915" s="20">
        <v>1484394</v>
      </c>
      <c r="P915" s="20">
        <v>465336</v>
      </c>
      <c r="Q915" s="20">
        <v>2749800</v>
      </c>
      <c r="R915" s="20">
        <v>1866000</v>
      </c>
      <c r="AB915" s="20">
        <v>6565530</v>
      </c>
      <c r="AF915" s="20">
        <v>970280</v>
      </c>
      <c r="AG915" s="20">
        <v>2546160</v>
      </c>
      <c r="AH915" s="20">
        <v>1147152</v>
      </c>
      <c r="AR915" s="20">
        <v>4663592</v>
      </c>
      <c r="AS915" s="20">
        <v>127428</v>
      </c>
      <c r="AV915" s="20">
        <v>1515904</v>
      </c>
      <c r="AW915" s="20">
        <v>2014080</v>
      </c>
      <c r="AX915" s="20">
        <v>1590240</v>
      </c>
      <c r="BH915" s="28">
        <v>5247652</v>
      </c>
      <c r="BI915" s="28">
        <v>16476774</v>
      </c>
    </row>
    <row r="916" spans="1:61" hidden="1" x14ac:dyDescent="0.3">
      <c r="A916" s="1" t="s">
        <v>739</v>
      </c>
      <c r="B916" s="1" t="s">
        <v>110</v>
      </c>
      <c r="C916" s="1" t="s">
        <v>660</v>
      </c>
      <c r="D916" s="1" t="s">
        <v>661</v>
      </c>
      <c r="E916" s="1" t="s">
        <v>660</v>
      </c>
      <c r="F916" s="1" t="s">
        <v>661</v>
      </c>
      <c r="G916" s="1" t="s">
        <v>1973</v>
      </c>
      <c r="H916" s="1" t="s">
        <v>1974</v>
      </c>
      <c r="I916" s="1" t="s">
        <v>110</v>
      </c>
      <c r="J916" s="1" t="s">
        <v>229</v>
      </c>
      <c r="K916" s="1" t="s">
        <v>118</v>
      </c>
      <c r="L916" s="1" t="s">
        <v>103</v>
      </c>
      <c r="M916" s="20">
        <v>1272282</v>
      </c>
      <c r="P916" s="20">
        <v>203928</v>
      </c>
      <c r="Q916" s="20">
        <v>1452000</v>
      </c>
      <c r="R916" s="20">
        <v>960000</v>
      </c>
      <c r="AB916" s="20">
        <v>3888210</v>
      </c>
      <c r="AC916" s="20">
        <v>838560</v>
      </c>
      <c r="AF916" s="20">
        <v>87632</v>
      </c>
      <c r="AG916" s="20">
        <v>1641120</v>
      </c>
      <c r="AH916" s="20">
        <v>1266000</v>
      </c>
      <c r="AR916" s="20">
        <v>3833312</v>
      </c>
      <c r="AS916" s="20">
        <v>1018428</v>
      </c>
      <c r="AW916" s="20">
        <v>1656600</v>
      </c>
      <c r="AX916" s="20">
        <v>1330344</v>
      </c>
      <c r="BH916" s="28">
        <v>4005372</v>
      </c>
      <c r="BI916" s="28">
        <v>11726894</v>
      </c>
    </row>
    <row r="917" spans="1:61" hidden="1" x14ac:dyDescent="0.3">
      <c r="A917" s="1" t="s">
        <v>739</v>
      </c>
      <c r="B917" s="1" t="s">
        <v>110</v>
      </c>
      <c r="C917" s="1" t="s">
        <v>660</v>
      </c>
      <c r="D917" s="1" t="s">
        <v>661</v>
      </c>
      <c r="E917" s="1" t="s">
        <v>660</v>
      </c>
      <c r="F917" s="1" t="s">
        <v>661</v>
      </c>
      <c r="G917" s="1" t="s">
        <v>1975</v>
      </c>
      <c r="H917" s="1" t="s">
        <v>1976</v>
      </c>
      <c r="I917" s="1" t="s">
        <v>110</v>
      </c>
      <c r="J917" s="1" t="s">
        <v>229</v>
      </c>
      <c r="K917" s="1" t="s">
        <v>118</v>
      </c>
      <c r="L917" s="1" t="s">
        <v>103</v>
      </c>
      <c r="M917" s="20">
        <v>2735000</v>
      </c>
      <c r="P917" s="20">
        <v>558328</v>
      </c>
      <c r="Q917" s="20">
        <v>1905960</v>
      </c>
      <c r="R917" s="20">
        <v>1286400</v>
      </c>
      <c r="AB917" s="20">
        <v>6485688</v>
      </c>
      <c r="AC917" s="20">
        <v>1559890</v>
      </c>
      <c r="AF917" s="20">
        <v>87632</v>
      </c>
      <c r="AG917" s="20">
        <v>1970880</v>
      </c>
      <c r="AH917" s="20">
        <v>2553240</v>
      </c>
      <c r="AR917" s="20">
        <v>6171642</v>
      </c>
      <c r="AS917" s="20">
        <v>1956798</v>
      </c>
      <c r="AV917" s="20">
        <v>385240</v>
      </c>
      <c r="AW917" s="20">
        <v>1862760</v>
      </c>
      <c r="AX917" s="20">
        <v>1514976</v>
      </c>
      <c r="BH917" s="28">
        <v>5719774</v>
      </c>
      <c r="BI917" s="28">
        <v>18377104</v>
      </c>
    </row>
    <row r="918" spans="1:61" hidden="1" x14ac:dyDescent="0.3">
      <c r="A918" s="1" t="s">
        <v>739</v>
      </c>
      <c r="B918" s="1" t="s">
        <v>110</v>
      </c>
      <c r="C918" s="1" t="s">
        <v>660</v>
      </c>
      <c r="D918" s="1" t="s">
        <v>661</v>
      </c>
      <c r="E918" s="1" t="s">
        <v>660</v>
      </c>
      <c r="F918" s="1" t="s">
        <v>661</v>
      </c>
      <c r="G918" s="1" t="s">
        <v>1977</v>
      </c>
      <c r="H918" s="1" t="s">
        <v>1978</v>
      </c>
      <c r="I918" s="1" t="s">
        <v>110</v>
      </c>
      <c r="J918" s="1" t="s">
        <v>229</v>
      </c>
      <c r="K918" s="1" t="s">
        <v>118</v>
      </c>
      <c r="L918" s="1" t="s">
        <v>103</v>
      </c>
      <c r="M918" s="20">
        <v>132300</v>
      </c>
      <c r="P918" s="20">
        <v>235320</v>
      </c>
      <c r="Q918" s="20">
        <v>1696560</v>
      </c>
      <c r="R918" s="20">
        <v>1429200</v>
      </c>
      <c r="AB918" s="20">
        <v>3493380</v>
      </c>
      <c r="AC918" s="20">
        <v>237984</v>
      </c>
      <c r="AF918" s="20">
        <v>192152</v>
      </c>
      <c r="AG918" s="20">
        <v>1818360</v>
      </c>
      <c r="AH918" s="20">
        <v>1844568</v>
      </c>
      <c r="AR918" s="20">
        <v>4093064</v>
      </c>
      <c r="AW918" s="20">
        <v>782880</v>
      </c>
      <c r="AX918" s="20">
        <v>1351776</v>
      </c>
      <c r="BH918" s="28">
        <v>2134656</v>
      </c>
      <c r="BI918" s="28">
        <v>9721100</v>
      </c>
    </row>
    <row r="919" spans="1:61" hidden="1" x14ac:dyDescent="0.3">
      <c r="A919" s="1" t="s">
        <v>739</v>
      </c>
      <c r="B919" s="1" t="s">
        <v>110</v>
      </c>
      <c r="C919" s="1" t="s">
        <v>660</v>
      </c>
      <c r="D919" s="1" t="s">
        <v>661</v>
      </c>
      <c r="E919" s="1" t="s">
        <v>660</v>
      </c>
      <c r="F919" s="1" t="s">
        <v>661</v>
      </c>
      <c r="G919" s="1" t="s">
        <v>1979</v>
      </c>
      <c r="H919" s="1" t="s">
        <v>1980</v>
      </c>
      <c r="I919" s="1" t="s">
        <v>110</v>
      </c>
      <c r="J919" s="1" t="s">
        <v>229</v>
      </c>
      <c r="K919" s="1" t="s">
        <v>118</v>
      </c>
      <c r="L919" s="1" t="s">
        <v>103</v>
      </c>
      <c r="M919" s="20">
        <v>264600</v>
      </c>
      <c r="P919" s="20">
        <v>634848</v>
      </c>
      <c r="Q919" s="20">
        <v>2694960</v>
      </c>
      <c r="R919" s="20">
        <v>1657200</v>
      </c>
      <c r="AB919" s="20">
        <v>5251608</v>
      </c>
      <c r="AC919" s="20">
        <v>198320</v>
      </c>
      <c r="AF919" s="20">
        <v>424920</v>
      </c>
      <c r="AG919" s="20">
        <v>2008440</v>
      </c>
      <c r="AH919" s="20">
        <v>1173768</v>
      </c>
      <c r="AR919" s="20">
        <v>3805448</v>
      </c>
      <c r="AV919" s="20">
        <v>156000</v>
      </c>
      <c r="AW919" s="20">
        <v>1646400</v>
      </c>
      <c r="AX919" s="20">
        <v>1845504</v>
      </c>
      <c r="BH919" s="28">
        <v>3647904</v>
      </c>
      <c r="BI919" s="28">
        <v>12704960</v>
      </c>
    </row>
    <row r="920" spans="1:61" hidden="1" x14ac:dyDescent="0.3">
      <c r="A920" s="1" t="s">
        <v>739</v>
      </c>
      <c r="B920" s="1" t="s">
        <v>110</v>
      </c>
      <c r="C920" s="1" t="s">
        <v>660</v>
      </c>
      <c r="D920" s="1" t="s">
        <v>661</v>
      </c>
      <c r="E920" s="1" t="s">
        <v>660</v>
      </c>
      <c r="F920" s="1" t="s">
        <v>661</v>
      </c>
      <c r="G920" s="1" t="s">
        <v>1981</v>
      </c>
      <c r="H920" s="1" t="s">
        <v>1982</v>
      </c>
      <c r="I920" s="1" t="s">
        <v>110</v>
      </c>
      <c r="J920" s="1" t="s">
        <v>229</v>
      </c>
      <c r="K920" s="1" t="s">
        <v>118</v>
      </c>
      <c r="L920" s="1" t="s">
        <v>103</v>
      </c>
      <c r="Q920" s="20">
        <v>1355760</v>
      </c>
      <c r="R920" s="20">
        <v>856800</v>
      </c>
      <c r="AB920" s="20">
        <v>2212560</v>
      </c>
      <c r="AC920" s="20">
        <v>237984</v>
      </c>
      <c r="AG920" s="20">
        <v>790080</v>
      </c>
      <c r="AH920" s="20">
        <v>254184</v>
      </c>
      <c r="AR920" s="20">
        <v>1282248</v>
      </c>
      <c r="AW920" s="20">
        <v>917880</v>
      </c>
      <c r="AX920" s="20">
        <v>1207368</v>
      </c>
      <c r="BH920" s="28">
        <v>2125248</v>
      </c>
      <c r="BI920" s="28">
        <v>5620056</v>
      </c>
    </row>
    <row r="921" spans="1:61" hidden="1" x14ac:dyDescent="0.3">
      <c r="A921" s="1" t="s">
        <v>739</v>
      </c>
      <c r="B921" s="1" t="s">
        <v>110</v>
      </c>
      <c r="C921" s="1" t="s">
        <v>660</v>
      </c>
      <c r="D921" s="1" t="s">
        <v>661</v>
      </c>
      <c r="E921" s="1" t="s">
        <v>660</v>
      </c>
      <c r="F921" s="1" t="s">
        <v>661</v>
      </c>
      <c r="G921" s="1" t="s">
        <v>1983</v>
      </c>
      <c r="H921" s="1" t="s">
        <v>1984</v>
      </c>
      <c r="I921" s="1" t="s">
        <v>110</v>
      </c>
      <c r="J921" s="1" t="s">
        <v>229</v>
      </c>
      <c r="K921" s="1" t="s">
        <v>118</v>
      </c>
      <c r="L921" s="1" t="s">
        <v>103</v>
      </c>
      <c r="M921" s="20">
        <v>2090154</v>
      </c>
      <c r="P921" s="20">
        <v>887616</v>
      </c>
      <c r="Q921" s="20">
        <v>2150280</v>
      </c>
      <c r="R921" s="20">
        <v>2648400</v>
      </c>
      <c r="AB921" s="20">
        <v>7776450</v>
      </c>
      <c r="AC921" s="20">
        <v>1016430</v>
      </c>
      <c r="AF921" s="20">
        <v>705608</v>
      </c>
      <c r="AG921" s="20">
        <v>3007080</v>
      </c>
      <c r="AH921" s="20">
        <v>2542920</v>
      </c>
      <c r="AR921" s="20">
        <v>7272038</v>
      </c>
      <c r="AS921" s="20">
        <v>716400</v>
      </c>
      <c r="AV921" s="20">
        <v>760568</v>
      </c>
      <c r="AW921" s="20">
        <v>2455200</v>
      </c>
      <c r="AX921" s="20">
        <v>3404472</v>
      </c>
      <c r="BH921" s="28">
        <v>7336640</v>
      </c>
      <c r="BI921" s="28">
        <v>22385128</v>
      </c>
    </row>
    <row r="922" spans="1:61" hidden="1" x14ac:dyDescent="0.3">
      <c r="A922" s="1" t="s">
        <v>739</v>
      </c>
      <c r="B922" s="1" t="s">
        <v>110</v>
      </c>
      <c r="C922" s="1" t="s">
        <v>660</v>
      </c>
      <c r="D922" s="1" t="s">
        <v>661</v>
      </c>
      <c r="E922" s="1" t="s">
        <v>660</v>
      </c>
      <c r="F922" s="1" t="s">
        <v>661</v>
      </c>
      <c r="G922" s="1" t="s">
        <v>1985</v>
      </c>
      <c r="H922" s="1" t="s">
        <v>1986</v>
      </c>
      <c r="I922" s="1" t="s">
        <v>110</v>
      </c>
      <c r="J922" s="1" t="s">
        <v>229</v>
      </c>
      <c r="K922" s="1" t="s">
        <v>118</v>
      </c>
      <c r="L922" s="1" t="s">
        <v>103</v>
      </c>
      <c r="M922" s="20">
        <v>661500</v>
      </c>
      <c r="P922" s="20">
        <v>458920</v>
      </c>
      <c r="Q922" s="20">
        <v>1647960</v>
      </c>
      <c r="R922" s="20">
        <v>3229200</v>
      </c>
      <c r="AB922" s="20">
        <v>5997580</v>
      </c>
      <c r="AC922" s="20">
        <v>420064</v>
      </c>
      <c r="AF922" s="20">
        <v>452920</v>
      </c>
      <c r="AG922" s="20">
        <v>2837040</v>
      </c>
      <c r="AH922" s="20">
        <v>2965152</v>
      </c>
      <c r="AR922" s="20">
        <v>6675176</v>
      </c>
      <c r="AS922" s="20">
        <v>362592</v>
      </c>
      <c r="AW922" s="20">
        <v>1870080</v>
      </c>
      <c r="AX922" s="20">
        <v>3013728</v>
      </c>
      <c r="BH922" s="28">
        <v>5246400</v>
      </c>
      <c r="BI922" s="28">
        <v>17919156</v>
      </c>
    </row>
    <row r="923" spans="1:61" hidden="1" x14ac:dyDescent="0.3">
      <c r="A923" s="1" t="s">
        <v>739</v>
      </c>
      <c r="B923" s="1" t="s">
        <v>110</v>
      </c>
      <c r="C923" s="1" t="s">
        <v>660</v>
      </c>
      <c r="D923" s="1" t="s">
        <v>661</v>
      </c>
      <c r="E923" s="1" t="s">
        <v>660</v>
      </c>
      <c r="F923" s="1" t="s">
        <v>661</v>
      </c>
      <c r="G923" s="1" t="s">
        <v>1987</v>
      </c>
      <c r="H923" s="1" t="s">
        <v>1988</v>
      </c>
      <c r="I923" s="1" t="s">
        <v>110</v>
      </c>
      <c r="J923" s="1" t="s">
        <v>229</v>
      </c>
      <c r="K923" s="1" t="s">
        <v>118</v>
      </c>
      <c r="L923" s="1" t="s">
        <v>103</v>
      </c>
      <c r="M923" s="20">
        <v>132300</v>
      </c>
      <c r="P923" s="20">
        <v>499424</v>
      </c>
      <c r="Q923" s="20">
        <v>2220360</v>
      </c>
      <c r="R923" s="20">
        <v>2314800</v>
      </c>
      <c r="AB923" s="20">
        <v>5166884</v>
      </c>
      <c r="AF923" s="20">
        <v>364224</v>
      </c>
      <c r="AG923" s="20">
        <v>2115840</v>
      </c>
      <c r="AH923" s="20">
        <v>2238936</v>
      </c>
      <c r="AR923" s="20">
        <v>4719000</v>
      </c>
      <c r="AS923" s="20">
        <v>298470</v>
      </c>
      <c r="AV923" s="20">
        <v>398392</v>
      </c>
      <c r="AW923" s="20">
        <v>1692360</v>
      </c>
      <c r="AX923" s="20">
        <v>2187624</v>
      </c>
      <c r="BH923" s="28">
        <v>4576846</v>
      </c>
      <c r="BI923" s="28">
        <v>14462730</v>
      </c>
    </row>
    <row r="924" spans="1:61" hidden="1" x14ac:dyDescent="0.3">
      <c r="A924" s="1" t="s">
        <v>739</v>
      </c>
      <c r="B924" s="1" t="s">
        <v>110</v>
      </c>
      <c r="C924" s="1" t="s">
        <v>660</v>
      </c>
      <c r="D924" s="1" t="s">
        <v>661</v>
      </c>
      <c r="E924" s="1" t="s">
        <v>660</v>
      </c>
      <c r="F924" s="1" t="s">
        <v>661</v>
      </c>
      <c r="G924" s="1" t="s">
        <v>1989</v>
      </c>
      <c r="H924" s="1" t="s">
        <v>1990</v>
      </c>
      <c r="I924" s="1" t="s">
        <v>110</v>
      </c>
      <c r="J924" s="1" t="s">
        <v>229</v>
      </c>
      <c r="K924" s="1" t="s">
        <v>118</v>
      </c>
      <c r="L924" s="1" t="s">
        <v>103</v>
      </c>
      <c r="M924" s="20">
        <v>264600</v>
      </c>
      <c r="P924" s="20">
        <v>104520</v>
      </c>
      <c r="Q924" s="20">
        <v>1680240</v>
      </c>
      <c r="R924" s="20">
        <v>2817600</v>
      </c>
      <c r="AB924" s="20">
        <v>4866960</v>
      </c>
      <c r="AF924" s="20">
        <v>587200</v>
      </c>
      <c r="AG924" s="20">
        <v>2735400</v>
      </c>
      <c r="AH924" s="20">
        <v>3309288</v>
      </c>
      <c r="AR924" s="20">
        <v>6631888</v>
      </c>
      <c r="AS924" s="20">
        <v>445500</v>
      </c>
      <c r="AV924" s="20">
        <v>793480</v>
      </c>
      <c r="AW924" s="20">
        <v>1153200</v>
      </c>
      <c r="AX924" s="20">
        <v>4726992</v>
      </c>
      <c r="BH924" s="28">
        <v>7119172</v>
      </c>
      <c r="BI924" s="28">
        <v>18618020</v>
      </c>
    </row>
    <row r="925" spans="1:61" hidden="1" x14ac:dyDescent="0.3">
      <c r="A925" s="1" t="s">
        <v>739</v>
      </c>
      <c r="B925" s="1" t="s">
        <v>110</v>
      </c>
      <c r="C925" s="1" t="s">
        <v>660</v>
      </c>
      <c r="D925" s="1" t="s">
        <v>661</v>
      </c>
      <c r="E925" s="1" t="s">
        <v>660</v>
      </c>
      <c r="F925" s="1" t="s">
        <v>661</v>
      </c>
      <c r="G925" s="1" t="s">
        <v>1991</v>
      </c>
      <c r="H925" s="1" t="s">
        <v>1992</v>
      </c>
      <c r="I925" s="1" t="s">
        <v>110</v>
      </c>
      <c r="J925" s="1" t="s">
        <v>229</v>
      </c>
      <c r="K925" s="1" t="s">
        <v>118</v>
      </c>
      <c r="L925" s="1" t="s">
        <v>103</v>
      </c>
      <c r="M925" s="20">
        <v>294492</v>
      </c>
      <c r="P925" s="20">
        <v>337424</v>
      </c>
      <c r="Q925" s="20">
        <v>2706480</v>
      </c>
      <c r="R925" s="20">
        <v>2637600</v>
      </c>
      <c r="AB925" s="20">
        <v>5975996</v>
      </c>
      <c r="AC925" s="20">
        <v>808872</v>
      </c>
      <c r="AF925" s="20">
        <v>370664</v>
      </c>
      <c r="AG925" s="20">
        <v>3232920</v>
      </c>
      <c r="AH925" s="20">
        <v>1784352</v>
      </c>
      <c r="AR925" s="20">
        <v>6196808</v>
      </c>
      <c r="AV925" s="20">
        <v>781568</v>
      </c>
      <c r="AW925" s="20">
        <v>2435280</v>
      </c>
      <c r="AX925" s="20">
        <v>2470128</v>
      </c>
      <c r="BH925" s="28">
        <v>5686976</v>
      </c>
      <c r="BI925" s="28">
        <v>17859780</v>
      </c>
    </row>
    <row r="926" spans="1:61" hidden="1" x14ac:dyDescent="0.3">
      <c r="A926" s="1" t="s">
        <v>739</v>
      </c>
      <c r="B926" s="1" t="s">
        <v>110</v>
      </c>
      <c r="C926" s="1" t="s">
        <v>660</v>
      </c>
      <c r="D926" s="1" t="s">
        <v>661</v>
      </c>
      <c r="E926" s="1" t="s">
        <v>660</v>
      </c>
      <c r="F926" s="1" t="s">
        <v>661</v>
      </c>
      <c r="G926" s="1" t="s">
        <v>1993</v>
      </c>
      <c r="H926" s="1" t="s">
        <v>1994</v>
      </c>
      <c r="I926" s="1" t="s">
        <v>110</v>
      </c>
      <c r="J926" s="1" t="s">
        <v>229</v>
      </c>
      <c r="K926" s="1" t="s">
        <v>118</v>
      </c>
      <c r="L926" s="1" t="s">
        <v>103</v>
      </c>
      <c r="M926" s="20">
        <v>1170852</v>
      </c>
      <c r="P926" s="20">
        <v>203928</v>
      </c>
      <c r="Q926" s="20">
        <v>1851960</v>
      </c>
      <c r="R926" s="20">
        <v>2894400</v>
      </c>
      <c r="AB926" s="20">
        <v>6121140</v>
      </c>
      <c r="AC926" s="20">
        <v>2413908</v>
      </c>
      <c r="AG926" s="20">
        <v>2400960</v>
      </c>
      <c r="AH926" s="20">
        <v>3517440</v>
      </c>
      <c r="AR926" s="20">
        <v>8332308</v>
      </c>
      <c r="AS926" s="20">
        <v>2104478</v>
      </c>
      <c r="AV926" s="20">
        <v>288592</v>
      </c>
      <c r="AW926" s="20">
        <v>1747440</v>
      </c>
      <c r="AX926" s="20">
        <v>2563848</v>
      </c>
      <c r="BH926" s="28">
        <v>6704358</v>
      </c>
      <c r="BI926" s="28">
        <v>21157806</v>
      </c>
    </row>
    <row r="927" spans="1:61" hidden="1" x14ac:dyDescent="0.3">
      <c r="A927" s="1" t="s">
        <v>739</v>
      </c>
      <c r="B927" s="1" t="s">
        <v>110</v>
      </c>
      <c r="C927" s="1" t="s">
        <v>660</v>
      </c>
      <c r="D927" s="1" t="s">
        <v>661</v>
      </c>
      <c r="E927" s="1" t="s">
        <v>660</v>
      </c>
      <c r="F927" s="1" t="s">
        <v>661</v>
      </c>
      <c r="G927" s="1" t="s">
        <v>1995</v>
      </c>
      <c r="H927" s="1" t="s">
        <v>1996</v>
      </c>
      <c r="I927" s="1" t="s">
        <v>110</v>
      </c>
      <c r="J927" s="1" t="s">
        <v>229</v>
      </c>
      <c r="K927" s="1" t="s">
        <v>118</v>
      </c>
      <c r="L927" s="1" t="s">
        <v>103</v>
      </c>
      <c r="Q927" s="20">
        <v>1267680</v>
      </c>
      <c r="R927" s="20">
        <v>800400</v>
      </c>
      <c r="AB927" s="20">
        <v>2068080</v>
      </c>
      <c r="AC927" s="20">
        <v>237984</v>
      </c>
      <c r="AG927" s="20">
        <v>2192400</v>
      </c>
      <c r="AH927" s="20">
        <v>972000</v>
      </c>
      <c r="AR927" s="20">
        <v>3402384</v>
      </c>
      <c r="AS927" s="20">
        <v>237984</v>
      </c>
      <c r="AW927" s="20">
        <v>1289040</v>
      </c>
      <c r="AX927" s="20">
        <v>628800</v>
      </c>
      <c r="BH927" s="28">
        <v>2155824</v>
      </c>
      <c r="BI927" s="28">
        <v>7626288</v>
      </c>
    </row>
    <row r="928" spans="1:61" hidden="1" x14ac:dyDescent="0.3">
      <c r="A928" s="1" t="s">
        <v>739</v>
      </c>
      <c r="B928" s="1" t="s">
        <v>110</v>
      </c>
      <c r="C928" s="1" t="s">
        <v>660</v>
      </c>
      <c r="D928" s="1" t="s">
        <v>661</v>
      </c>
      <c r="E928" s="1" t="s">
        <v>660</v>
      </c>
      <c r="F928" s="1" t="s">
        <v>661</v>
      </c>
      <c r="G928" s="1" t="s">
        <v>1997</v>
      </c>
      <c r="H928" s="1" t="s">
        <v>1998</v>
      </c>
      <c r="I928" s="1" t="s">
        <v>110</v>
      </c>
      <c r="J928" s="1" t="s">
        <v>229</v>
      </c>
      <c r="K928" s="1" t="s">
        <v>118</v>
      </c>
      <c r="L928" s="1" t="s">
        <v>103</v>
      </c>
      <c r="M928" s="20">
        <v>1653384</v>
      </c>
      <c r="Q928" s="20">
        <v>2180880</v>
      </c>
      <c r="R928" s="20">
        <v>1400400</v>
      </c>
      <c r="AB928" s="20">
        <v>5234664</v>
      </c>
      <c r="AC928" s="20">
        <v>1112572</v>
      </c>
      <c r="AF928" s="20">
        <v>128904</v>
      </c>
      <c r="AG928" s="20">
        <v>1797840</v>
      </c>
      <c r="AH928" s="20">
        <v>1521768</v>
      </c>
      <c r="AR928" s="20">
        <v>4561084</v>
      </c>
      <c r="AS928" s="20">
        <v>1353972</v>
      </c>
      <c r="AV928" s="20">
        <v>144296</v>
      </c>
      <c r="AW928" s="20">
        <v>1996440</v>
      </c>
      <c r="AX928" s="20">
        <v>1757712</v>
      </c>
      <c r="BH928" s="28">
        <v>5252420</v>
      </c>
      <c r="BI928" s="28">
        <v>15048168</v>
      </c>
    </row>
    <row r="929" spans="1:61" hidden="1" x14ac:dyDescent="0.3">
      <c r="A929" s="1" t="s">
        <v>739</v>
      </c>
      <c r="B929" s="1" t="s">
        <v>110</v>
      </c>
      <c r="C929" s="1" t="s">
        <v>660</v>
      </c>
      <c r="D929" s="1" t="s">
        <v>661</v>
      </c>
      <c r="E929" s="1" t="s">
        <v>660</v>
      </c>
      <c r="F929" s="1" t="s">
        <v>661</v>
      </c>
      <c r="G929" s="1" t="s">
        <v>1999</v>
      </c>
      <c r="H929" s="1" t="s">
        <v>2000</v>
      </c>
      <c r="I929" s="1" t="s">
        <v>110</v>
      </c>
      <c r="J929" s="1" t="s">
        <v>229</v>
      </c>
      <c r="K929" s="1" t="s">
        <v>118</v>
      </c>
      <c r="L929" s="1" t="s">
        <v>103</v>
      </c>
      <c r="M929" s="20">
        <v>592962</v>
      </c>
      <c r="P929" s="20">
        <v>104520</v>
      </c>
      <c r="Q929" s="20">
        <v>1513920</v>
      </c>
      <c r="R929" s="20">
        <v>885600</v>
      </c>
      <c r="AB929" s="20">
        <v>3097002</v>
      </c>
      <c r="AC929" s="20">
        <v>237984</v>
      </c>
      <c r="AF929" s="20">
        <v>260520</v>
      </c>
      <c r="AG929" s="20">
        <v>2042040</v>
      </c>
      <c r="AH929" s="20">
        <v>1734120</v>
      </c>
      <c r="AR929" s="20">
        <v>4274664</v>
      </c>
      <c r="AW929" s="20">
        <v>1107720</v>
      </c>
      <c r="AX929" s="20">
        <v>1101624</v>
      </c>
      <c r="BH929" s="28">
        <v>2209344</v>
      </c>
      <c r="BI929" s="28">
        <v>9581010</v>
      </c>
    </row>
    <row r="930" spans="1:61" hidden="1" x14ac:dyDescent="0.3">
      <c r="A930" s="1" t="s">
        <v>739</v>
      </c>
      <c r="B930" s="1" t="s">
        <v>110</v>
      </c>
      <c r="C930" s="1" t="s">
        <v>660</v>
      </c>
      <c r="D930" s="1" t="s">
        <v>661</v>
      </c>
      <c r="E930" s="1" t="s">
        <v>660</v>
      </c>
      <c r="F930" s="1" t="s">
        <v>661</v>
      </c>
      <c r="G930" s="1" t="s">
        <v>2001</v>
      </c>
      <c r="H930" s="1" t="s">
        <v>2002</v>
      </c>
      <c r="I930" s="1" t="s">
        <v>110</v>
      </c>
      <c r="J930" s="1" t="s">
        <v>229</v>
      </c>
      <c r="K930" s="1" t="s">
        <v>118</v>
      </c>
      <c r="L930" s="1" t="s">
        <v>103</v>
      </c>
      <c r="M930" s="20">
        <v>826692</v>
      </c>
      <c r="Q930" s="20">
        <v>1164480</v>
      </c>
      <c r="R930" s="20">
        <v>1686000</v>
      </c>
      <c r="AB930" s="20">
        <v>3677172</v>
      </c>
      <c r="AC930" s="20">
        <v>339952</v>
      </c>
      <c r="AG930" s="20">
        <v>855120</v>
      </c>
      <c r="AH930" s="20">
        <v>1226184</v>
      </c>
      <c r="AR930" s="20">
        <v>2421256</v>
      </c>
      <c r="AS930" s="20">
        <v>572928</v>
      </c>
      <c r="AW930" s="20">
        <v>1029120</v>
      </c>
      <c r="AX930" s="20">
        <v>2093544</v>
      </c>
      <c r="BH930" s="28">
        <v>3695592</v>
      </c>
      <c r="BI930" s="28">
        <v>9794020</v>
      </c>
    </row>
    <row r="931" spans="1:61" hidden="1" x14ac:dyDescent="0.3">
      <c r="A931" s="1" t="s">
        <v>739</v>
      </c>
      <c r="B931" s="1" t="s">
        <v>110</v>
      </c>
      <c r="C931" s="1" t="s">
        <v>660</v>
      </c>
      <c r="D931" s="1" t="s">
        <v>661</v>
      </c>
      <c r="E931" s="1" t="s">
        <v>660</v>
      </c>
      <c r="F931" s="1" t="s">
        <v>661</v>
      </c>
      <c r="G931" s="1" t="s">
        <v>2003</v>
      </c>
      <c r="H931" s="1" t="s">
        <v>2004</v>
      </c>
      <c r="I931" s="1" t="s">
        <v>110</v>
      </c>
      <c r="J931" s="1" t="s">
        <v>229</v>
      </c>
      <c r="K931" s="1" t="s">
        <v>118</v>
      </c>
      <c r="L931" s="1" t="s">
        <v>103</v>
      </c>
      <c r="M931" s="20">
        <v>592962</v>
      </c>
      <c r="P931" s="20">
        <v>290904</v>
      </c>
      <c r="Q931" s="20">
        <v>992160</v>
      </c>
      <c r="R931" s="20">
        <v>571200</v>
      </c>
      <c r="AB931" s="20">
        <v>2447226</v>
      </c>
      <c r="AC931" s="20">
        <v>237984</v>
      </c>
      <c r="AF931" s="20">
        <v>233424</v>
      </c>
      <c r="AG931" s="20">
        <v>1622880</v>
      </c>
      <c r="AH931" s="20">
        <v>888168</v>
      </c>
      <c r="AR931" s="20">
        <v>2982456</v>
      </c>
      <c r="AS931" s="20">
        <v>1415068</v>
      </c>
      <c r="AW931" s="20">
        <v>1130400</v>
      </c>
      <c r="AX931" s="20">
        <v>1006968</v>
      </c>
      <c r="BH931" s="28">
        <v>3552436</v>
      </c>
      <c r="BI931" s="28">
        <v>8982118</v>
      </c>
    </row>
    <row r="932" spans="1:61" hidden="1" x14ac:dyDescent="0.3">
      <c r="A932" s="1" t="s">
        <v>739</v>
      </c>
      <c r="B932" s="1" t="s">
        <v>110</v>
      </c>
      <c r="C932" s="1" t="s">
        <v>660</v>
      </c>
      <c r="D932" s="1" t="s">
        <v>661</v>
      </c>
      <c r="E932" s="1" t="s">
        <v>660</v>
      </c>
      <c r="F932" s="1" t="s">
        <v>661</v>
      </c>
      <c r="G932" s="1" t="s">
        <v>2005</v>
      </c>
      <c r="H932" s="1" t="s">
        <v>2006</v>
      </c>
      <c r="I932" s="1" t="s">
        <v>110</v>
      </c>
      <c r="J932" s="1" t="s">
        <v>229</v>
      </c>
      <c r="K932" s="1" t="s">
        <v>118</v>
      </c>
      <c r="L932" s="1" t="s">
        <v>103</v>
      </c>
      <c r="P932" s="20">
        <v>674848</v>
      </c>
      <c r="Q932" s="20">
        <v>2134080</v>
      </c>
      <c r="R932" s="20">
        <v>5444400</v>
      </c>
      <c r="AB932" s="20">
        <v>8253328</v>
      </c>
      <c r="AC932" s="20">
        <v>1072296</v>
      </c>
      <c r="AF932" s="20">
        <v>716104</v>
      </c>
      <c r="AG932" s="20">
        <v>3244200</v>
      </c>
      <c r="AH932" s="20">
        <v>2930520</v>
      </c>
      <c r="AR932" s="20">
        <v>7963120</v>
      </c>
      <c r="AS932" s="20">
        <v>479976</v>
      </c>
      <c r="AV932" s="20">
        <v>582896</v>
      </c>
      <c r="AW932" s="20">
        <v>1609320</v>
      </c>
      <c r="AX932" s="20">
        <v>4333968</v>
      </c>
      <c r="BH932" s="28">
        <v>7006160</v>
      </c>
      <c r="BI932" s="28">
        <v>23222608</v>
      </c>
    </row>
    <row r="933" spans="1:61" hidden="1" x14ac:dyDescent="0.3">
      <c r="A933" s="1" t="s">
        <v>739</v>
      </c>
      <c r="B933" s="1" t="s">
        <v>110</v>
      </c>
      <c r="C933" s="1" t="s">
        <v>660</v>
      </c>
      <c r="D933" s="1" t="s">
        <v>661</v>
      </c>
      <c r="E933" s="1" t="s">
        <v>660</v>
      </c>
      <c r="F933" s="1" t="s">
        <v>661</v>
      </c>
      <c r="G933" s="1" t="s">
        <v>2007</v>
      </c>
      <c r="H933" s="1" t="s">
        <v>2008</v>
      </c>
      <c r="I933" s="1" t="s">
        <v>110</v>
      </c>
      <c r="J933" s="1" t="s">
        <v>229</v>
      </c>
      <c r="K933" s="1" t="s">
        <v>118</v>
      </c>
      <c r="L933" s="1" t="s">
        <v>103</v>
      </c>
      <c r="M933" s="20">
        <v>1226592</v>
      </c>
      <c r="P933" s="20">
        <v>501840</v>
      </c>
      <c r="Q933" s="20">
        <v>2801640</v>
      </c>
      <c r="R933" s="20">
        <v>1228800</v>
      </c>
      <c r="AB933" s="20">
        <v>5758872</v>
      </c>
      <c r="AC933" s="20">
        <v>1391576</v>
      </c>
      <c r="AF933" s="20">
        <v>233424</v>
      </c>
      <c r="AG933" s="20">
        <v>2055960</v>
      </c>
      <c r="AH933" s="20">
        <v>2772936</v>
      </c>
      <c r="AR933" s="20">
        <v>6453896</v>
      </c>
      <c r="AS933" s="20">
        <v>905664</v>
      </c>
      <c r="AV933" s="20">
        <v>231928</v>
      </c>
      <c r="AW933" s="20">
        <v>3150480</v>
      </c>
      <c r="AX933" s="20">
        <v>2497896</v>
      </c>
      <c r="BH933" s="28">
        <v>6785968</v>
      </c>
      <c r="BI933" s="28">
        <v>18998736</v>
      </c>
    </row>
    <row r="934" spans="1:61" hidden="1" x14ac:dyDescent="0.3">
      <c r="A934" s="1" t="s">
        <v>739</v>
      </c>
      <c r="B934" s="1" t="s">
        <v>110</v>
      </c>
      <c r="C934" s="1" t="s">
        <v>660</v>
      </c>
      <c r="D934" s="1" t="s">
        <v>661</v>
      </c>
      <c r="E934" s="1" t="s">
        <v>660</v>
      </c>
      <c r="F934" s="1" t="s">
        <v>661</v>
      </c>
      <c r="G934" s="1" t="s">
        <v>2009</v>
      </c>
      <c r="H934" s="1" t="s">
        <v>2010</v>
      </c>
      <c r="I934" s="1" t="s">
        <v>110</v>
      </c>
      <c r="J934" s="1" t="s">
        <v>229</v>
      </c>
      <c r="K934" s="1" t="s">
        <v>118</v>
      </c>
      <c r="L934" s="1" t="s">
        <v>103</v>
      </c>
      <c r="M934" s="20">
        <v>294492</v>
      </c>
      <c r="P934" s="20">
        <v>209040</v>
      </c>
      <c r="Q934" s="20">
        <v>2710920</v>
      </c>
      <c r="R934" s="20">
        <v>2902800</v>
      </c>
      <c r="AB934" s="20">
        <v>6117252</v>
      </c>
      <c r="AG934" s="20">
        <v>3062880</v>
      </c>
      <c r="AH934" s="20">
        <v>3108984</v>
      </c>
      <c r="AR934" s="20">
        <v>6171864</v>
      </c>
      <c r="AS934" s="20">
        <v>127428</v>
      </c>
      <c r="AV934" s="20">
        <v>398392</v>
      </c>
      <c r="AW934" s="20">
        <v>2348640</v>
      </c>
      <c r="AX934" s="20">
        <v>4894416</v>
      </c>
      <c r="BH934" s="28">
        <v>7768876</v>
      </c>
      <c r="BI934" s="28">
        <v>20057992</v>
      </c>
    </row>
    <row r="935" spans="1:61" hidden="1" x14ac:dyDescent="0.3">
      <c r="A935" s="1" t="s">
        <v>739</v>
      </c>
      <c r="B935" s="1" t="s">
        <v>110</v>
      </c>
      <c r="C935" s="1" t="s">
        <v>660</v>
      </c>
      <c r="D935" s="1" t="s">
        <v>661</v>
      </c>
      <c r="E935" s="1" t="s">
        <v>660</v>
      </c>
      <c r="F935" s="1" t="s">
        <v>661</v>
      </c>
      <c r="G935" s="1" t="s">
        <v>2011</v>
      </c>
      <c r="H935" s="1" t="s">
        <v>2012</v>
      </c>
      <c r="I935" s="1" t="s">
        <v>110</v>
      </c>
      <c r="J935" s="1" t="s">
        <v>229</v>
      </c>
      <c r="K935" s="1" t="s">
        <v>118</v>
      </c>
      <c r="L935" s="1" t="s">
        <v>103</v>
      </c>
      <c r="M935" s="20">
        <v>799800</v>
      </c>
      <c r="P935" s="20">
        <v>104520</v>
      </c>
      <c r="Q935" s="20">
        <v>1249560</v>
      </c>
      <c r="R935" s="20">
        <v>1086000</v>
      </c>
      <c r="AB935" s="20">
        <v>3239880</v>
      </c>
      <c r="AC935" s="20">
        <v>1072596</v>
      </c>
      <c r="AF935" s="20">
        <v>104520</v>
      </c>
      <c r="AG935" s="20">
        <v>2294160</v>
      </c>
      <c r="AH935" s="20">
        <v>1368984</v>
      </c>
      <c r="AR935" s="20">
        <v>4840260</v>
      </c>
      <c r="AW935" s="20">
        <v>1894800</v>
      </c>
      <c r="AX935" s="20">
        <v>2473800</v>
      </c>
      <c r="BH935" s="28">
        <v>4368600</v>
      </c>
      <c r="BI935" s="28">
        <v>12448740</v>
      </c>
    </row>
    <row r="936" spans="1:61" hidden="1" x14ac:dyDescent="0.3">
      <c r="A936" s="1" t="s">
        <v>739</v>
      </c>
      <c r="B936" s="1" t="s">
        <v>110</v>
      </c>
      <c r="C936" s="1" t="s">
        <v>660</v>
      </c>
      <c r="D936" s="1" t="s">
        <v>661</v>
      </c>
      <c r="E936" s="1" t="s">
        <v>660</v>
      </c>
      <c r="F936" s="1" t="s">
        <v>661</v>
      </c>
      <c r="G936" s="1" t="s">
        <v>2013</v>
      </c>
      <c r="H936" s="1" t="s">
        <v>2014</v>
      </c>
      <c r="I936" s="1" t="s">
        <v>110</v>
      </c>
      <c r="J936" s="1" t="s">
        <v>229</v>
      </c>
      <c r="K936" s="1" t="s">
        <v>118</v>
      </c>
      <c r="L936" s="1" t="s">
        <v>103</v>
      </c>
      <c r="M936" s="20">
        <v>298470</v>
      </c>
      <c r="Q936" s="20">
        <v>1286640</v>
      </c>
      <c r="R936" s="20">
        <v>1131600</v>
      </c>
      <c r="AB936" s="20">
        <v>2716710</v>
      </c>
      <c r="AG936" s="20">
        <v>811440</v>
      </c>
      <c r="AH936" s="20">
        <v>578568</v>
      </c>
      <c r="AR936" s="20">
        <v>1390008</v>
      </c>
      <c r="AW936" s="20">
        <v>1451280</v>
      </c>
      <c r="AX936" s="20">
        <v>1378968</v>
      </c>
      <c r="BH936" s="28">
        <v>2830248</v>
      </c>
      <c r="BI936" s="28">
        <v>6936966</v>
      </c>
    </row>
    <row r="937" spans="1:61" hidden="1" x14ac:dyDescent="0.3">
      <c r="A937" s="1" t="s">
        <v>739</v>
      </c>
      <c r="B937" s="1" t="s">
        <v>110</v>
      </c>
      <c r="C937" s="1" t="s">
        <v>660</v>
      </c>
      <c r="D937" s="1" t="s">
        <v>661</v>
      </c>
      <c r="E937" s="1" t="s">
        <v>660</v>
      </c>
      <c r="F937" s="1" t="s">
        <v>661</v>
      </c>
      <c r="G937" s="1" t="s">
        <v>2015</v>
      </c>
      <c r="H937" s="1" t="s">
        <v>2016</v>
      </c>
      <c r="I937" s="1" t="s">
        <v>110</v>
      </c>
      <c r="J937" s="1" t="s">
        <v>229</v>
      </c>
      <c r="K937" s="1" t="s">
        <v>118</v>
      </c>
      <c r="L937" s="1" t="s">
        <v>103</v>
      </c>
      <c r="M937" s="20">
        <v>2299878</v>
      </c>
      <c r="P937" s="20">
        <v>483304</v>
      </c>
      <c r="Q937" s="20">
        <v>1905360</v>
      </c>
      <c r="R937" s="20">
        <v>1551600</v>
      </c>
      <c r="AB937" s="20">
        <v>6240142</v>
      </c>
      <c r="AC937" s="20">
        <v>963168</v>
      </c>
      <c r="AF937" s="20">
        <v>128904</v>
      </c>
      <c r="AG937" s="20">
        <v>1601520</v>
      </c>
      <c r="AH937" s="20">
        <v>1091784</v>
      </c>
      <c r="AR937" s="20">
        <v>3785376</v>
      </c>
      <c r="AV937" s="20">
        <v>144296</v>
      </c>
      <c r="AW937" s="20">
        <v>1456680</v>
      </c>
      <c r="AX937" s="20">
        <v>1141440</v>
      </c>
      <c r="BH937" s="28">
        <v>2742416</v>
      </c>
      <c r="BI937" s="28">
        <v>12767934</v>
      </c>
    </row>
    <row r="938" spans="1:61" hidden="1" x14ac:dyDescent="0.3">
      <c r="A938" s="1" t="s">
        <v>739</v>
      </c>
      <c r="B938" s="1" t="s">
        <v>110</v>
      </c>
      <c r="C938" s="1" t="s">
        <v>660</v>
      </c>
      <c r="D938" s="1" t="s">
        <v>661</v>
      </c>
      <c r="E938" s="1" t="s">
        <v>660</v>
      </c>
      <c r="F938" s="1" t="s">
        <v>661</v>
      </c>
      <c r="G938" s="1" t="s">
        <v>2017</v>
      </c>
      <c r="H938" s="1" t="s">
        <v>2018</v>
      </c>
      <c r="I938" s="1" t="s">
        <v>110</v>
      </c>
      <c r="J938" s="1" t="s">
        <v>229</v>
      </c>
      <c r="K938" s="1" t="s">
        <v>118</v>
      </c>
      <c r="L938" s="1" t="s">
        <v>103</v>
      </c>
      <c r="M938" s="20">
        <v>823692</v>
      </c>
      <c r="P938" s="20">
        <v>339840</v>
      </c>
      <c r="Q938" s="20">
        <v>1632480</v>
      </c>
      <c r="R938" s="20">
        <v>1057200</v>
      </c>
      <c r="AB938" s="20">
        <v>3853212</v>
      </c>
      <c r="AC938" s="20">
        <v>1137240</v>
      </c>
      <c r="AF938" s="20">
        <v>322952</v>
      </c>
      <c r="AG938" s="20">
        <v>1740720</v>
      </c>
      <c r="AH938" s="20">
        <v>920184</v>
      </c>
      <c r="AR938" s="20">
        <v>4121096</v>
      </c>
      <c r="AS938" s="20">
        <v>426108</v>
      </c>
      <c r="AV938" s="20">
        <v>185728</v>
      </c>
      <c r="AW938" s="20">
        <v>1310760</v>
      </c>
      <c r="AX938" s="20">
        <v>1474800</v>
      </c>
      <c r="BH938" s="28">
        <v>3397396</v>
      </c>
      <c r="BI938" s="28">
        <v>11371704</v>
      </c>
    </row>
    <row r="939" spans="1:61" hidden="1" x14ac:dyDescent="0.3">
      <c r="A939" s="1" t="s">
        <v>739</v>
      </c>
      <c r="B939" s="1" t="s">
        <v>110</v>
      </c>
      <c r="C939" s="1" t="s">
        <v>660</v>
      </c>
      <c r="D939" s="1" t="s">
        <v>661</v>
      </c>
      <c r="E939" s="1" t="s">
        <v>660</v>
      </c>
      <c r="F939" s="1" t="s">
        <v>661</v>
      </c>
      <c r="G939" s="1" t="s">
        <v>2019</v>
      </c>
      <c r="H939" s="1" t="s">
        <v>2020</v>
      </c>
      <c r="I939" s="1" t="s">
        <v>110</v>
      </c>
      <c r="J939" s="1" t="s">
        <v>229</v>
      </c>
      <c r="K939" s="1" t="s">
        <v>118</v>
      </c>
      <c r="L939" s="1" t="s">
        <v>103</v>
      </c>
      <c r="M939" s="20">
        <v>132300</v>
      </c>
      <c r="P939" s="20">
        <v>261408</v>
      </c>
      <c r="Q939" s="20">
        <v>996840</v>
      </c>
      <c r="R939" s="20">
        <v>1743600</v>
      </c>
      <c r="AB939" s="20">
        <v>3134148</v>
      </c>
      <c r="AC939" s="20">
        <v>1063400</v>
      </c>
      <c r="AF939" s="20">
        <v>192400</v>
      </c>
      <c r="AG939" s="20">
        <v>1815120</v>
      </c>
      <c r="AH939" s="20">
        <v>1871784</v>
      </c>
      <c r="AR939" s="20">
        <v>4942704</v>
      </c>
      <c r="AS939" s="20">
        <v>355200</v>
      </c>
      <c r="AV939" s="20">
        <v>288592</v>
      </c>
      <c r="AW939" s="20">
        <v>999960</v>
      </c>
      <c r="AX939" s="20">
        <v>1161840</v>
      </c>
      <c r="BH939" s="28">
        <v>2805592</v>
      </c>
      <c r="BI939" s="28">
        <v>10882444</v>
      </c>
    </row>
    <row r="940" spans="1:61" hidden="1" x14ac:dyDescent="0.3">
      <c r="A940" s="1" t="s">
        <v>739</v>
      </c>
      <c r="B940" s="1" t="s">
        <v>110</v>
      </c>
      <c r="C940" s="1" t="s">
        <v>660</v>
      </c>
      <c r="D940" s="1" t="s">
        <v>661</v>
      </c>
      <c r="E940" s="1" t="s">
        <v>660</v>
      </c>
      <c r="F940" s="1" t="s">
        <v>661</v>
      </c>
      <c r="G940" s="1" t="s">
        <v>2021</v>
      </c>
      <c r="H940" s="1" t="s">
        <v>2022</v>
      </c>
      <c r="I940" s="1" t="s">
        <v>110</v>
      </c>
      <c r="J940" s="1" t="s">
        <v>229</v>
      </c>
      <c r="K940" s="1" t="s">
        <v>118</v>
      </c>
      <c r="L940" s="1" t="s">
        <v>103</v>
      </c>
      <c r="M940" s="20">
        <v>132300</v>
      </c>
      <c r="P940" s="20">
        <v>104520</v>
      </c>
      <c r="Q940" s="20">
        <v>759600</v>
      </c>
      <c r="R940" s="20">
        <v>1358400</v>
      </c>
      <c r="AB940" s="20">
        <v>2354820</v>
      </c>
      <c r="AC940" s="20">
        <v>237984</v>
      </c>
      <c r="AG940" s="20">
        <v>1022640</v>
      </c>
      <c r="AH940" s="20">
        <v>1508568</v>
      </c>
      <c r="AR940" s="20">
        <v>2769192</v>
      </c>
      <c r="AV940" s="20">
        <v>144296</v>
      </c>
      <c r="AW940" s="20">
        <v>660600</v>
      </c>
      <c r="AX940" s="20">
        <v>1941840</v>
      </c>
      <c r="BH940" s="28">
        <v>2746736</v>
      </c>
      <c r="BI940" s="28">
        <v>7870748</v>
      </c>
    </row>
    <row r="941" spans="1:61" hidden="1" x14ac:dyDescent="0.3">
      <c r="A941" s="1" t="s">
        <v>739</v>
      </c>
      <c r="B941" s="1" t="s">
        <v>110</v>
      </c>
      <c r="C941" s="1" t="s">
        <v>660</v>
      </c>
      <c r="D941" s="1" t="s">
        <v>661</v>
      </c>
      <c r="E941" s="1" t="s">
        <v>660</v>
      </c>
      <c r="F941" s="1" t="s">
        <v>661</v>
      </c>
      <c r="G941" s="1" t="s">
        <v>2023</v>
      </c>
      <c r="H941" s="1" t="s">
        <v>2024</v>
      </c>
      <c r="I941" s="1" t="s">
        <v>110</v>
      </c>
      <c r="J941" s="1" t="s">
        <v>229</v>
      </c>
      <c r="K941" s="1" t="s">
        <v>118</v>
      </c>
      <c r="L941" s="1" t="s">
        <v>103</v>
      </c>
      <c r="M941" s="20">
        <v>298470</v>
      </c>
      <c r="P941" s="20">
        <v>203928</v>
      </c>
      <c r="Q941" s="20">
        <v>1959360</v>
      </c>
      <c r="R941" s="20">
        <v>1543200</v>
      </c>
      <c r="AB941" s="20">
        <v>4004958</v>
      </c>
      <c r="AC941" s="20">
        <v>158656</v>
      </c>
      <c r="AF941" s="20">
        <v>104520</v>
      </c>
      <c r="AG941" s="20">
        <v>1884240</v>
      </c>
      <c r="AH941" s="20">
        <v>1347552</v>
      </c>
      <c r="AR941" s="20">
        <v>3494968</v>
      </c>
      <c r="AW941" s="20">
        <v>1583520</v>
      </c>
      <c r="AX941" s="20">
        <v>1044576</v>
      </c>
      <c r="BH941" s="28">
        <v>2628096</v>
      </c>
      <c r="BI941" s="28">
        <v>10128022</v>
      </c>
    </row>
    <row r="942" spans="1:61" hidden="1" x14ac:dyDescent="0.3">
      <c r="A942" s="1" t="s">
        <v>739</v>
      </c>
      <c r="B942" s="1" t="s">
        <v>110</v>
      </c>
      <c r="C942" s="1" t="s">
        <v>660</v>
      </c>
      <c r="D942" s="1" t="s">
        <v>661</v>
      </c>
      <c r="E942" s="1" t="s">
        <v>660</v>
      </c>
      <c r="F942" s="1" t="s">
        <v>661</v>
      </c>
      <c r="G942" s="1" t="s">
        <v>2025</v>
      </c>
      <c r="H942" s="1" t="s">
        <v>2026</v>
      </c>
      <c r="I942" s="1" t="s">
        <v>110</v>
      </c>
      <c r="J942" s="1" t="s">
        <v>229</v>
      </c>
      <c r="K942" s="1" t="s">
        <v>118</v>
      </c>
      <c r="L942" s="1" t="s">
        <v>103</v>
      </c>
      <c r="M942" s="20">
        <v>1166874</v>
      </c>
      <c r="P942" s="20">
        <v>558328</v>
      </c>
      <c r="Q942" s="20">
        <v>1677480</v>
      </c>
      <c r="R942" s="20">
        <v>1852800</v>
      </c>
      <c r="AB942" s="20">
        <v>5255482</v>
      </c>
      <c r="AC942" s="20">
        <v>1046376</v>
      </c>
      <c r="AF942" s="20">
        <v>130800</v>
      </c>
      <c r="AG942" s="20">
        <v>1370280</v>
      </c>
      <c r="AH942" s="20">
        <v>771600</v>
      </c>
      <c r="AR942" s="20">
        <v>3319056</v>
      </c>
      <c r="AS942" s="20">
        <v>1915128</v>
      </c>
      <c r="AV942" s="20">
        <v>507024</v>
      </c>
      <c r="AW942" s="20">
        <v>999240</v>
      </c>
      <c r="AX942" s="20">
        <v>892968</v>
      </c>
      <c r="BH942" s="28">
        <v>4314360</v>
      </c>
      <c r="BI942" s="28">
        <v>12888898</v>
      </c>
    </row>
    <row r="943" spans="1:61" hidden="1" x14ac:dyDescent="0.3">
      <c r="A943" s="1" t="s">
        <v>739</v>
      </c>
      <c r="B943" s="1" t="s">
        <v>110</v>
      </c>
      <c r="C943" s="1" t="s">
        <v>660</v>
      </c>
      <c r="D943" s="1" t="s">
        <v>661</v>
      </c>
      <c r="E943" s="1" t="s">
        <v>660</v>
      </c>
      <c r="F943" s="1" t="s">
        <v>661</v>
      </c>
      <c r="G943" s="1" t="s">
        <v>2027</v>
      </c>
      <c r="H943" s="1" t="s">
        <v>2028</v>
      </c>
      <c r="I943" s="1" t="s">
        <v>110</v>
      </c>
      <c r="J943" s="1" t="s">
        <v>229</v>
      </c>
      <c r="K943" s="1" t="s">
        <v>118</v>
      </c>
      <c r="L943" s="1" t="s">
        <v>103</v>
      </c>
      <c r="M943" s="20">
        <v>1110962</v>
      </c>
      <c r="P943" s="20">
        <v>668640</v>
      </c>
      <c r="Q943" s="20">
        <v>2037360</v>
      </c>
      <c r="R943" s="20">
        <v>5284800</v>
      </c>
      <c r="AB943" s="20">
        <v>9101762</v>
      </c>
      <c r="AC943" s="20">
        <v>460800</v>
      </c>
      <c r="AF943" s="20">
        <v>192152</v>
      </c>
      <c r="AG943" s="20">
        <v>3541440</v>
      </c>
      <c r="AH943" s="20">
        <v>5362656</v>
      </c>
      <c r="AR943" s="20">
        <v>9557048</v>
      </c>
      <c r="AS943" s="20">
        <v>1977728</v>
      </c>
      <c r="AV943" s="20">
        <v>316528</v>
      </c>
      <c r="AW943" s="20">
        <v>2373240</v>
      </c>
      <c r="AX943" s="20">
        <v>4676712</v>
      </c>
      <c r="BH943" s="28">
        <v>9344208</v>
      </c>
      <c r="BI943" s="28">
        <v>28003018</v>
      </c>
    </row>
    <row r="944" spans="1:61" hidden="1" x14ac:dyDescent="0.3">
      <c r="A944" s="1" t="s">
        <v>739</v>
      </c>
      <c r="B944" s="1" t="s">
        <v>110</v>
      </c>
      <c r="C944" s="1" t="s">
        <v>660</v>
      </c>
      <c r="D944" s="1" t="s">
        <v>661</v>
      </c>
      <c r="E944" s="1" t="s">
        <v>660</v>
      </c>
      <c r="F944" s="1" t="s">
        <v>661</v>
      </c>
      <c r="G944" s="1" t="s">
        <v>2029</v>
      </c>
      <c r="H944" s="1" t="s">
        <v>2030</v>
      </c>
      <c r="I944" s="1" t="s">
        <v>110</v>
      </c>
      <c r="J944" s="1" t="s">
        <v>229</v>
      </c>
      <c r="K944" s="1" t="s">
        <v>118</v>
      </c>
      <c r="L944" s="1" t="s">
        <v>103</v>
      </c>
      <c r="M944" s="20">
        <v>1548954</v>
      </c>
      <c r="P944" s="20">
        <v>601720</v>
      </c>
      <c r="Q944" s="20">
        <v>3815280</v>
      </c>
      <c r="R944" s="20">
        <v>3486000</v>
      </c>
      <c r="AB944" s="20">
        <v>9451954</v>
      </c>
      <c r="AC944" s="20">
        <v>600576</v>
      </c>
      <c r="AF944" s="20">
        <v>869128</v>
      </c>
      <c r="AG944" s="20">
        <v>4316880</v>
      </c>
      <c r="AH944" s="20">
        <v>3131904</v>
      </c>
      <c r="AR944" s="20">
        <v>8918488</v>
      </c>
      <c r="AS944" s="20">
        <v>1232196</v>
      </c>
      <c r="AV944" s="20">
        <v>981632</v>
      </c>
      <c r="AW944" s="20">
        <v>2941080</v>
      </c>
      <c r="AX944" s="20">
        <v>3299232</v>
      </c>
      <c r="BH944" s="28">
        <v>8454140</v>
      </c>
      <c r="BI944" s="28">
        <v>26824582</v>
      </c>
    </row>
    <row r="945" spans="1:61" hidden="1" x14ac:dyDescent="0.3">
      <c r="A945" s="1" t="s">
        <v>739</v>
      </c>
      <c r="B945" s="1" t="s">
        <v>110</v>
      </c>
      <c r="C945" s="1" t="s">
        <v>660</v>
      </c>
      <c r="D945" s="1" t="s">
        <v>661</v>
      </c>
      <c r="E945" s="1" t="s">
        <v>660</v>
      </c>
      <c r="F945" s="1" t="s">
        <v>661</v>
      </c>
      <c r="G945" s="1" t="s">
        <v>2031</v>
      </c>
      <c r="H945" s="1" t="s">
        <v>2032</v>
      </c>
      <c r="I945" s="1" t="s">
        <v>110</v>
      </c>
      <c r="J945" s="1" t="s">
        <v>229</v>
      </c>
      <c r="K945" s="1" t="s">
        <v>118</v>
      </c>
      <c r="L945" s="1" t="s">
        <v>103</v>
      </c>
      <c r="M945" s="20">
        <v>294492</v>
      </c>
      <c r="P945" s="20">
        <v>592120</v>
      </c>
      <c r="Q945" s="20">
        <v>1618800</v>
      </c>
      <c r="R945" s="20">
        <v>1081200</v>
      </c>
      <c r="AB945" s="20">
        <v>3586612</v>
      </c>
      <c r="AC945" s="20">
        <v>237984</v>
      </c>
      <c r="AF945" s="20">
        <v>192152</v>
      </c>
      <c r="AG945" s="20">
        <v>980880</v>
      </c>
      <c r="AH945" s="20">
        <v>1651536</v>
      </c>
      <c r="AR945" s="20">
        <v>3062552</v>
      </c>
      <c r="AV945" s="20">
        <v>554392</v>
      </c>
      <c r="AW945" s="20">
        <v>1375320</v>
      </c>
      <c r="AX945" s="20">
        <v>2213328</v>
      </c>
      <c r="BH945" s="28">
        <v>4143040</v>
      </c>
      <c r="BI945" s="28">
        <v>10792204</v>
      </c>
    </row>
    <row r="946" spans="1:61" hidden="1" x14ac:dyDescent="0.3">
      <c r="A946" s="1" t="s">
        <v>739</v>
      </c>
      <c r="B946" s="1" t="s">
        <v>110</v>
      </c>
      <c r="C946" s="1" t="s">
        <v>660</v>
      </c>
      <c r="D946" s="1" t="s">
        <v>661</v>
      </c>
      <c r="E946" s="1" t="s">
        <v>660</v>
      </c>
      <c r="F946" s="1" t="s">
        <v>661</v>
      </c>
      <c r="G946" s="1" t="s">
        <v>2033</v>
      </c>
      <c r="H946" s="1" t="s">
        <v>2034</v>
      </c>
      <c r="I946" s="1" t="s">
        <v>110</v>
      </c>
      <c r="J946" s="1" t="s">
        <v>229</v>
      </c>
      <c r="K946" s="1" t="s">
        <v>118</v>
      </c>
      <c r="L946" s="1" t="s">
        <v>103</v>
      </c>
      <c r="M946" s="20">
        <v>857562</v>
      </c>
      <c r="P946" s="20">
        <v>690400</v>
      </c>
      <c r="Q946" s="20">
        <v>1699440</v>
      </c>
      <c r="R946" s="20">
        <v>2074800</v>
      </c>
      <c r="AB946" s="20">
        <v>5322202</v>
      </c>
      <c r="AF946" s="20">
        <v>257808</v>
      </c>
      <c r="AG946" s="20">
        <v>1542600</v>
      </c>
      <c r="AH946" s="20">
        <v>2337936</v>
      </c>
      <c r="AR946" s="20">
        <v>4138344</v>
      </c>
      <c r="AV946" s="20">
        <v>577184</v>
      </c>
      <c r="AW946" s="20">
        <v>1351800</v>
      </c>
      <c r="AX946" s="20">
        <v>2717712</v>
      </c>
      <c r="BH946" s="28">
        <v>4646696</v>
      </c>
      <c r="BI946" s="28">
        <v>14107242</v>
      </c>
    </row>
    <row r="947" spans="1:61" hidden="1" x14ac:dyDescent="0.3">
      <c r="A947" s="1" t="s">
        <v>739</v>
      </c>
      <c r="B947" s="1" t="s">
        <v>110</v>
      </c>
      <c r="C947" s="1" t="s">
        <v>660</v>
      </c>
      <c r="D947" s="1" t="s">
        <v>661</v>
      </c>
      <c r="E947" s="1" t="s">
        <v>660</v>
      </c>
      <c r="F947" s="1" t="s">
        <v>661</v>
      </c>
      <c r="G947" s="1" t="s">
        <v>2035</v>
      </c>
      <c r="H947" s="1" t="s">
        <v>2036</v>
      </c>
      <c r="I947" s="1" t="s">
        <v>110</v>
      </c>
      <c r="J947" s="1" t="s">
        <v>229</v>
      </c>
      <c r="K947" s="1" t="s">
        <v>118</v>
      </c>
      <c r="L947" s="1" t="s">
        <v>103</v>
      </c>
      <c r="M947" s="20">
        <v>1554954</v>
      </c>
      <c r="P947" s="20">
        <v>371040</v>
      </c>
      <c r="Q947" s="20">
        <v>1413120</v>
      </c>
      <c r="R947" s="20">
        <v>2474400</v>
      </c>
      <c r="AB947" s="20">
        <v>5813514</v>
      </c>
      <c r="AC947" s="20">
        <v>1076544</v>
      </c>
      <c r="AF947" s="20">
        <v>104520</v>
      </c>
      <c r="AG947" s="20">
        <v>1970640</v>
      </c>
      <c r="AH947" s="20">
        <v>1982640</v>
      </c>
      <c r="AR947" s="20">
        <v>5134344</v>
      </c>
      <c r="AV947" s="20">
        <v>456296</v>
      </c>
      <c r="AW947" s="20">
        <v>1966320</v>
      </c>
      <c r="AX947" s="20">
        <v>2474400</v>
      </c>
      <c r="BH947" s="28">
        <v>4897016</v>
      </c>
      <c r="BI947" s="28">
        <v>15844874</v>
      </c>
    </row>
    <row r="948" spans="1:61" hidden="1" x14ac:dyDescent="0.3">
      <c r="A948" s="1" t="s">
        <v>739</v>
      </c>
      <c r="B948" s="1" t="s">
        <v>110</v>
      </c>
      <c r="C948" s="1" t="s">
        <v>660</v>
      </c>
      <c r="D948" s="1" t="s">
        <v>661</v>
      </c>
      <c r="E948" s="1" t="s">
        <v>660</v>
      </c>
      <c r="F948" s="1" t="s">
        <v>661</v>
      </c>
      <c r="G948" s="1" t="s">
        <v>2037</v>
      </c>
      <c r="H948" s="1" t="s">
        <v>2038</v>
      </c>
      <c r="I948" s="1" t="s">
        <v>110</v>
      </c>
      <c r="J948" s="1" t="s">
        <v>229</v>
      </c>
      <c r="K948" s="1" t="s">
        <v>118</v>
      </c>
      <c r="L948" s="1" t="s">
        <v>103</v>
      </c>
      <c r="M948" s="20">
        <v>829692</v>
      </c>
      <c r="P948" s="20">
        <v>430920</v>
      </c>
      <c r="Q948" s="20">
        <v>1525320</v>
      </c>
      <c r="R948" s="20">
        <v>1578000</v>
      </c>
      <c r="AB948" s="20">
        <v>4363932</v>
      </c>
      <c r="AC948" s="20">
        <v>1006712</v>
      </c>
      <c r="AF948" s="20">
        <v>260520</v>
      </c>
      <c r="AG948" s="20">
        <v>2010120</v>
      </c>
      <c r="AH948" s="20">
        <v>969600</v>
      </c>
      <c r="AR948" s="20">
        <v>4246952</v>
      </c>
      <c r="AS948" s="20">
        <v>426108</v>
      </c>
      <c r="AV948" s="20">
        <v>300296</v>
      </c>
      <c r="AW948" s="20">
        <v>1793880</v>
      </c>
      <c r="AX948" s="20">
        <v>1318752</v>
      </c>
      <c r="BH948" s="28">
        <v>3839036</v>
      </c>
      <c r="BI948" s="28">
        <v>12449920</v>
      </c>
    </row>
    <row r="949" spans="1:61" hidden="1" x14ac:dyDescent="0.3">
      <c r="A949" s="1" t="s">
        <v>739</v>
      </c>
      <c r="B949" s="1" t="s">
        <v>110</v>
      </c>
      <c r="C949" s="1" t="s">
        <v>660</v>
      </c>
      <c r="D949" s="1" t="s">
        <v>661</v>
      </c>
      <c r="E949" s="1" t="s">
        <v>660</v>
      </c>
      <c r="F949" s="1" t="s">
        <v>661</v>
      </c>
      <c r="G949" s="1" t="s">
        <v>2039</v>
      </c>
      <c r="H949" s="1" t="s">
        <v>2040</v>
      </c>
      <c r="I949" s="1" t="s">
        <v>110</v>
      </c>
      <c r="J949" s="1" t="s">
        <v>229</v>
      </c>
      <c r="K949" s="1" t="s">
        <v>118</v>
      </c>
      <c r="L949" s="1" t="s">
        <v>103</v>
      </c>
      <c r="P949" s="20">
        <v>104520</v>
      </c>
      <c r="Q949" s="20">
        <v>766080</v>
      </c>
      <c r="R949" s="20">
        <v>859200</v>
      </c>
      <c r="AB949" s="20">
        <v>1729800</v>
      </c>
      <c r="AC949" s="20">
        <v>237984</v>
      </c>
      <c r="AG949" s="20">
        <v>979680</v>
      </c>
      <c r="AH949" s="20">
        <v>1197384</v>
      </c>
      <c r="AR949" s="20">
        <v>2415048</v>
      </c>
      <c r="AS949" s="20">
        <v>1253592</v>
      </c>
      <c r="AW949" s="20">
        <v>655080</v>
      </c>
      <c r="AX949" s="20">
        <v>787368</v>
      </c>
      <c r="BH949" s="28">
        <v>2696040</v>
      </c>
      <c r="BI949" s="28">
        <v>6840888</v>
      </c>
    </row>
    <row r="950" spans="1:61" hidden="1" x14ac:dyDescent="0.3">
      <c r="A950" s="1" t="s">
        <v>739</v>
      </c>
      <c r="B950" s="1" t="s">
        <v>110</v>
      </c>
      <c r="C950" s="1" t="s">
        <v>660</v>
      </c>
      <c r="D950" s="1" t="s">
        <v>661</v>
      </c>
      <c r="E950" s="1" t="s">
        <v>660</v>
      </c>
      <c r="F950" s="1" t="s">
        <v>661</v>
      </c>
      <c r="G950" s="1" t="s">
        <v>2041</v>
      </c>
      <c r="H950" s="1" t="s">
        <v>2042</v>
      </c>
      <c r="I950" s="1" t="s">
        <v>110</v>
      </c>
      <c r="J950" s="1" t="s">
        <v>229</v>
      </c>
      <c r="K950" s="1" t="s">
        <v>118</v>
      </c>
      <c r="L950" s="1" t="s">
        <v>103</v>
      </c>
      <c r="P950" s="20">
        <v>308448</v>
      </c>
      <c r="Q950" s="20">
        <v>1437960</v>
      </c>
      <c r="R950" s="20">
        <v>2312400</v>
      </c>
      <c r="AB950" s="20">
        <v>4058808</v>
      </c>
      <c r="AC950" s="20">
        <v>237984</v>
      </c>
      <c r="AF950" s="20">
        <v>128904</v>
      </c>
      <c r="AG950" s="20">
        <v>918720</v>
      </c>
      <c r="AH950" s="20">
        <v>1582920</v>
      </c>
      <c r="AR950" s="20">
        <v>2868528</v>
      </c>
      <c r="AS950" s="20">
        <v>0</v>
      </c>
      <c r="AW950" s="20">
        <v>1134960</v>
      </c>
      <c r="AX950" s="20">
        <v>2081088</v>
      </c>
      <c r="BH950" s="28">
        <v>3216048</v>
      </c>
      <c r="BI950" s="28">
        <v>10143384</v>
      </c>
    </row>
    <row r="951" spans="1:61" hidden="1" x14ac:dyDescent="0.3">
      <c r="A951" s="1" t="s">
        <v>739</v>
      </c>
      <c r="B951" s="1" t="s">
        <v>110</v>
      </c>
      <c r="C951" s="1" t="s">
        <v>660</v>
      </c>
      <c r="D951" s="1" t="s">
        <v>661</v>
      </c>
      <c r="E951" s="1" t="s">
        <v>660</v>
      </c>
      <c r="F951" s="1" t="s">
        <v>661</v>
      </c>
      <c r="G951" s="1" t="s">
        <v>2043</v>
      </c>
      <c r="H951" s="1" t="s">
        <v>2044</v>
      </c>
      <c r="I951" s="1" t="s">
        <v>110</v>
      </c>
      <c r="J951" s="1" t="s">
        <v>229</v>
      </c>
      <c r="K951" s="1" t="s">
        <v>118</v>
      </c>
      <c r="L951" s="1" t="s">
        <v>103</v>
      </c>
      <c r="M951" s="20">
        <v>1109112</v>
      </c>
      <c r="P951" s="20">
        <v>538656</v>
      </c>
      <c r="Q951" s="20">
        <v>1130400</v>
      </c>
      <c r="R951" s="20">
        <v>1857600</v>
      </c>
      <c r="AB951" s="20">
        <v>4635768</v>
      </c>
      <c r="AC951" s="20">
        <v>536664</v>
      </c>
      <c r="AF951" s="20">
        <v>243632</v>
      </c>
      <c r="AG951" s="20">
        <v>1781880</v>
      </c>
      <c r="AH951" s="20">
        <v>922800</v>
      </c>
      <c r="AR951" s="20">
        <v>3484976</v>
      </c>
      <c r="AS951" s="20">
        <v>572928</v>
      </c>
      <c r="AV951" s="20">
        <v>87632</v>
      </c>
      <c r="AW951" s="20">
        <v>686040</v>
      </c>
      <c r="AX951" s="20">
        <v>1327152</v>
      </c>
      <c r="BH951" s="28">
        <v>2673752</v>
      </c>
      <c r="BI951" s="28">
        <v>10794496</v>
      </c>
    </row>
    <row r="952" spans="1:61" hidden="1" x14ac:dyDescent="0.3">
      <c r="A952" s="1" t="s">
        <v>739</v>
      </c>
      <c r="B952" s="1" t="s">
        <v>110</v>
      </c>
      <c r="C952" s="1" t="s">
        <v>660</v>
      </c>
      <c r="D952" s="1" t="s">
        <v>661</v>
      </c>
      <c r="E952" s="1" t="s">
        <v>660</v>
      </c>
      <c r="F952" s="1" t="s">
        <v>661</v>
      </c>
      <c r="G952" s="1" t="s">
        <v>2045</v>
      </c>
      <c r="H952" s="1" t="s">
        <v>2046</v>
      </c>
      <c r="I952" s="1" t="s">
        <v>110</v>
      </c>
      <c r="J952" s="1" t="s">
        <v>229</v>
      </c>
      <c r="K952" s="1" t="s">
        <v>118</v>
      </c>
      <c r="L952" s="1" t="s">
        <v>103</v>
      </c>
      <c r="M952" s="20">
        <v>740082</v>
      </c>
      <c r="P952" s="20">
        <v>198816</v>
      </c>
      <c r="Q952" s="20">
        <v>416160</v>
      </c>
      <c r="R952" s="20">
        <v>314400</v>
      </c>
      <c r="AB952" s="20">
        <v>1669458</v>
      </c>
      <c r="AG952" s="20">
        <v>1279440</v>
      </c>
      <c r="AH952" s="20">
        <v>758568</v>
      </c>
      <c r="AR952" s="20">
        <v>2038008</v>
      </c>
      <c r="AS952" s="20">
        <v>1138140</v>
      </c>
      <c r="AW952" s="20">
        <v>416160</v>
      </c>
      <c r="AX952" s="20">
        <v>486000</v>
      </c>
      <c r="BH952" s="28">
        <v>2040300</v>
      </c>
      <c r="BI952" s="28">
        <v>5747766</v>
      </c>
    </row>
    <row r="953" spans="1:61" hidden="1" x14ac:dyDescent="0.3">
      <c r="A953" s="1" t="s">
        <v>739</v>
      </c>
      <c r="B953" s="1" t="s">
        <v>110</v>
      </c>
      <c r="C953" s="1" t="s">
        <v>660</v>
      </c>
      <c r="D953" s="1" t="s">
        <v>661</v>
      </c>
      <c r="E953" s="1" t="s">
        <v>660</v>
      </c>
      <c r="F953" s="1" t="s">
        <v>661</v>
      </c>
      <c r="G953" s="1" t="s">
        <v>2047</v>
      </c>
      <c r="H953" s="1" t="s">
        <v>2048</v>
      </c>
      <c r="I953" s="1" t="s">
        <v>110</v>
      </c>
      <c r="J953" s="1" t="s">
        <v>229</v>
      </c>
      <c r="K953" s="1" t="s">
        <v>118</v>
      </c>
      <c r="L953" s="1" t="s">
        <v>103</v>
      </c>
      <c r="M953" s="20">
        <v>396900</v>
      </c>
      <c r="P953" s="20">
        <v>99408</v>
      </c>
      <c r="Q953" s="20">
        <v>1069080</v>
      </c>
      <c r="R953" s="20">
        <v>1694400</v>
      </c>
      <c r="AB953" s="20">
        <v>3259788</v>
      </c>
      <c r="AC953" s="20">
        <v>632120</v>
      </c>
      <c r="AG953" s="20">
        <v>1462920</v>
      </c>
      <c r="AH953" s="20">
        <v>1699152</v>
      </c>
      <c r="AR953" s="20">
        <v>3794192</v>
      </c>
      <c r="AW953" s="20">
        <v>1104480</v>
      </c>
      <c r="AX953" s="20">
        <v>1779144</v>
      </c>
      <c r="BH953" s="28">
        <v>2883624</v>
      </c>
      <c r="BI953" s="28">
        <v>9937604</v>
      </c>
    </row>
    <row r="954" spans="1:61" hidden="1" x14ac:dyDescent="0.3">
      <c r="A954" s="1" t="s">
        <v>739</v>
      </c>
      <c r="B954" s="1" t="s">
        <v>110</v>
      </c>
      <c r="C954" s="1" t="s">
        <v>660</v>
      </c>
      <c r="D954" s="1" t="s">
        <v>661</v>
      </c>
      <c r="E954" s="1" t="s">
        <v>660</v>
      </c>
      <c r="F954" s="1" t="s">
        <v>661</v>
      </c>
      <c r="G954" s="1" t="s">
        <v>2049</v>
      </c>
      <c r="H954" s="1" t="s">
        <v>2050</v>
      </c>
      <c r="I954" s="1" t="s">
        <v>110</v>
      </c>
      <c r="J954" s="1" t="s">
        <v>229</v>
      </c>
      <c r="K954" s="1" t="s">
        <v>118</v>
      </c>
      <c r="L954" s="1" t="s">
        <v>103</v>
      </c>
      <c r="M954" s="20">
        <v>827670</v>
      </c>
      <c r="P954" s="20">
        <v>104520</v>
      </c>
      <c r="Q954" s="20">
        <v>968160</v>
      </c>
      <c r="R954" s="20">
        <v>1936800</v>
      </c>
      <c r="AB954" s="20">
        <v>3837150</v>
      </c>
      <c r="AC954" s="20">
        <v>1670484</v>
      </c>
      <c r="AG954" s="20">
        <v>1825680</v>
      </c>
      <c r="AH954" s="20">
        <v>465600</v>
      </c>
      <c r="AR954" s="20">
        <v>3961764</v>
      </c>
      <c r="AS954" s="20">
        <v>355200</v>
      </c>
      <c r="AV954" s="20">
        <v>144296</v>
      </c>
      <c r="AW954" s="20">
        <v>1594800</v>
      </c>
      <c r="AX954" s="20">
        <v>1147152</v>
      </c>
      <c r="BH954" s="28">
        <v>3241448</v>
      </c>
      <c r="BI954" s="28">
        <v>11040362</v>
      </c>
    </row>
    <row r="955" spans="1:61" hidden="1" x14ac:dyDescent="0.3">
      <c r="A955" s="1" t="s">
        <v>739</v>
      </c>
      <c r="B955" s="1" t="s">
        <v>110</v>
      </c>
      <c r="C955" s="1" t="s">
        <v>660</v>
      </c>
      <c r="D955" s="1" t="s">
        <v>661</v>
      </c>
      <c r="E955" s="1" t="s">
        <v>660</v>
      </c>
      <c r="F955" s="1" t="s">
        <v>661</v>
      </c>
      <c r="G955" s="1" t="s">
        <v>2051</v>
      </c>
      <c r="H955" s="1" t="s">
        <v>2052</v>
      </c>
      <c r="I955" s="1" t="s">
        <v>110</v>
      </c>
      <c r="J955" s="1" t="s">
        <v>229</v>
      </c>
      <c r="K955" s="1" t="s">
        <v>118</v>
      </c>
      <c r="L955" s="1" t="s">
        <v>103</v>
      </c>
      <c r="M955" s="20">
        <v>725262</v>
      </c>
      <c r="P955" s="20">
        <v>663320</v>
      </c>
      <c r="Q955" s="20">
        <v>2566320</v>
      </c>
      <c r="R955" s="20">
        <v>2677200</v>
      </c>
      <c r="AB955" s="20">
        <v>6632102</v>
      </c>
      <c r="AF955" s="20">
        <v>343568</v>
      </c>
      <c r="AG955" s="20">
        <v>2775960</v>
      </c>
      <c r="AH955" s="20">
        <v>2362800</v>
      </c>
      <c r="AR955" s="20">
        <v>5482328</v>
      </c>
      <c r="AS955" s="20">
        <v>597360</v>
      </c>
      <c r="AV955" s="20">
        <v>431096</v>
      </c>
      <c r="AW955" s="20">
        <v>1649280</v>
      </c>
      <c r="AX955" s="20">
        <v>3333912</v>
      </c>
      <c r="BH955" s="28">
        <v>6011648</v>
      </c>
      <c r="BI955" s="28">
        <v>18126078</v>
      </c>
    </row>
    <row r="956" spans="1:61" hidden="1" x14ac:dyDescent="0.3">
      <c r="A956" s="1" t="s">
        <v>739</v>
      </c>
      <c r="B956" s="1" t="s">
        <v>110</v>
      </c>
      <c r="C956" s="1" t="s">
        <v>660</v>
      </c>
      <c r="D956" s="1" t="s">
        <v>661</v>
      </c>
      <c r="E956" s="1" t="s">
        <v>660</v>
      </c>
      <c r="F956" s="1" t="s">
        <v>661</v>
      </c>
      <c r="G956" s="1" t="s">
        <v>2053</v>
      </c>
      <c r="H956" s="1" t="s">
        <v>2054</v>
      </c>
      <c r="I956" s="1" t="s">
        <v>110</v>
      </c>
      <c r="J956" s="1" t="s">
        <v>229</v>
      </c>
      <c r="K956" s="1" t="s">
        <v>118</v>
      </c>
      <c r="L956" s="1" t="s">
        <v>103</v>
      </c>
      <c r="M956" s="20">
        <v>396900</v>
      </c>
      <c r="P956" s="20">
        <v>266520</v>
      </c>
      <c r="Q956" s="20">
        <v>1712400</v>
      </c>
      <c r="R956" s="20">
        <v>1388400</v>
      </c>
      <c r="AB956" s="20">
        <v>3764220</v>
      </c>
      <c r="AC956" s="20">
        <v>79328</v>
      </c>
      <c r="AF956" s="20">
        <v>235320</v>
      </c>
      <c r="AG956" s="20">
        <v>947040</v>
      </c>
      <c r="AH956" s="20">
        <v>2450352</v>
      </c>
      <c r="AR956" s="20">
        <v>3712040</v>
      </c>
      <c r="AS956" s="20">
        <v>1076680</v>
      </c>
      <c r="AV956" s="20">
        <v>243632</v>
      </c>
      <c r="AW956" s="20">
        <v>1114920</v>
      </c>
      <c r="AX956" s="20">
        <v>2033328</v>
      </c>
      <c r="BH956" s="28">
        <v>4468560</v>
      </c>
      <c r="BI956" s="28">
        <v>11944820</v>
      </c>
    </row>
    <row r="957" spans="1:61" hidden="1" x14ac:dyDescent="0.3">
      <c r="A957" s="1" t="s">
        <v>739</v>
      </c>
      <c r="B957" s="1" t="s">
        <v>110</v>
      </c>
      <c r="C957" s="1" t="s">
        <v>660</v>
      </c>
      <c r="D957" s="1" t="s">
        <v>661</v>
      </c>
      <c r="E957" s="1" t="s">
        <v>660</v>
      </c>
      <c r="F957" s="1" t="s">
        <v>661</v>
      </c>
      <c r="G957" s="1" t="s">
        <v>2055</v>
      </c>
      <c r="H957" s="1" t="s">
        <v>2056</v>
      </c>
      <c r="I957" s="1" t="s">
        <v>110</v>
      </c>
      <c r="J957" s="1" t="s">
        <v>229</v>
      </c>
      <c r="K957" s="1" t="s">
        <v>118</v>
      </c>
      <c r="L957" s="1" t="s">
        <v>103</v>
      </c>
      <c r="M957" s="20">
        <v>132300</v>
      </c>
      <c r="P957" s="20">
        <v>209040</v>
      </c>
      <c r="Q957" s="20">
        <v>3003600</v>
      </c>
      <c r="R957" s="20">
        <v>2172000</v>
      </c>
      <c r="AB957" s="20">
        <v>5516940</v>
      </c>
      <c r="AC957" s="20">
        <v>790776</v>
      </c>
      <c r="AF957" s="20">
        <v>233424</v>
      </c>
      <c r="AG957" s="20">
        <v>3415560</v>
      </c>
      <c r="AH957" s="20">
        <v>2210136</v>
      </c>
      <c r="AR957" s="20">
        <v>6649896</v>
      </c>
      <c r="AS957" s="20">
        <v>1405156</v>
      </c>
      <c r="AW957" s="20">
        <v>3059160</v>
      </c>
      <c r="AX957" s="20">
        <v>2720184</v>
      </c>
      <c r="BH957" s="28">
        <v>7184500</v>
      </c>
      <c r="BI957" s="28">
        <v>19351336</v>
      </c>
    </row>
    <row r="958" spans="1:61" hidden="1" x14ac:dyDescent="0.3">
      <c r="A958" s="1" t="s">
        <v>739</v>
      </c>
      <c r="B958" s="1" t="s">
        <v>110</v>
      </c>
      <c r="C958" s="1" t="s">
        <v>660</v>
      </c>
      <c r="D958" s="1" t="s">
        <v>661</v>
      </c>
      <c r="E958" s="1" t="s">
        <v>660</v>
      </c>
      <c r="F958" s="1" t="s">
        <v>661</v>
      </c>
      <c r="G958" s="1" t="s">
        <v>2057</v>
      </c>
      <c r="H958" s="1" t="s">
        <v>2058</v>
      </c>
      <c r="I958" s="1" t="s">
        <v>110</v>
      </c>
      <c r="J958" s="1" t="s">
        <v>229</v>
      </c>
      <c r="K958" s="1" t="s">
        <v>118</v>
      </c>
      <c r="L958" s="1" t="s">
        <v>103</v>
      </c>
      <c r="Q958" s="20">
        <v>457920</v>
      </c>
      <c r="R958" s="20">
        <v>486000</v>
      </c>
      <c r="AB958" s="20">
        <v>943920</v>
      </c>
      <c r="AC958" s="20">
        <v>237984</v>
      </c>
      <c r="AG958" s="20">
        <v>725040</v>
      </c>
      <c r="AH958" s="20">
        <v>921768</v>
      </c>
      <c r="AR958" s="20">
        <v>1884792</v>
      </c>
      <c r="AV958" s="20">
        <v>144296</v>
      </c>
      <c r="AW958" s="20">
        <v>637920</v>
      </c>
      <c r="AX958" s="20">
        <v>886176</v>
      </c>
      <c r="BH958" s="28">
        <v>1668392</v>
      </c>
      <c r="BI958" s="28">
        <v>4497104</v>
      </c>
    </row>
    <row r="959" spans="1:61" hidden="1" x14ac:dyDescent="0.3">
      <c r="A959" s="1" t="s">
        <v>739</v>
      </c>
      <c r="B959" s="1" t="s">
        <v>110</v>
      </c>
      <c r="C959" s="1" t="s">
        <v>660</v>
      </c>
      <c r="D959" s="1" t="s">
        <v>661</v>
      </c>
      <c r="E959" s="1" t="s">
        <v>660</v>
      </c>
      <c r="F959" s="1" t="s">
        <v>661</v>
      </c>
      <c r="G959" s="1" t="s">
        <v>2059</v>
      </c>
      <c r="H959" s="1" t="s">
        <v>2060</v>
      </c>
      <c r="I959" s="1" t="s">
        <v>110</v>
      </c>
      <c r="J959" s="1" t="s">
        <v>229</v>
      </c>
      <c r="K959" s="1" t="s">
        <v>118</v>
      </c>
      <c r="L959" s="1" t="s">
        <v>103</v>
      </c>
      <c r="M959" s="20">
        <v>132300</v>
      </c>
      <c r="P959" s="20">
        <v>399720</v>
      </c>
      <c r="Q959" s="20">
        <v>1173600</v>
      </c>
      <c r="R959" s="20">
        <v>1514400</v>
      </c>
      <c r="AB959" s="20">
        <v>3220020</v>
      </c>
      <c r="AG959" s="20">
        <v>1971480</v>
      </c>
      <c r="AH959" s="20">
        <v>890352</v>
      </c>
      <c r="AR959" s="20">
        <v>2861832</v>
      </c>
      <c r="AV959" s="20">
        <v>262496</v>
      </c>
      <c r="AW959" s="20">
        <v>767400</v>
      </c>
      <c r="AX959" s="20">
        <v>1449096</v>
      </c>
      <c r="BH959" s="28">
        <v>2478992</v>
      </c>
      <c r="BI959" s="28">
        <v>8560844</v>
      </c>
    </row>
    <row r="960" spans="1:61" hidden="1" x14ac:dyDescent="0.3">
      <c r="A960" s="1" t="s">
        <v>739</v>
      </c>
      <c r="B960" s="1" t="s">
        <v>110</v>
      </c>
      <c r="C960" s="1" t="s">
        <v>660</v>
      </c>
      <c r="D960" s="1" t="s">
        <v>661</v>
      </c>
      <c r="E960" s="1" t="s">
        <v>660</v>
      </c>
      <c r="F960" s="1" t="s">
        <v>661</v>
      </c>
      <c r="G960" s="1" t="s">
        <v>2061</v>
      </c>
      <c r="H960" s="1" t="s">
        <v>2062</v>
      </c>
      <c r="I960" s="1" t="s">
        <v>110</v>
      </c>
      <c r="J960" s="1" t="s">
        <v>229</v>
      </c>
      <c r="K960" s="1" t="s">
        <v>118</v>
      </c>
      <c r="L960" s="1" t="s">
        <v>103</v>
      </c>
      <c r="M960" s="20">
        <v>298470</v>
      </c>
      <c r="P960" s="20">
        <v>371040</v>
      </c>
      <c r="Q960" s="20">
        <v>1820520</v>
      </c>
      <c r="R960" s="20">
        <v>1778400</v>
      </c>
      <c r="AB960" s="20">
        <v>4268430</v>
      </c>
      <c r="AC960" s="20">
        <v>237984</v>
      </c>
      <c r="AF960" s="20">
        <v>901160</v>
      </c>
      <c r="AG960" s="20">
        <v>1648920</v>
      </c>
      <c r="AH960" s="20">
        <v>1178520</v>
      </c>
      <c r="AR960" s="20">
        <v>3966584</v>
      </c>
      <c r="AV960" s="20">
        <v>362176</v>
      </c>
      <c r="AW960" s="20">
        <v>1388880</v>
      </c>
      <c r="AX960" s="20">
        <v>1297272</v>
      </c>
      <c r="BH960" s="28">
        <v>3048328</v>
      </c>
      <c r="BI960" s="28">
        <v>11283342</v>
      </c>
    </row>
    <row r="961" spans="1:61" hidden="1" x14ac:dyDescent="0.3">
      <c r="A961" s="1" t="s">
        <v>739</v>
      </c>
      <c r="B961" s="1" t="s">
        <v>110</v>
      </c>
      <c r="C961" s="1" t="s">
        <v>660</v>
      </c>
      <c r="D961" s="1" t="s">
        <v>661</v>
      </c>
      <c r="E961" s="1" t="s">
        <v>660</v>
      </c>
      <c r="F961" s="1" t="s">
        <v>661</v>
      </c>
      <c r="G961" s="1" t="s">
        <v>2063</v>
      </c>
      <c r="H961" s="1" t="s">
        <v>2064</v>
      </c>
      <c r="I961" s="1" t="s">
        <v>110</v>
      </c>
      <c r="J961" s="1" t="s">
        <v>229</v>
      </c>
      <c r="K961" s="1" t="s">
        <v>118</v>
      </c>
      <c r="L961" s="1" t="s">
        <v>103</v>
      </c>
      <c r="M961" s="20">
        <v>592962</v>
      </c>
      <c r="Q961" s="20">
        <v>2705280</v>
      </c>
      <c r="R961" s="20">
        <v>2502000</v>
      </c>
      <c r="AB961" s="20">
        <v>5800242</v>
      </c>
      <c r="AC961" s="20">
        <v>237984</v>
      </c>
      <c r="AG961" s="20">
        <v>2941080</v>
      </c>
      <c r="AH961" s="20">
        <v>2150568</v>
      </c>
      <c r="AR961" s="20">
        <v>5329632</v>
      </c>
      <c r="AS961" s="20">
        <v>1189680</v>
      </c>
      <c r="AW961" s="20">
        <v>1883760</v>
      </c>
      <c r="AX961" s="20">
        <v>2672112</v>
      </c>
      <c r="BH961" s="28">
        <v>5745552</v>
      </c>
      <c r="BI961" s="28">
        <v>16875426</v>
      </c>
    </row>
    <row r="962" spans="1:61" hidden="1" x14ac:dyDescent="0.3">
      <c r="A962" s="1" t="s">
        <v>739</v>
      </c>
      <c r="B962" s="1" t="s">
        <v>110</v>
      </c>
      <c r="C962" s="1" t="s">
        <v>660</v>
      </c>
      <c r="D962" s="1" t="s">
        <v>661</v>
      </c>
      <c r="E962" s="1" t="s">
        <v>660</v>
      </c>
      <c r="F962" s="1" t="s">
        <v>661</v>
      </c>
      <c r="G962" s="1" t="s">
        <v>2065</v>
      </c>
      <c r="H962" s="1" t="s">
        <v>2066</v>
      </c>
      <c r="I962" s="1" t="s">
        <v>110</v>
      </c>
      <c r="J962" s="1" t="s">
        <v>229</v>
      </c>
      <c r="K962" s="1" t="s">
        <v>118</v>
      </c>
      <c r="L962" s="1" t="s">
        <v>103</v>
      </c>
      <c r="P962" s="20">
        <v>266520</v>
      </c>
      <c r="Q962" s="20">
        <v>1293120</v>
      </c>
      <c r="R962" s="20">
        <v>856800</v>
      </c>
      <c r="AB962" s="20">
        <v>2416440</v>
      </c>
      <c r="AC962" s="20">
        <v>237984</v>
      </c>
      <c r="AF962" s="20">
        <v>104520</v>
      </c>
      <c r="AG962" s="20">
        <v>797880</v>
      </c>
      <c r="AH962" s="20">
        <v>892968</v>
      </c>
      <c r="AR962" s="20">
        <v>2033352</v>
      </c>
      <c r="AW962" s="20">
        <v>1060560</v>
      </c>
      <c r="AX962" s="20">
        <v>718752</v>
      </c>
      <c r="BH962" s="28">
        <v>1779312</v>
      </c>
      <c r="BI962" s="28">
        <v>6229104</v>
      </c>
    </row>
    <row r="963" spans="1:61" hidden="1" x14ac:dyDescent="0.3">
      <c r="A963" s="1" t="s">
        <v>739</v>
      </c>
      <c r="B963" s="1" t="s">
        <v>110</v>
      </c>
      <c r="C963" s="1" t="s">
        <v>660</v>
      </c>
      <c r="D963" s="1" t="s">
        <v>661</v>
      </c>
      <c r="E963" s="1" t="s">
        <v>660</v>
      </c>
      <c r="F963" s="1" t="s">
        <v>661</v>
      </c>
      <c r="G963" s="1" t="s">
        <v>2067</v>
      </c>
      <c r="H963" s="1" t="s">
        <v>2068</v>
      </c>
      <c r="I963" s="1" t="s">
        <v>110</v>
      </c>
      <c r="J963" s="1" t="s">
        <v>229</v>
      </c>
      <c r="K963" s="1" t="s">
        <v>118</v>
      </c>
      <c r="L963" s="1" t="s">
        <v>103</v>
      </c>
      <c r="M963" s="20">
        <v>426792</v>
      </c>
      <c r="Q963" s="20">
        <v>400680</v>
      </c>
      <c r="R963" s="20">
        <v>600000</v>
      </c>
      <c r="AB963" s="20">
        <v>1427472</v>
      </c>
      <c r="AC963" s="20">
        <v>762812</v>
      </c>
      <c r="AF963" s="20">
        <v>328800</v>
      </c>
      <c r="AG963" s="20">
        <v>739200</v>
      </c>
      <c r="AH963" s="20">
        <v>1035768</v>
      </c>
      <c r="AR963" s="20">
        <v>2866580</v>
      </c>
      <c r="AS963" s="20">
        <v>556684</v>
      </c>
      <c r="AW963" s="20">
        <v>503880</v>
      </c>
      <c r="AX963" s="20">
        <v>892968</v>
      </c>
      <c r="BH963" s="28">
        <v>1953532</v>
      </c>
      <c r="BI963" s="28">
        <v>6247584</v>
      </c>
    </row>
    <row r="964" spans="1:61" hidden="1" x14ac:dyDescent="0.3">
      <c r="A964" s="1" t="s">
        <v>739</v>
      </c>
      <c r="B964" s="1" t="s">
        <v>110</v>
      </c>
      <c r="C964" s="1" t="s">
        <v>660</v>
      </c>
      <c r="D964" s="1" t="s">
        <v>661</v>
      </c>
      <c r="E964" s="1" t="s">
        <v>660</v>
      </c>
      <c r="F964" s="1" t="s">
        <v>661</v>
      </c>
      <c r="G964" s="1" t="s">
        <v>2069</v>
      </c>
      <c r="H964" s="1" t="s">
        <v>2070</v>
      </c>
      <c r="I964" s="1" t="s">
        <v>110</v>
      </c>
      <c r="J964" s="1" t="s">
        <v>229</v>
      </c>
      <c r="K964" s="1" t="s">
        <v>118</v>
      </c>
      <c r="L964" s="1" t="s">
        <v>103</v>
      </c>
      <c r="P964" s="20">
        <v>104520</v>
      </c>
      <c r="Q964" s="20">
        <v>1367760</v>
      </c>
      <c r="R964" s="20">
        <v>885600</v>
      </c>
      <c r="AB964" s="20">
        <v>2357880</v>
      </c>
      <c r="AC964" s="20">
        <v>237984</v>
      </c>
      <c r="AF964" s="20">
        <v>260520</v>
      </c>
      <c r="AG964" s="20">
        <v>2412720</v>
      </c>
      <c r="AH964" s="20">
        <v>1978968</v>
      </c>
      <c r="AR964" s="20">
        <v>4890192</v>
      </c>
      <c r="AW964" s="20">
        <v>1270920</v>
      </c>
      <c r="AX964" s="20">
        <v>1193256</v>
      </c>
      <c r="BH964" s="28">
        <v>2464176</v>
      </c>
      <c r="BI964" s="28">
        <v>9712248</v>
      </c>
    </row>
    <row r="965" spans="1:61" hidden="1" x14ac:dyDescent="0.3">
      <c r="A965" s="1" t="s">
        <v>739</v>
      </c>
      <c r="B965" s="1" t="s">
        <v>110</v>
      </c>
      <c r="C965" s="1" t="s">
        <v>660</v>
      </c>
      <c r="D965" s="1" t="s">
        <v>661</v>
      </c>
      <c r="E965" s="1" t="s">
        <v>660</v>
      </c>
      <c r="F965" s="1" t="s">
        <v>661</v>
      </c>
      <c r="G965" s="1" t="s">
        <v>2071</v>
      </c>
      <c r="H965" s="1" t="s">
        <v>2072</v>
      </c>
      <c r="I965" s="1" t="s">
        <v>110</v>
      </c>
      <c r="J965" s="1" t="s">
        <v>229</v>
      </c>
      <c r="K965" s="1" t="s">
        <v>118</v>
      </c>
      <c r="L965" s="1" t="s">
        <v>103</v>
      </c>
      <c r="M965" s="20">
        <v>132300</v>
      </c>
      <c r="P965" s="20">
        <v>266520</v>
      </c>
      <c r="Q965" s="20">
        <v>1632480</v>
      </c>
      <c r="R965" s="20">
        <v>1857600</v>
      </c>
      <c r="AB965" s="20">
        <v>3888900</v>
      </c>
      <c r="AC965" s="20">
        <v>679904</v>
      </c>
      <c r="AF965" s="20">
        <v>348400</v>
      </c>
      <c r="AG965" s="20">
        <v>2488560</v>
      </c>
      <c r="AH965" s="20">
        <v>2299152</v>
      </c>
      <c r="AR965" s="20">
        <v>5816016</v>
      </c>
      <c r="AS965" s="20">
        <v>1071724</v>
      </c>
      <c r="AV965" s="20">
        <v>308696</v>
      </c>
      <c r="AW965" s="20">
        <v>1278600</v>
      </c>
      <c r="AX965" s="20">
        <v>1058856</v>
      </c>
      <c r="BH965" s="28">
        <v>3717876</v>
      </c>
      <c r="BI965" s="28">
        <v>13422792</v>
      </c>
    </row>
    <row r="966" spans="1:61" hidden="1" x14ac:dyDescent="0.3">
      <c r="A966" s="1" t="s">
        <v>739</v>
      </c>
      <c r="B966" s="1" t="s">
        <v>110</v>
      </c>
      <c r="C966" s="1" t="s">
        <v>660</v>
      </c>
      <c r="D966" s="1" t="s">
        <v>661</v>
      </c>
      <c r="E966" s="1" t="s">
        <v>660</v>
      </c>
      <c r="F966" s="1" t="s">
        <v>661</v>
      </c>
      <c r="G966" s="1" t="s">
        <v>2073</v>
      </c>
      <c r="H966" s="1" t="s">
        <v>2074</v>
      </c>
      <c r="I966" s="1" t="s">
        <v>110</v>
      </c>
      <c r="J966" s="1" t="s">
        <v>229</v>
      </c>
      <c r="K966" s="1" t="s">
        <v>118</v>
      </c>
      <c r="L966" s="1" t="s">
        <v>103</v>
      </c>
      <c r="M966" s="20">
        <v>1443470</v>
      </c>
      <c r="P966" s="20">
        <v>209040</v>
      </c>
      <c r="Q966" s="20">
        <v>1593480</v>
      </c>
      <c r="R966" s="20">
        <v>1057200</v>
      </c>
      <c r="AB966" s="20">
        <v>4303190</v>
      </c>
      <c r="AC966" s="20">
        <v>921468</v>
      </c>
      <c r="AF966" s="20">
        <v>128904</v>
      </c>
      <c r="AG966" s="20">
        <v>1904760</v>
      </c>
      <c r="AH966" s="20">
        <v>1262352</v>
      </c>
      <c r="AR966" s="20">
        <v>4217484</v>
      </c>
      <c r="AS966" s="20">
        <v>1295976</v>
      </c>
      <c r="AV966" s="20">
        <v>144296</v>
      </c>
      <c r="AW966" s="20">
        <v>973680</v>
      </c>
      <c r="AX966" s="20">
        <v>1462128</v>
      </c>
      <c r="BH966" s="28">
        <v>3876080</v>
      </c>
      <c r="BI966" s="28">
        <v>12396754</v>
      </c>
    </row>
    <row r="967" spans="1:61" hidden="1" x14ac:dyDescent="0.3">
      <c r="A967" s="1" t="s">
        <v>739</v>
      </c>
      <c r="B967" s="1" t="s">
        <v>110</v>
      </c>
      <c r="C967" s="1" t="s">
        <v>660</v>
      </c>
      <c r="D967" s="1" t="s">
        <v>661</v>
      </c>
      <c r="E967" s="1" t="s">
        <v>660</v>
      </c>
      <c r="F967" s="1" t="s">
        <v>661</v>
      </c>
      <c r="G967" s="1" t="s">
        <v>2075</v>
      </c>
      <c r="H967" s="1" t="s">
        <v>2076</v>
      </c>
      <c r="I967" s="1" t="s">
        <v>110</v>
      </c>
      <c r="J967" s="1" t="s">
        <v>229</v>
      </c>
      <c r="K967" s="1" t="s">
        <v>118</v>
      </c>
      <c r="L967" s="1" t="s">
        <v>103</v>
      </c>
      <c r="M967" s="20">
        <v>799800</v>
      </c>
      <c r="P967" s="20">
        <v>162000</v>
      </c>
      <c r="Q967" s="20">
        <v>1003320</v>
      </c>
      <c r="R967" s="20">
        <v>428400</v>
      </c>
      <c r="AB967" s="20">
        <v>2393520</v>
      </c>
      <c r="AC967" s="20">
        <v>538272</v>
      </c>
      <c r="AF967" s="20">
        <v>347336</v>
      </c>
      <c r="AG967" s="20">
        <v>1310280</v>
      </c>
      <c r="AH967" s="20">
        <v>1441152</v>
      </c>
      <c r="AR967" s="20">
        <v>3637040</v>
      </c>
      <c r="AS967" s="20">
        <v>871698</v>
      </c>
      <c r="AV967" s="20">
        <v>330024</v>
      </c>
      <c r="AW967" s="20">
        <v>1061400</v>
      </c>
      <c r="AX967" s="20">
        <v>1800576</v>
      </c>
      <c r="BH967" s="28">
        <v>4063698</v>
      </c>
      <c r="BI967" s="28">
        <v>10094258</v>
      </c>
    </row>
    <row r="968" spans="1:61" hidden="1" x14ac:dyDescent="0.3">
      <c r="A968" s="1" t="s">
        <v>739</v>
      </c>
      <c r="B968" s="1" t="s">
        <v>110</v>
      </c>
      <c r="C968" s="1" t="s">
        <v>660</v>
      </c>
      <c r="D968" s="1" t="s">
        <v>661</v>
      </c>
      <c r="E968" s="1" t="s">
        <v>660</v>
      </c>
      <c r="F968" s="1" t="s">
        <v>661</v>
      </c>
      <c r="G968" s="1" t="s">
        <v>2077</v>
      </c>
      <c r="H968" s="1" t="s">
        <v>2078</v>
      </c>
      <c r="I968" s="1" t="s">
        <v>110</v>
      </c>
      <c r="J968" s="1" t="s">
        <v>229</v>
      </c>
      <c r="K968" s="1" t="s">
        <v>118</v>
      </c>
      <c r="L968" s="1" t="s">
        <v>103</v>
      </c>
      <c r="M968" s="20">
        <v>294492</v>
      </c>
      <c r="P968" s="20">
        <v>104520</v>
      </c>
      <c r="Q968" s="20">
        <v>152640</v>
      </c>
      <c r="R968" s="20">
        <v>285600</v>
      </c>
      <c r="AB968" s="20">
        <v>837252</v>
      </c>
      <c r="AC968" s="20">
        <v>198320</v>
      </c>
      <c r="AF968" s="20">
        <v>164400</v>
      </c>
      <c r="AG968" s="20">
        <v>637440</v>
      </c>
      <c r="AR968" s="20">
        <v>1000160</v>
      </c>
      <c r="AS968" s="20">
        <v>1397940</v>
      </c>
      <c r="AW968" s="20">
        <v>255840</v>
      </c>
      <c r="AX968" s="20">
        <v>1305672</v>
      </c>
      <c r="BH968" s="28">
        <v>2959452</v>
      </c>
      <c r="BI968" s="28">
        <v>4796864</v>
      </c>
    </row>
    <row r="969" spans="1:61" hidden="1" x14ac:dyDescent="0.3">
      <c r="A969" s="1" t="s">
        <v>739</v>
      </c>
      <c r="B969" s="1" t="s">
        <v>110</v>
      </c>
      <c r="C969" s="1" t="s">
        <v>660</v>
      </c>
      <c r="D969" s="1" t="s">
        <v>661</v>
      </c>
      <c r="E969" s="1" t="s">
        <v>660</v>
      </c>
      <c r="F969" s="1" t="s">
        <v>661</v>
      </c>
      <c r="G969" s="1" t="s">
        <v>2079</v>
      </c>
      <c r="H969" s="1" t="s">
        <v>2080</v>
      </c>
      <c r="I969" s="1" t="s">
        <v>110</v>
      </c>
      <c r="J969" s="1" t="s">
        <v>229</v>
      </c>
      <c r="K969" s="1" t="s">
        <v>118</v>
      </c>
      <c r="L969" s="1" t="s">
        <v>103</v>
      </c>
      <c r="M969" s="20">
        <v>132300</v>
      </c>
      <c r="P969" s="20">
        <v>104520</v>
      </c>
      <c r="Q969" s="20">
        <v>763800</v>
      </c>
      <c r="R969" s="20">
        <v>1866000</v>
      </c>
      <c r="AB969" s="20">
        <v>2866620</v>
      </c>
      <c r="AC969" s="20">
        <v>1128984</v>
      </c>
      <c r="AG969" s="20">
        <v>1017840</v>
      </c>
      <c r="AH969" s="20">
        <v>1934520</v>
      </c>
      <c r="AR969" s="20">
        <v>4081344</v>
      </c>
      <c r="AW969" s="20">
        <v>1207320</v>
      </c>
      <c r="AX969" s="20">
        <v>3299904</v>
      </c>
      <c r="BH969" s="28">
        <v>4507224</v>
      </c>
      <c r="BI969" s="28">
        <v>11455188</v>
      </c>
    </row>
    <row r="970" spans="1:61" hidden="1" x14ac:dyDescent="0.3">
      <c r="A970" s="1" t="s">
        <v>739</v>
      </c>
      <c r="B970" s="1" t="s">
        <v>110</v>
      </c>
      <c r="C970" s="1" t="s">
        <v>660</v>
      </c>
      <c r="D970" s="1" t="s">
        <v>661</v>
      </c>
      <c r="E970" s="1" t="s">
        <v>660</v>
      </c>
      <c r="F970" s="1" t="s">
        <v>661</v>
      </c>
      <c r="G970" s="1" t="s">
        <v>2081</v>
      </c>
      <c r="H970" s="1" t="s">
        <v>2082</v>
      </c>
      <c r="I970" s="1" t="s">
        <v>110</v>
      </c>
      <c r="J970" s="1" t="s">
        <v>229</v>
      </c>
      <c r="K970" s="1" t="s">
        <v>118</v>
      </c>
      <c r="L970" s="1" t="s">
        <v>103</v>
      </c>
      <c r="M970" s="20">
        <v>396900</v>
      </c>
      <c r="Q970" s="20">
        <v>2134080</v>
      </c>
      <c r="R970" s="20">
        <v>1200000</v>
      </c>
      <c r="AB970" s="20">
        <v>3730980</v>
      </c>
      <c r="AC970" s="20">
        <v>600576</v>
      </c>
      <c r="AF970" s="20">
        <v>87632</v>
      </c>
      <c r="AG970" s="20">
        <v>1969560</v>
      </c>
      <c r="AH970" s="20">
        <v>1467336</v>
      </c>
      <c r="AR970" s="20">
        <v>4125104</v>
      </c>
      <c r="AS970" s="20">
        <v>426108</v>
      </c>
      <c r="AV970" s="20">
        <v>144296</v>
      </c>
      <c r="AW970" s="20">
        <v>1386600</v>
      </c>
      <c r="AX970" s="20">
        <v>757488</v>
      </c>
      <c r="BH970" s="28">
        <v>2714492</v>
      </c>
      <c r="BI970" s="28">
        <v>10570576</v>
      </c>
    </row>
    <row r="971" spans="1:61" hidden="1" x14ac:dyDescent="0.3">
      <c r="A971" s="1" t="s">
        <v>739</v>
      </c>
      <c r="B971" s="1" t="s">
        <v>110</v>
      </c>
      <c r="C971" s="1" t="s">
        <v>660</v>
      </c>
      <c r="D971" s="1" t="s">
        <v>661</v>
      </c>
      <c r="E971" s="1" t="s">
        <v>660</v>
      </c>
      <c r="F971" s="1" t="s">
        <v>661</v>
      </c>
      <c r="G971" s="1" t="s">
        <v>2083</v>
      </c>
      <c r="H971" s="1" t="s">
        <v>2084</v>
      </c>
      <c r="I971" s="1" t="s">
        <v>110</v>
      </c>
      <c r="J971" s="1" t="s">
        <v>229</v>
      </c>
      <c r="K971" s="1" t="s">
        <v>118</v>
      </c>
      <c r="L971" s="1" t="s">
        <v>103</v>
      </c>
      <c r="P971" s="20">
        <v>104520</v>
      </c>
      <c r="Q971" s="20">
        <v>1142640</v>
      </c>
      <c r="R971" s="20">
        <v>2408400</v>
      </c>
      <c r="AB971" s="20">
        <v>3655560</v>
      </c>
      <c r="AC971" s="20">
        <v>237984</v>
      </c>
      <c r="AF971" s="20">
        <v>495840</v>
      </c>
      <c r="AG971" s="20">
        <v>1725120</v>
      </c>
      <c r="AH971" s="20">
        <v>2725320</v>
      </c>
      <c r="AR971" s="20">
        <v>5184264</v>
      </c>
      <c r="AS971" s="20">
        <v>812326</v>
      </c>
      <c r="AV971" s="20">
        <v>98096</v>
      </c>
      <c r="AW971" s="20">
        <v>1279080</v>
      </c>
      <c r="AX971" s="20">
        <v>2668920</v>
      </c>
      <c r="BH971" s="28">
        <v>4858422</v>
      </c>
      <c r="BI971" s="28">
        <v>13698246</v>
      </c>
    </row>
    <row r="972" spans="1:61" hidden="1" x14ac:dyDescent="0.3">
      <c r="A972" s="1" t="s">
        <v>739</v>
      </c>
      <c r="B972" s="1" t="s">
        <v>110</v>
      </c>
      <c r="C972" s="1" t="s">
        <v>660</v>
      </c>
      <c r="D972" s="1" t="s">
        <v>661</v>
      </c>
      <c r="E972" s="1" t="s">
        <v>660</v>
      </c>
      <c r="F972" s="1" t="s">
        <v>661</v>
      </c>
      <c r="G972" s="1" t="s">
        <v>2085</v>
      </c>
      <c r="H972" s="1" t="s">
        <v>2086</v>
      </c>
      <c r="I972" s="1" t="s">
        <v>110</v>
      </c>
      <c r="J972" s="1" t="s">
        <v>229</v>
      </c>
      <c r="K972" s="1" t="s">
        <v>118</v>
      </c>
      <c r="L972" s="1" t="s">
        <v>103</v>
      </c>
      <c r="M972" s="20">
        <v>2262192</v>
      </c>
      <c r="P972" s="20">
        <v>528400</v>
      </c>
      <c r="Q972" s="20">
        <v>1698960</v>
      </c>
      <c r="R972" s="20">
        <v>1572000</v>
      </c>
      <c r="AB972" s="20">
        <v>6061552</v>
      </c>
      <c r="AC972" s="20">
        <v>923136</v>
      </c>
      <c r="AG972" s="20">
        <v>2177760</v>
      </c>
      <c r="AH972" s="20">
        <v>2211720</v>
      </c>
      <c r="AR972" s="20">
        <v>5312616</v>
      </c>
      <c r="AS972" s="20">
        <v>1576992</v>
      </c>
      <c r="AW972" s="20">
        <v>1084560</v>
      </c>
      <c r="AX972" s="20">
        <v>1657200</v>
      </c>
      <c r="BH972" s="28">
        <v>4318752</v>
      </c>
      <c r="BI972" s="28">
        <v>15692920</v>
      </c>
    </row>
    <row r="973" spans="1:61" hidden="1" x14ac:dyDescent="0.3">
      <c r="A973" s="1" t="s">
        <v>739</v>
      </c>
      <c r="B973" s="1" t="s">
        <v>110</v>
      </c>
      <c r="C973" s="1" t="s">
        <v>660</v>
      </c>
      <c r="D973" s="1" t="s">
        <v>661</v>
      </c>
      <c r="E973" s="1" t="s">
        <v>660</v>
      </c>
      <c r="F973" s="1" t="s">
        <v>661</v>
      </c>
      <c r="G973" s="1" t="s">
        <v>2087</v>
      </c>
      <c r="H973" s="1" t="s">
        <v>2088</v>
      </c>
      <c r="I973" s="1" t="s">
        <v>110</v>
      </c>
      <c r="J973" s="1" t="s">
        <v>229</v>
      </c>
      <c r="K973" s="1" t="s">
        <v>118</v>
      </c>
      <c r="L973" s="1" t="s">
        <v>103</v>
      </c>
      <c r="P973" s="20">
        <v>296920</v>
      </c>
      <c r="Q973" s="20">
        <v>1668240</v>
      </c>
      <c r="R973" s="20">
        <v>1200000</v>
      </c>
      <c r="AB973" s="20">
        <v>3165160</v>
      </c>
      <c r="AC973" s="20">
        <v>237984</v>
      </c>
      <c r="AF973" s="20">
        <v>401440</v>
      </c>
      <c r="AG973" s="20">
        <v>1213440</v>
      </c>
      <c r="AH973" s="20">
        <v>2390136</v>
      </c>
      <c r="AR973" s="20">
        <v>4243000</v>
      </c>
      <c r="AS973" s="20">
        <v>507400</v>
      </c>
      <c r="AV973" s="20">
        <v>144296</v>
      </c>
      <c r="AW973" s="20">
        <v>1968120</v>
      </c>
      <c r="AX973" s="20">
        <v>1977384</v>
      </c>
      <c r="BH973" s="28">
        <v>4597200</v>
      </c>
      <c r="BI973" s="28">
        <v>12005360</v>
      </c>
    </row>
    <row r="974" spans="1:61" hidden="1" x14ac:dyDescent="0.3">
      <c r="A974" s="1" t="s">
        <v>739</v>
      </c>
      <c r="B974" s="1" t="s">
        <v>110</v>
      </c>
      <c r="C974" s="1" t="s">
        <v>660</v>
      </c>
      <c r="D974" s="1" t="s">
        <v>661</v>
      </c>
      <c r="E974" s="1" t="s">
        <v>660</v>
      </c>
      <c r="F974" s="1" t="s">
        <v>661</v>
      </c>
      <c r="G974" s="1" t="s">
        <v>2089</v>
      </c>
      <c r="H974" s="1" t="s">
        <v>2090</v>
      </c>
      <c r="I974" s="1" t="s">
        <v>110</v>
      </c>
      <c r="J974" s="1" t="s">
        <v>229</v>
      </c>
      <c r="K974" s="1" t="s">
        <v>118</v>
      </c>
      <c r="L974" s="1" t="s">
        <v>103</v>
      </c>
      <c r="Q974" s="20">
        <v>1069920</v>
      </c>
      <c r="R974" s="20">
        <v>914400</v>
      </c>
      <c r="AB974" s="20">
        <v>1984320</v>
      </c>
      <c r="AC974" s="20">
        <v>237984</v>
      </c>
      <c r="AG974" s="20">
        <v>815520</v>
      </c>
      <c r="AH974" s="20">
        <v>661152</v>
      </c>
      <c r="AR974" s="20">
        <v>1714656</v>
      </c>
      <c r="AW974" s="20">
        <v>648720</v>
      </c>
      <c r="AX974" s="20">
        <v>600000</v>
      </c>
      <c r="BH974" s="28">
        <v>1248720</v>
      </c>
      <c r="BI974" s="28">
        <v>4947696</v>
      </c>
    </row>
    <row r="975" spans="1:61" hidden="1" x14ac:dyDescent="0.3">
      <c r="A975" s="1" t="s">
        <v>739</v>
      </c>
      <c r="B975" s="1" t="s">
        <v>110</v>
      </c>
      <c r="C975" s="1" t="s">
        <v>660</v>
      </c>
      <c r="D975" s="1" t="s">
        <v>661</v>
      </c>
      <c r="E975" s="1" t="s">
        <v>660</v>
      </c>
      <c r="F975" s="1" t="s">
        <v>661</v>
      </c>
      <c r="G975" s="1" t="s">
        <v>2091</v>
      </c>
      <c r="H975" s="1" t="s">
        <v>2092</v>
      </c>
      <c r="I975" s="1" t="s">
        <v>110</v>
      </c>
      <c r="J975" s="1" t="s">
        <v>229</v>
      </c>
      <c r="K975" s="1" t="s">
        <v>118</v>
      </c>
      <c r="L975" s="1" t="s">
        <v>103</v>
      </c>
      <c r="M975" s="20">
        <v>2117682</v>
      </c>
      <c r="P975" s="20">
        <v>209040</v>
      </c>
      <c r="Q975" s="20">
        <v>1130760</v>
      </c>
      <c r="R975" s="20">
        <v>2130000</v>
      </c>
      <c r="AB975" s="20">
        <v>5587482</v>
      </c>
      <c r="AC975" s="20">
        <v>942290</v>
      </c>
      <c r="AF975" s="20">
        <v>156000</v>
      </c>
      <c r="AG975" s="20">
        <v>949080</v>
      </c>
      <c r="AH975" s="20">
        <v>1813152</v>
      </c>
      <c r="AR975" s="20">
        <v>3860522</v>
      </c>
      <c r="AS975" s="20">
        <v>807264</v>
      </c>
      <c r="AW975" s="20">
        <v>623280</v>
      </c>
      <c r="AX975" s="20">
        <v>2190816</v>
      </c>
      <c r="BH975" s="28">
        <v>3621360</v>
      </c>
      <c r="BI975" s="28">
        <v>13069364</v>
      </c>
    </row>
    <row r="976" spans="1:61" hidden="1" x14ac:dyDescent="0.3">
      <c r="A976" s="1" t="s">
        <v>739</v>
      </c>
      <c r="B976" s="1" t="s">
        <v>110</v>
      </c>
      <c r="C976" s="1" t="s">
        <v>660</v>
      </c>
      <c r="D976" s="1" t="s">
        <v>661</v>
      </c>
      <c r="E976" s="1" t="s">
        <v>660</v>
      </c>
      <c r="F976" s="1" t="s">
        <v>661</v>
      </c>
      <c r="G976" s="1" t="s">
        <v>2093</v>
      </c>
      <c r="H976" s="1" t="s">
        <v>2094</v>
      </c>
      <c r="I976" s="1" t="s">
        <v>110</v>
      </c>
      <c r="J976" s="1" t="s">
        <v>229</v>
      </c>
      <c r="K976" s="1" t="s">
        <v>118</v>
      </c>
      <c r="L976" s="1" t="s">
        <v>103</v>
      </c>
      <c r="M976" s="20">
        <v>298470</v>
      </c>
      <c r="P976" s="20">
        <v>104520</v>
      </c>
      <c r="Q976" s="20">
        <v>2677200</v>
      </c>
      <c r="R976" s="20">
        <v>2575200</v>
      </c>
      <c r="AB976" s="20">
        <v>5655390</v>
      </c>
      <c r="AC976" s="20">
        <v>600576</v>
      </c>
      <c r="AF976" s="20">
        <v>260520</v>
      </c>
      <c r="AG976" s="20">
        <v>3091680</v>
      </c>
      <c r="AH976" s="20">
        <v>1874304</v>
      </c>
      <c r="AR976" s="20">
        <v>5827080</v>
      </c>
      <c r="AS976" s="20">
        <v>1495456</v>
      </c>
      <c r="AV976" s="20">
        <v>529192</v>
      </c>
      <c r="AW976" s="20">
        <v>1397520</v>
      </c>
      <c r="AX976" s="20">
        <v>2123376</v>
      </c>
      <c r="BH976" s="28">
        <v>5545544</v>
      </c>
      <c r="BI976" s="28">
        <v>17028014</v>
      </c>
    </row>
    <row r="977" spans="1:61" hidden="1" x14ac:dyDescent="0.3">
      <c r="A977" s="1" t="s">
        <v>739</v>
      </c>
      <c r="B977" s="1" t="s">
        <v>110</v>
      </c>
      <c r="C977" s="1" t="s">
        <v>660</v>
      </c>
      <c r="D977" s="1" t="s">
        <v>661</v>
      </c>
      <c r="E977" s="1" t="s">
        <v>660</v>
      </c>
      <c r="F977" s="1" t="s">
        <v>661</v>
      </c>
      <c r="G977" s="1" t="s">
        <v>2095</v>
      </c>
      <c r="H977" s="1" t="s">
        <v>2096</v>
      </c>
      <c r="I977" s="1" t="s">
        <v>110</v>
      </c>
      <c r="J977" s="1" t="s">
        <v>229</v>
      </c>
      <c r="K977" s="1" t="s">
        <v>118</v>
      </c>
      <c r="L977" s="1" t="s">
        <v>103</v>
      </c>
      <c r="P977" s="20">
        <v>392208</v>
      </c>
      <c r="Q977" s="20">
        <v>920040</v>
      </c>
      <c r="R977" s="20">
        <v>2334000</v>
      </c>
      <c r="AB977" s="20">
        <v>3646248</v>
      </c>
      <c r="AC977" s="20">
        <v>237984</v>
      </c>
      <c r="AF977" s="20">
        <v>192400</v>
      </c>
      <c r="AG977" s="20">
        <v>1111800</v>
      </c>
      <c r="AH977" s="20">
        <v>2038536</v>
      </c>
      <c r="AR977" s="20">
        <v>3580720</v>
      </c>
      <c r="AS977" s="20">
        <v>0</v>
      </c>
      <c r="AV977" s="20">
        <v>418496</v>
      </c>
      <c r="AW977" s="20">
        <v>1072680</v>
      </c>
      <c r="AX977" s="20">
        <v>2013840</v>
      </c>
      <c r="BH977" s="28">
        <v>3505016</v>
      </c>
      <c r="BI977" s="28">
        <v>10731984</v>
      </c>
    </row>
    <row r="978" spans="1:61" hidden="1" x14ac:dyDescent="0.3">
      <c r="A978" s="1" t="s">
        <v>739</v>
      </c>
      <c r="B978" s="1" t="s">
        <v>110</v>
      </c>
      <c r="C978" s="1" t="s">
        <v>660</v>
      </c>
      <c r="D978" s="1" t="s">
        <v>661</v>
      </c>
      <c r="E978" s="1" t="s">
        <v>660</v>
      </c>
      <c r="F978" s="1" t="s">
        <v>661</v>
      </c>
      <c r="G978" s="1" t="s">
        <v>2097</v>
      </c>
      <c r="H978" s="1" t="s">
        <v>2098</v>
      </c>
      <c r="I978" s="1" t="s">
        <v>110</v>
      </c>
      <c r="J978" s="1" t="s">
        <v>229</v>
      </c>
      <c r="K978" s="1" t="s">
        <v>118</v>
      </c>
      <c r="L978" s="1" t="s">
        <v>103</v>
      </c>
      <c r="M978" s="20">
        <v>1657362</v>
      </c>
      <c r="P978" s="20">
        <v>104520</v>
      </c>
      <c r="Q978" s="20">
        <v>1525680</v>
      </c>
      <c r="R978" s="20">
        <v>1995600</v>
      </c>
      <c r="AB978" s="20">
        <v>5283162</v>
      </c>
      <c r="AC978" s="20">
        <v>798896</v>
      </c>
      <c r="AF978" s="20">
        <v>209040</v>
      </c>
      <c r="AG978" s="20">
        <v>1661040</v>
      </c>
      <c r="AH978" s="20">
        <v>2619336</v>
      </c>
      <c r="AR978" s="20">
        <v>5288312</v>
      </c>
      <c r="AS978" s="20">
        <v>1762868</v>
      </c>
      <c r="AW978" s="20">
        <v>1591200</v>
      </c>
      <c r="AX978" s="20">
        <v>2681088</v>
      </c>
      <c r="BH978" s="28">
        <v>6035156</v>
      </c>
      <c r="BI978" s="28">
        <v>16606630</v>
      </c>
    </row>
    <row r="979" spans="1:61" hidden="1" x14ac:dyDescent="0.3">
      <c r="A979" s="1" t="s">
        <v>739</v>
      </c>
      <c r="B979" s="1" t="s">
        <v>110</v>
      </c>
      <c r="C979" s="1" t="s">
        <v>660</v>
      </c>
      <c r="D979" s="1" t="s">
        <v>661</v>
      </c>
      <c r="E979" s="1" t="s">
        <v>660</v>
      </c>
      <c r="F979" s="1" t="s">
        <v>661</v>
      </c>
      <c r="G979" s="1" t="s">
        <v>2099</v>
      </c>
      <c r="H979" s="1" t="s">
        <v>2100</v>
      </c>
      <c r="I979" s="1" t="s">
        <v>110</v>
      </c>
      <c r="J979" s="1" t="s">
        <v>229</v>
      </c>
      <c r="K979" s="1" t="s">
        <v>118</v>
      </c>
      <c r="L979" s="1" t="s">
        <v>103</v>
      </c>
      <c r="M979" s="20">
        <v>399900</v>
      </c>
      <c r="P979" s="20">
        <v>104520</v>
      </c>
      <c r="Q979" s="20">
        <v>1513560</v>
      </c>
      <c r="R979" s="20">
        <v>742800</v>
      </c>
      <c r="AB979" s="20">
        <v>2760780</v>
      </c>
      <c r="AC979" s="20">
        <v>532476</v>
      </c>
      <c r="AG979" s="20">
        <v>1392120</v>
      </c>
      <c r="AH979" s="20">
        <v>777384</v>
      </c>
      <c r="AR979" s="20">
        <v>2701980</v>
      </c>
      <c r="AS979" s="20">
        <v>706124</v>
      </c>
      <c r="AW979" s="20">
        <v>582480</v>
      </c>
      <c r="AX979" s="20">
        <v>1019040</v>
      </c>
      <c r="BH979" s="28">
        <v>2307644</v>
      </c>
      <c r="BI979" s="28">
        <v>7770404</v>
      </c>
    </row>
    <row r="980" spans="1:61" hidden="1" x14ac:dyDescent="0.3">
      <c r="A980" s="1" t="s">
        <v>739</v>
      </c>
      <c r="B980" s="1" t="s">
        <v>110</v>
      </c>
      <c r="C980" s="1" t="s">
        <v>660</v>
      </c>
      <c r="D980" s="1" t="s">
        <v>661</v>
      </c>
      <c r="E980" s="1" t="s">
        <v>660</v>
      </c>
      <c r="F980" s="1" t="s">
        <v>661</v>
      </c>
      <c r="G980" s="1" t="s">
        <v>2101</v>
      </c>
      <c r="H980" s="1" t="s">
        <v>2102</v>
      </c>
      <c r="I980" s="1" t="s">
        <v>110</v>
      </c>
      <c r="J980" s="1" t="s">
        <v>229</v>
      </c>
      <c r="K980" s="1" t="s">
        <v>118</v>
      </c>
      <c r="L980" s="1" t="s">
        <v>103</v>
      </c>
      <c r="P980" s="20">
        <v>575440</v>
      </c>
      <c r="Q980" s="20">
        <v>1500360</v>
      </c>
      <c r="R980" s="20">
        <v>2695200</v>
      </c>
      <c r="AB980" s="20">
        <v>4771000</v>
      </c>
      <c r="AF980" s="20">
        <v>418064</v>
      </c>
      <c r="AG980" s="20">
        <v>1302720</v>
      </c>
      <c r="AH980" s="20">
        <v>2299152</v>
      </c>
      <c r="AR980" s="20">
        <v>4019936</v>
      </c>
      <c r="AS980" s="20">
        <v>298680</v>
      </c>
      <c r="AV980" s="20">
        <v>98096</v>
      </c>
      <c r="AW980" s="20">
        <v>779280</v>
      </c>
      <c r="AX980" s="20">
        <v>1593432</v>
      </c>
      <c r="BH980" s="28">
        <v>2769488</v>
      </c>
      <c r="BI980" s="28">
        <v>11560424</v>
      </c>
    </row>
    <row r="981" spans="1:61" hidden="1" x14ac:dyDescent="0.3">
      <c r="A981" s="1" t="s">
        <v>739</v>
      </c>
      <c r="B981" s="1" t="s">
        <v>110</v>
      </c>
      <c r="C981" s="1" t="s">
        <v>660</v>
      </c>
      <c r="D981" s="1" t="s">
        <v>661</v>
      </c>
      <c r="E981" s="1" t="s">
        <v>660</v>
      </c>
      <c r="F981" s="1" t="s">
        <v>661</v>
      </c>
      <c r="G981" s="1" t="s">
        <v>2103</v>
      </c>
      <c r="H981" s="1" t="s">
        <v>2104</v>
      </c>
      <c r="I981" s="1" t="s">
        <v>110</v>
      </c>
      <c r="J981" s="1" t="s">
        <v>229</v>
      </c>
      <c r="K981" s="1" t="s">
        <v>118</v>
      </c>
      <c r="L981" s="1" t="s">
        <v>103</v>
      </c>
      <c r="Q981" s="20">
        <v>903120</v>
      </c>
      <c r="R981" s="20">
        <v>1380000</v>
      </c>
      <c r="AB981" s="20">
        <v>2283120</v>
      </c>
      <c r="AC981" s="20">
        <v>237984</v>
      </c>
      <c r="AG981" s="20">
        <v>756840</v>
      </c>
      <c r="AH981" s="20">
        <v>1567368</v>
      </c>
      <c r="AR981" s="20">
        <v>2562192</v>
      </c>
      <c r="AW981" s="20">
        <v>782280</v>
      </c>
      <c r="AX981" s="20">
        <v>1215768</v>
      </c>
      <c r="BH981" s="28">
        <v>1998048</v>
      </c>
      <c r="BI981" s="28">
        <v>6843360</v>
      </c>
    </row>
    <row r="982" spans="1:61" hidden="1" x14ac:dyDescent="0.3">
      <c r="A982" s="1" t="s">
        <v>739</v>
      </c>
      <c r="B982" s="1" t="s">
        <v>110</v>
      </c>
      <c r="C982" s="1" t="s">
        <v>660</v>
      </c>
      <c r="D982" s="1" t="s">
        <v>661</v>
      </c>
      <c r="E982" s="1" t="s">
        <v>660</v>
      </c>
      <c r="F982" s="1" t="s">
        <v>661</v>
      </c>
      <c r="G982" s="1" t="s">
        <v>2105</v>
      </c>
      <c r="H982" s="1" t="s">
        <v>2106</v>
      </c>
      <c r="I982" s="1" t="s">
        <v>110</v>
      </c>
      <c r="J982" s="1" t="s">
        <v>229</v>
      </c>
      <c r="K982" s="1" t="s">
        <v>118</v>
      </c>
      <c r="L982" s="1" t="s">
        <v>103</v>
      </c>
      <c r="M982" s="20">
        <v>529200</v>
      </c>
      <c r="P982" s="20">
        <v>104520</v>
      </c>
      <c r="Q982" s="20">
        <v>945600</v>
      </c>
      <c r="R982" s="20">
        <v>285600</v>
      </c>
      <c r="AB982" s="20">
        <v>1864920</v>
      </c>
      <c r="AC982" s="20">
        <v>237984</v>
      </c>
      <c r="AG982" s="20">
        <v>469800</v>
      </c>
      <c r="AH982" s="20">
        <v>264168</v>
      </c>
      <c r="AR982" s="20">
        <v>971952</v>
      </c>
      <c r="AS982" s="20">
        <v>463600</v>
      </c>
      <c r="AW982" s="20">
        <v>659280</v>
      </c>
      <c r="AX982" s="20">
        <v>1050456</v>
      </c>
      <c r="BH982" s="28">
        <v>2173336</v>
      </c>
      <c r="BI982" s="28">
        <v>5010208</v>
      </c>
    </row>
    <row r="983" spans="1:61" hidden="1" x14ac:dyDescent="0.3">
      <c r="A983" s="1" t="s">
        <v>739</v>
      </c>
      <c r="B983" s="1" t="s">
        <v>110</v>
      </c>
      <c r="C983" s="1" t="s">
        <v>660</v>
      </c>
      <c r="D983" s="1" t="s">
        <v>661</v>
      </c>
      <c r="E983" s="1" t="s">
        <v>660</v>
      </c>
      <c r="F983" s="1" t="s">
        <v>661</v>
      </c>
      <c r="G983" s="1" t="s">
        <v>2107</v>
      </c>
      <c r="H983" s="1" t="s">
        <v>2108</v>
      </c>
      <c r="I983" s="1" t="s">
        <v>110</v>
      </c>
      <c r="J983" s="1" t="s">
        <v>229</v>
      </c>
      <c r="K983" s="1" t="s">
        <v>118</v>
      </c>
      <c r="L983" s="1" t="s">
        <v>103</v>
      </c>
      <c r="M983" s="20">
        <v>298470</v>
      </c>
      <c r="P983" s="20">
        <v>266520</v>
      </c>
      <c r="Q983" s="20">
        <v>761880</v>
      </c>
      <c r="R983" s="20">
        <v>2077200</v>
      </c>
      <c r="AB983" s="20">
        <v>3404070</v>
      </c>
      <c r="AG983" s="20">
        <v>1935480</v>
      </c>
      <c r="AH983" s="20">
        <v>1648920</v>
      </c>
      <c r="AR983" s="20">
        <v>3584400</v>
      </c>
      <c r="AW983" s="20">
        <v>599280</v>
      </c>
      <c r="AX983" s="20">
        <v>2028528</v>
      </c>
      <c r="BH983" s="28">
        <v>2627808</v>
      </c>
      <c r="BI983" s="28">
        <v>9616278</v>
      </c>
    </row>
    <row r="984" spans="1:61" hidden="1" x14ac:dyDescent="0.3">
      <c r="A984" s="1" t="s">
        <v>739</v>
      </c>
      <c r="B984" s="1" t="s">
        <v>110</v>
      </c>
      <c r="C984" s="1" t="s">
        <v>660</v>
      </c>
      <c r="D984" s="1" t="s">
        <v>661</v>
      </c>
      <c r="E984" s="1" t="s">
        <v>660</v>
      </c>
      <c r="F984" s="1" t="s">
        <v>661</v>
      </c>
      <c r="G984" s="1" t="s">
        <v>2109</v>
      </c>
      <c r="H984" s="1" t="s">
        <v>2110</v>
      </c>
      <c r="I984" s="1" t="s">
        <v>110</v>
      </c>
      <c r="J984" s="1" t="s">
        <v>229</v>
      </c>
      <c r="K984" s="1" t="s">
        <v>118</v>
      </c>
      <c r="L984" s="1" t="s">
        <v>103</v>
      </c>
      <c r="M984" s="20">
        <v>294492</v>
      </c>
      <c r="P984" s="20">
        <v>436832</v>
      </c>
      <c r="Q984" s="20">
        <v>1073520</v>
      </c>
      <c r="R984" s="20">
        <v>2130000</v>
      </c>
      <c r="AB984" s="20">
        <v>3934844</v>
      </c>
      <c r="AC984" s="20">
        <v>797288</v>
      </c>
      <c r="AG984" s="20">
        <v>1484280</v>
      </c>
      <c r="AH984" s="20">
        <v>1730568</v>
      </c>
      <c r="AR984" s="20">
        <v>4012136</v>
      </c>
      <c r="AW984" s="20">
        <v>1310760</v>
      </c>
      <c r="AX984" s="20">
        <v>2348808</v>
      </c>
      <c r="BH984" s="28">
        <v>3659568</v>
      </c>
      <c r="BI984" s="28">
        <v>11606548</v>
      </c>
    </row>
    <row r="985" spans="1:61" hidden="1" x14ac:dyDescent="0.3">
      <c r="A985" s="1" t="s">
        <v>739</v>
      </c>
      <c r="B985" s="1" t="s">
        <v>110</v>
      </c>
      <c r="C985" s="1" t="s">
        <v>660</v>
      </c>
      <c r="D985" s="1" t="s">
        <v>661</v>
      </c>
      <c r="E985" s="1" t="s">
        <v>660</v>
      </c>
      <c r="F985" s="1" t="s">
        <v>661</v>
      </c>
      <c r="G985" s="1" t="s">
        <v>2111</v>
      </c>
      <c r="H985" s="1" t="s">
        <v>2112</v>
      </c>
      <c r="I985" s="1" t="s">
        <v>110</v>
      </c>
      <c r="J985" s="1" t="s">
        <v>229</v>
      </c>
      <c r="K985" s="1" t="s">
        <v>118</v>
      </c>
      <c r="L985" s="1" t="s">
        <v>103</v>
      </c>
      <c r="M985" s="20">
        <v>132300</v>
      </c>
      <c r="P985" s="20">
        <v>422608</v>
      </c>
      <c r="Q985" s="20">
        <v>954000</v>
      </c>
      <c r="R985" s="20">
        <v>914400</v>
      </c>
      <c r="AB985" s="20">
        <v>2423308</v>
      </c>
      <c r="AC985" s="20">
        <v>237984</v>
      </c>
      <c r="AF985" s="20">
        <v>496568</v>
      </c>
      <c r="AG985" s="20">
        <v>1259280</v>
      </c>
      <c r="AH985" s="20">
        <v>1614336</v>
      </c>
      <c r="AR985" s="20">
        <v>3608168</v>
      </c>
      <c r="AV985" s="20">
        <v>144296</v>
      </c>
      <c r="AW985" s="20">
        <v>305280</v>
      </c>
      <c r="AX985" s="20">
        <v>1299936</v>
      </c>
      <c r="BH985" s="28">
        <v>1749512</v>
      </c>
      <c r="BI985" s="28">
        <v>7780988</v>
      </c>
    </row>
    <row r="986" spans="1:61" hidden="1" x14ac:dyDescent="0.3">
      <c r="A986" s="1" t="s">
        <v>739</v>
      </c>
      <c r="B986" s="1" t="s">
        <v>110</v>
      </c>
      <c r="C986" s="1" t="s">
        <v>660</v>
      </c>
      <c r="D986" s="1" t="s">
        <v>661</v>
      </c>
      <c r="E986" s="1" t="s">
        <v>660</v>
      </c>
      <c r="F986" s="1" t="s">
        <v>661</v>
      </c>
      <c r="G986" s="1" t="s">
        <v>2113</v>
      </c>
      <c r="H986" s="1" t="s">
        <v>2114</v>
      </c>
      <c r="I986" s="1" t="s">
        <v>110</v>
      </c>
      <c r="J986" s="1" t="s">
        <v>229</v>
      </c>
      <c r="K986" s="1" t="s">
        <v>118</v>
      </c>
      <c r="L986" s="1" t="s">
        <v>103</v>
      </c>
      <c r="M986" s="20">
        <v>1064400</v>
      </c>
      <c r="P986" s="20">
        <v>308448</v>
      </c>
      <c r="Q986" s="20">
        <v>2225040</v>
      </c>
      <c r="R986" s="20">
        <v>951600</v>
      </c>
      <c r="AB986" s="20">
        <v>4549488</v>
      </c>
      <c r="AC986" s="20">
        <v>1028012</v>
      </c>
      <c r="AF986" s="20">
        <v>487352</v>
      </c>
      <c r="AG986" s="20">
        <v>3066000</v>
      </c>
      <c r="AH986" s="20">
        <v>1961736</v>
      </c>
      <c r="AR986" s="20">
        <v>6543100</v>
      </c>
      <c r="AV986" s="20">
        <v>604224</v>
      </c>
      <c r="AW986" s="20">
        <v>2031480</v>
      </c>
      <c r="AX986" s="20">
        <v>1213152</v>
      </c>
      <c r="BH986" s="28">
        <v>3848856</v>
      </c>
      <c r="BI986" s="28">
        <v>14941444</v>
      </c>
    </row>
    <row r="987" spans="1:61" hidden="1" x14ac:dyDescent="0.3">
      <c r="A987" s="1" t="s">
        <v>739</v>
      </c>
      <c r="B987" s="1" t="s">
        <v>110</v>
      </c>
      <c r="C987" s="1" t="s">
        <v>660</v>
      </c>
      <c r="D987" s="1" t="s">
        <v>661</v>
      </c>
      <c r="E987" s="1" t="s">
        <v>660</v>
      </c>
      <c r="F987" s="1" t="s">
        <v>661</v>
      </c>
      <c r="G987" s="1" t="s">
        <v>2115</v>
      </c>
      <c r="H987" s="1" t="s">
        <v>2116</v>
      </c>
      <c r="I987" s="1" t="s">
        <v>110</v>
      </c>
      <c r="J987" s="1" t="s">
        <v>229</v>
      </c>
      <c r="K987" s="1" t="s">
        <v>118</v>
      </c>
      <c r="L987" s="1" t="s">
        <v>103</v>
      </c>
      <c r="M987" s="20">
        <v>1641312</v>
      </c>
      <c r="P987" s="20">
        <v>371040</v>
      </c>
      <c r="Q987" s="20">
        <v>1978680</v>
      </c>
      <c r="R987" s="20">
        <v>1086000</v>
      </c>
      <c r="AB987" s="20">
        <v>5077032</v>
      </c>
      <c r="AC987" s="20">
        <v>237984</v>
      </c>
      <c r="AF987" s="20">
        <v>128904</v>
      </c>
      <c r="AG987" s="20">
        <v>1885680</v>
      </c>
      <c r="AH987" s="20">
        <v>1355952</v>
      </c>
      <c r="AR987" s="20">
        <v>3608520</v>
      </c>
      <c r="AS987" s="20">
        <v>1038984</v>
      </c>
      <c r="AV987" s="20">
        <v>144296</v>
      </c>
      <c r="AW987" s="20">
        <v>2679240</v>
      </c>
      <c r="AX987" s="20">
        <v>1875840</v>
      </c>
      <c r="BH987" s="28">
        <v>5738360</v>
      </c>
      <c r="BI987" s="28">
        <v>14423912</v>
      </c>
    </row>
    <row r="988" spans="1:61" hidden="1" x14ac:dyDescent="0.3">
      <c r="A988" s="1" t="s">
        <v>739</v>
      </c>
      <c r="B988" s="1" t="s">
        <v>110</v>
      </c>
      <c r="C988" s="1" t="s">
        <v>660</v>
      </c>
      <c r="D988" s="1" t="s">
        <v>661</v>
      </c>
      <c r="E988" s="1" t="s">
        <v>660</v>
      </c>
      <c r="F988" s="1" t="s">
        <v>661</v>
      </c>
      <c r="G988" s="1" t="s">
        <v>2117</v>
      </c>
      <c r="H988" s="1" t="s">
        <v>2118</v>
      </c>
      <c r="I988" s="1" t="s">
        <v>110</v>
      </c>
      <c r="J988" s="1" t="s">
        <v>229</v>
      </c>
      <c r="K988" s="1" t="s">
        <v>118</v>
      </c>
      <c r="L988" s="1" t="s">
        <v>103</v>
      </c>
      <c r="P988" s="20">
        <v>104520</v>
      </c>
      <c r="Q988" s="20">
        <v>3012960</v>
      </c>
      <c r="R988" s="20">
        <v>2952000</v>
      </c>
      <c r="AB988" s="20">
        <v>6069480</v>
      </c>
      <c r="AC988" s="20">
        <v>237984</v>
      </c>
      <c r="AF988" s="20">
        <v>284904</v>
      </c>
      <c r="AG988" s="20">
        <v>1669320</v>
      </c>
      <c r="AH988" s="20">
        <v>1738968</v>
      </c>
      <c r="AR988" s="20">
        <v>3931176</v>
      </c>
      <c r="AW988" s="20">
        <v>2692080</v>
      </c>
      <c r="AX988" s="20">
        <v>3367848</v>
      </c>
      <c r="BH988" s="28">
        <v>6059928</v>
      </c>
      <c r="BI988" s="28">
        <v>16060584</v>
      </c>
    </row>
    <row r="989" spans="1:61" hidden="1" x14ac:dyDescent="0.3">
      <c r="A989" s="1" t="s">
        <v>739</v>
      </c>
      <c r="B989" s="1" t="s">
        <v>110</v>
      </c>
      <c r="C989" s="1" t="s">
        <v>660</v>
      </c>
      <c r="D989" s="1" t="s">
        <v>661</v>
      </c>
      <c r="E989" s="1" t="s">
        <v>660</v>
      </c>
      <c r="F989" s="1" t="s">
        <v>661</v>
      </c>
      <c r="G989" s="1" t="s">
        <v>2119</v>
      </c>
      <c r="H989" s="1" t="s">
        <v>2120</v>
      </c>
      <c r="I989" s="1" t="s">
        <v>110</v>
      </c>
      <c r="J989" s="1" t="s">
        <v>229</v>
      </c>
      <c r="K989" s="1" t="s">
        <v>118</v>
      </c>
      <c r="L989" s="1" t="s">
        <v>103</v>
      </c>
      <c r="M989" s="20">
        <v>961992</v>
      </c>
      <c r="P989" s="20">
        <v>502312</v>
      </c>
      <c r="Q989" s="20">
        <v>2524320</v>
      </c>
      <c r="R989" s="20">
        <v>1894800</v>
      </c>
      <c r="AB989" s="20">
        <v>5883424</v>
      </c>
      <c r="AC989" s="20">
        <v>1756080</v>
      </c>
      <c r="AG989" s="20">
        <v>1999920</v>
      </c>
      <c r="AH989" s="20">
        <v>1728984</v>
      </c>
      <c r="AR989" s="20">
        <v>5484984</v>
      </c>
      <c r="AS989" s="20">
        <v>1393416</v>
      </c>
      <c r="AV989" s="20">
        <v>295200</v>
      </c>
      <c r="AW989" s="20">
        <v>2439840</v>
      </c>
      <c r="AX989" s="20">
        <v>2070576</v>
      </c>
      <c r="BH989" s="28">
        <v>6199032</v>
      </c>
      <c r="BI989" s="28">
        <v>17567440</v>
      </c>
    </row>
    <row r="990" spans="1:61" hidden="1" x14ac:dyDescent="0.3">
      <c r="A990" s="1" t="s">
        <v>739</v>
      </c>
      <c r="B990" s="1" t="s">
        <v>110</v>
      </c>
      <c r="C990" s="1" t="s">
        <v>660</v>
      </c>
      <c r="D990" s="1" t="s">
        <v>661</v>
      </c>
      <c r="E990" s="1" t="s">
        <v>660</v>
      </c>
      <c r="F990" s="1" t="s">
        <v>661</v>
      </c>
      <c r="G990" s="1" t="s">
        <v>2121</v>
      </c>
      <c r="H990" s="1" t="s">
        <v>2122</v>
      </c>
      <c r="I990" s="1" t="s">
        <v>110</v>
      </c>
      <c r="J990" s="1" t="s">
        <v>229</v>
      </c>
      <c r="K990" s="1" t="s">
        <v>118</v>
      </c>
      <c r="L990" s="1" t="s">
        <v>103</v>
      </c>
      <c r="M990" s="20">
        <v>739992</v>
      </c>
      <c r="P990" s="20">
        <v>401440</v>
      </c>
      <c r="Q990" s="20">
        <v>1374480</v>
      </c>
      <c r="R990" s="20">
        <v>1266000</v>
      </c>
      <c r="AB990" s="20">
        <v>3781912</v>
      </c>
      <c r="AC990" s="20">
        <v>1435710</v>
      </c>
      <c r="AF990" s="20">
        <v>156000</v>
      </c>
      <c r="AG990" s="20">
        <v>1485840</v>
      </c>
      <c r="AH990" s="20">
        <v>1691784</v>
      </c>
      <c r="AR990" s="20">
        <v>4769334</v>
      </c>
      <c r="AS990" s="20">
        <v>1727192</v>
      </c>
      <c r="AW990" s="20">
        <v>1448040</v>
      </c>
      <c r="AX990" s="20">
        <v>1259256</v>
      </c>
      <c r="BH990" s="28">
        <v>4434488</v>
      </c>
      <c r="BI990" s="28">
        <v>12985734</v>
      </c>
    </row>
    <row r="991" spans="1:61" hidden="1" x14ac:dyDescent="0.3">
      <c r="A991" s="1" t="s">
        <v>739</v>
      </c>
      <c r="B991" s="1" t="s">
        <v>110</v>
      </c>
      <c r="C991" s="1" t="s">
        <v>660</v>
      </c>
      <c r="D991" s="1" t="s">
        <v>661</v>
      </c>
      <c r="E991" s="1" t="s">
        <v>660</v>
      </c>
      <c r="F991" s="1" t="s">
        <v>661</v>
      </c>
      <c r="G991" s="1" t="s">
        <v>2123</v>
      </c>
      <c r="H991" s="1" t="s">
        <v>2124</v>
      </c>
      <c r="I991" s="1" t="s">
        <v>110</v>
      </c>
      <c r="J991" s="1" t="s">
        <v>229</v>
      </c>
      <c r="K991" s="1" t="s">
        <v>118</v>
      </c>
      <c r="L991" s="1" t="s">
        <v>103</v>
      </c>
      <c r="M991" s="20">
        <v>132300</v>
      </c>
      <c r="P991" s="20">
        <v>104520</v>
      </c>
      <c r="Q991" s="20">
        <v>3581400</v>
      </c>
      <c r="R991" s="20">
        <v>1315200</v>
      </c>
      <c r="AB991" s="20">
        <v>5133420</v>
      </c>
      <c r="AC991" s="20">
        <v>2790760</v>
      </c>
      <c r="AF991" s="20">
        <v>260520</v>
      </c>
      <c r="AG991" s="20">
        <v>3921120</v>
      </c>
      <c r="AH991" s="20">
        <v>1429200</v>
      </c>
      <c r="AR991" s="20">
        <v>8401600</v>
      </c>
      <c r="AW991" s="20">
        <v>3734880</v>
      </c>
      <c r="AX991" s="20">
        <v>1272288</v>
      </c>
      <c r="BH991" s="28">
        <v>5007168</v>
      </c>
      <c r="BI991" s="28">
        <v>18542188</v>
      </c>
    </row>
    <row r="992" spans="1:61" hidden="1" x14ac:dyDescent="0.3">
      <c r="A992" s="1" t="s">
        <v>739</v>
      </c>
      <c r="B992" s="1" t="s">
        <v>110</v>
      </c>
      <c r="C992" s="1" t="s">
        <v>660</v>
      </c>
      <c r="D992" s="1" t="s">
        <v>661</v>
      </c>
      <c r="E992" s="1" t="s">
        <v>660</v>
      </c>
      <c r="F992" s="1" t="s">
        <v>661</v>
      </c>
      <c r="G992" s="1" t="s">
        <v>2125</v>
      </c>
      <c r="H992" s="1" t="s">
        <v>2126</v>
      </c>
      <c r="I992" s="1" t="s">
        <v>110</v>
      </c>
      <c r="J992" s="1" t="s">
        <v>229</v>
      </c>
      <c r="K992" s="1" t="s">
        <v>118</v>
      </c>
      <c r="L992" s="1" t="s">
        <v>103</v>
      </c>
      <c r="P992" s="20">
        <v>104520</v>
      </c>
      <c r="Q992" s="20">
        <v>684720</v>
      </c>
      <c r="R992" s="20">
        <v>1665600</v>
      </c>
      <c r="AB992" s="20">
        <v>2454840</v>
      </c>
      <c r="AG992" s="20">
        <v>946440</v>
      </c>
      <c r="AH992" s="20">
        <v>1905720</v>
      </c>
      <c r="AR992" s="20">
        <v>2852160</v>
      </c>
      <c r="AW992" s="20">
        <v>599280</v>
      </c>
      <c r="AX992" s="20">
        <v>2045904</v>
      </c>
      <c r="BH992" s="28">
        <v>2645184</v>
      </c>
      <c r="BI992" s="28">
        <v>7952184</v>
      </c>
    </row>
    <row r="993" spans="1:61" hidden="1" x14ac:dyDescent="0.3">
      <c r="A993" s="1" t="s">
        <v>739</v>
      </c>
      <c r="B993" s="1" t="s">
        <v>110</v>
      </c>
      <c r="C993" s="1" t="s">
        <v>660</v>
      </c>
      <c r="D993" s="1" t="s">
        <v>661</v>
      </c>
      <c r="E993" s="1" t="s">
        <v>660</v>
      </c>
      <c r="F993" s="1" t="s">
        <v>661</v>
      </c>
      <c r="G993" s="1" t="s">
        <v>2127</v>
      </c>
      <c r="H993" s="1" t="s">
        <v>2128</v>
      </c>
      <c r="I993" s="1" t="s">
        <v>110</v>
      </c>
      <c r="J993" s="1" t="s">
        <v>229</v>
      </c>
      <c r="K993" s="1" t="s">
        <v>118</v>
      </c>
      <c r="L993" s="1" t="s">
        <v>103</v>
      </c>
      <c r="M993" s="20">
        <v>298470</v>
      </c>
      <c r="P993" s="20">
        <v>437352</v>
      </c>
      <c r="Q993" s="20">
        <v>2486160</v>
      </c>
      <c r="R993" s="20">
        <v>1371600</v>
      </c>
      <c r="AB993" s="20">
        <v>4593582</v>
      </c>
      <c r="AC993" s="20">
        <v>475968</v>
      </c>
      <c r="AF993" s="20">
        <v>739384</v>
      </c>
      <c r="AG993" s="20">
        <v>2192880</v>
      </c>
      <c r="AH993" s="20">
        <v>2441952</v>
      </c>
      <c r="AR993" s="20">
        <v>5850184</v>
      </c>
      <c r="AS993" s="20">
        <v>158656</v>
      </c>
      <c r="AV993" s="20">
        <v>352536</v>
      </c>
      <c r="AW993" s="20">
        <v>2621760</v>
      </c>
      <c r="AX993" s="20">
        <v>2557104</v>
      </c>
      <c r="BH993" s="28">
        <v>5690056</v>
      </c>
      <c r="BI993" s="28">
        <v>16133822</v>
      </c>
    </row>
    <row r="994" spans="1:61" hidden="1" x14ac:dyDescent="0.3">
      <c r="A994" s="1" t="s">
        <v>739</v>
      </c>
      <c r="B994" s="1" t="s">
        <v>110</v>
      </c>
      <c r="C994" s="1" t="s">
        <v>660</v>
      </c>
      <c r="D994" s="1" t="s">
        <v>661</v>
      </c>
      <c r="E994" s="1" t="s">
        <v>660</v>
      </c>
      <c r="F994" s="1" t="s">
        <v>661</v>
      </c>
      <c r="G994" s="1" t="s">
        <v>2129</v>
      </c>
      <c r="H994" s="1" t="s">
        <v>2130</v>
      </c>
      <c r="I994" s="1" t="s">
        <v>110</v>
      </c>
      <c r="J994" s="1" t="s">
        <v>229</v>
      </c>
      <c r="K994" s="1" t="s">
        <v>118</v>
      </c>
      <c r="L994" s="1" t="s">
        <v>103</v>
      </c>
      <c r="M994" s="20">
        <v>298470</v>
      </c>
      <c r="P994" s="20">
        <v>104520</v>
      </c>
      <c r="Q994" s="20">
        <v>1084080</v>
      </c>
      <c r="R994" s="20">
        <v>742800</v>
      </c>
      <c r="AB994" s="20">
        <v>2229870</v>
      </c>
      <c r="AC994" s="20">
        <v>317312</v>
      </c>
      <c r="AG994" s="20">
        <v>1721520</v>
      </c>
      <c r="AH994" s="20">
        <v>1752000</v>
      </c>
      <c r="AR994" s="20">
        <v>3790832</v>
      </c>
      <c r="AV994" s="20">
        <v>353776</v>
      </c>
      <c r="AW994" s="20">
        <v>1613880</v>
      </c>
      <c r="AX994" s="20">
        <v>1341840</v>
      </c>
      <c r="BH994" s="28">
        <v>3309496</v>
      </c>
      <c r="BI994" s="28">
        <v>9330198</v>
      </c>
    </row>
    <row r="995" spans="1:61" hidden="1" x14ac:dyDescent="0.3">
      <c r="A995" s="1" t="s">
        <v>739</v>
      </c>
      <c r="B995" s="1" t="s">
        <v>110</v>
      </c>
      <c r="C995" s="1" t="s">
        <v>660</v>
      </c>
      <c r="D995" s="1" t="s">
        <v>661</v>
      </c>
      <c r="E995" s="1" t="s">
        <v>660</v>
      </c>
      <c r="F995" s="1" t="s">
        <v>661</v>
      </c>
      <c r="G995" s="1" t="s">
        <v>2131</v>
      </c>
      <c r="H995" s="1" t="s">
        <v>2132</v>
      </c>
      <c r="I995" s="1" t="s">
        <v>110</v>
      </c>
      <c r="J995" s="1" t="s">
        <v>229</v>
      </c>
      <c r="K995" s="1" t="s">
        <v>118</v>
      </c>
      <c r="L995" s="1" t="s">
        <v>103</v>
      </c>
      <c r="M995" s="20">
        <v>132300</v>
      </c>
      <c r="P995" s="20">
        <v>266520</v>
      </c>
      <c r="Q995" s="20">
        <v>1616040</v>
      </c>
      <c r="R995" s="20">
        <v>1380000</v>
      </c>
      <c r="AB995" s="20">
        <v>3394860</v>
      </c>
      <c r="AC995" s="20">
        <v>237984</v>
      </c>
      <c r="AG995" s="20">
        <v>2033640</v>
      </c>
      <c r="AH995" s="20">
        <v>1498752</v>
      </c>
      <c r="AR995" s="20">
        <v>3770376</v>
      </c>
      <c r="AV995" s="20">
        <v>144296</v>
      </c>
      <c r="AW995" s="20">
        <v>1501560</v>
      </c>
      <c r="AX995" s="20">
        <v>1183272</v>
      </c>
      <c r="BH995" s="28">
        <v>2829128</v>
      </c>
      <c r="BI995" s="28">
        <v>9994364</v>
      </c>
    </row>
    <row r="996" spans="1:61" hidden="1" x14ac:dyDescent="0.3">
      <c r="A996" s="1" t="s">
        <v>739</v>
      </c>
      <c r="B996" s="1" t="s">
        <v>110</v>
      </c>
      <c r="C996" s="1" t="s">
        <v>660</v>
      </c>
      <c r="D996" s="1" t="s">
        <v>661</v>
      </c>
      <c r="E996" s="1" t="s">
        <v>660</v>
      </c>
      <c r="F996" s="1" t="s">
        <v>661</v>
      </c>
      <c r="G996" s="1" t="s">
        <v>2133</v>
      </c>
      <c r="H996" s="1" t="s">
        <v>2134</v>
      </c>
      <c r="I996" s="1" t="s">
        <v>110</v>
      </c>
      <c r="J996" s="1" t="s">
        <v>229</v>
      </c>
      <c r="K996" s="1" t="s">
        <v>118</v>
      </c>
      <c r="L996" s="1" t="s">
        <v>103</v>
      </c>
      <c r="M996" s="20">
        <v>891432</v>
      </c>
      <c r="P996" s="20">
        <v>504240</v>
      </c>
      <c r="Q996" s="20">
        <v>782880</v>
      </c>
      <c r="R996" s="20">
        <v>2008800</v>
      </c>
      <c r="AB996" s="20">
        <v>4187352</v>
      </c>
      <c r="AC996" s="20">
        <v>679904</v>
      </c>
      <c r="AF996" s="20">
        <v>240944</v>
      </c>
      <c r="AG996" s="20">
        <v>2148720</v>
      </c>
      <c r="AH996" s="20">
        <v>1680336</v>
      </c>
      <c r="AR996" s="20">
        <v>4749904</v>
      </c>
      <c r="AV996" s="20">
        <v>185728</v>
      </c>
      <c r="AW996" s="20">
        <v>1673520</v>
      </c>
      <c r="AX996" s="20">
        <v>1904640</v>
      </c>
      <c r="BH996" s="28">
        <v>3763888</v>
      </c>
      <c r="BI996" s="28">
        <v>12701144</v>
      </c>
    </row>
    <row r="997" spans="1:61" hidden="1" x14ac:dyDescent="0.3">
      <c r="A997" s="1" t="s">
        <v>739</v>
      </c>
      <c r="B997" s="1" t="s">
        <v>110</v>
      </c>
      <c r="C997" s="1" t="s">
        <v>660</v>
      </c>
      <c r="D997" s="1" t="s">
        <v>661</v>
      </c>
      <c r="E997" s="1" t="s">
        <v>660</v>
      </c>
      <c r="F997" s="1" t="s">
        <v>661</v>
      </c>
      <c r="G997" s="1" t="s">
        <v>2135</v>
      </c>
      <c r="H997" s="1" t="s">
        <v>2136</v>
      </c>
      <c r="I997" s="1" t="s">
        <v>110</v>
      </c>
      <c r="J997" s="1" t="s">
        <v>229</v>
      </c>
      <c r="K997" s="1" t="s">
        <v>118</v>
      </c>
      <c r="L997" s="1" t="s">
        <v>103</v>
      </c>
      <c r="Q997" s="20">
        <v>1147680</v>
      </c>
      <c r="R997" s="20">
        <v>628800</v>
      </c>
      <c r="AB997" s="20">
        <v>1776480</v>
      </c>
      <c r="AG997" s="20">
        <v>1307520</v>
      </c>
      <c r="AH997" s="20">
        <v>958968</v>
      </c>
      <c r="AR997" s="20">
        <v>2266488</v>
      </c>
      <c r="AW997" s="20">
        <v>1300320</v>
      </c>
      <c r="AX997" s="20">
        <v>628800</v>
      </c>
      <c r="BH997" s="28">
        <v>1929120</v>
      </c>
      <c r="BI997" s="28">
        <v>5972088</v>
      </c>
    </row>
    <row r="998" spans="1:61" hidden="1" x14ac:dyDescent="0.3">
      <c r="A998" s="1" t="s">
        <v>739</v>
      </c>
      <c r="B998" s="1" t="s">
        <v>110</v>
      </c>
      <c r="C998" s="1" t="s">
        <v>660</v>
      </c>
      <c r="D998" s="1" t="s">
        <v>661</v>
      </c>
      <c r="E998" s="1" t="s">
        <v>660</v>
      </c>
      <c r="F998" s="1" t="s">
        <v>661</v>
      </c>
      <c r="G998" s="1" t="s">
        <v>2137</v>
      </c>
      <c r="H998" s="1" t="s">
        <v>2138</v>
      </c>
      <c r="I998" s="1" t="s">
        <v>110</v>
      </c>
      <c r="J998" s="1" t="s">
        <v>229</v>
      </c>
      <c r="K998" s="1" t="s">
        <v>118</v>
      </c>
      <c r="L998" s="1" t="s">
        <v>103</v>
      </c>
      <c r="Q998" s="20">
        <v>1785600</v>
      </c>
      <c r="R998" s="20">
        <v>1429200</v>
      </c>
      <c r="AB998" s="20">
        <v>3214800</v>
      </c>
      <c r="AC998" s="20">
        <v>237984</v>
      </c>
      <c r="AF998" s="20">
        <v>128904</v>
      </c>
      <c r="AG998" s="20">
        <v>2181360</v>
      </c>
      <c r="AH998" s="20">
        <v>1357536</v>
      </c>
      <c r="AR998" s="20">
        <v>3905784</v>
      </c>
      <c r="AS998" s="20">
        <v>355200</v>
      </c>
      <c r="AW998" s="20">
        <v>366720</v>
      </c>
      <c r="AX998" s="20">
        <v>1769160</v>
      </c>
      <c r="BH998" s="28">
        <v>2491080</v>
      </c>
      <c r="BI998" s="28">
        <v>9611664</v>
      </c>
    </row>
    <row r="999" spans="1:61" hidden="1" x14ac:dyDescent="0.3">
      <c r="A999" s="1" t="s">
        <v>739</v>
      </c>
      <c r="B999" s="1" t="s">
        <v>110</v>
      </c>
      <c r="C999" s="1" t="s">
        <v>660</v>
      </c>
      <c r="D999" s="1" t="s">
        <v>661</v>
      </c>
      <c r="E999" s="1" t="s">
        <v>660</v>
      </c>
      <c r="F999" s="1" t="s">
        <v>661</v>
      </c>
      <c r="G999" s="1" t="s">
        <v>2139</v>
      </c>
      <c r="H999" s="1" t="s">
        <v>2140</v>
      </c>
      <c r="I999" s="1" t="s">
        <v>110</v>
      </c>
      <c r="J999" s="1" t="s">
        <v>229</v>
      </c>
      <c r="K999" s="1" t="s">
        <v>118</v>
      </c>
      <c r="L999" s="1" t="s">
        <v>103</v>
      </c>
      <c r="M999" s="20">
        <v>132300</v>
      </c>
      <c r="P999" s="20">
        <v>371512</v>
      </c>
      <c r="Q999" s="20">
        <v>1140360</v>
      </c>
      <c r="R999" s="20">
        <v>2751600</v>
      </c>
      <c r="AB999" s="20">
        <v>4395772</v>
      </c>
      <c r="AG999" s="20">
        <v>2268960</v>
      </c>
      <c r="AH999" s="20">
        <v>2391720</v>
      </c>
      <c r="AR999" s="20">
        <v>4660680</v>
      </c>
      <c r="AS999" s="20">
        <v>270600</v>
      </c>
      <c r="AW999" s="20">
        <v>1251240</v>
      </c>
      <c r="AX999" s="20">
        <v>2741664</v>
      </c>
      <c r="BH999" s="28">
        <v>4263504</v>
      </c>
      <c r="BI999" s="28">
        <v>13319956</v>
      </c>
    </row>
    <row r="1000" spans="1:61" hidden="1" x14ac:dyDescent="0.3">
      <c r="A1000" s="1" t="s">
        <v>739</v>
      </c>
      <c r="B1000" s="1" t="s">
        <v>110</v>
      </c>
      <c r="C1000" s="1" t="s">
        <v>660</v>
      </c>
      <c r="D1000" s="1" t="s">
        <v>661</v>
      </c>
      <c r="E1000" s="1" t="s">
        <v>660</v>
      </c>
      <c r="F1000" s="1" t="s">
        <v>661</v>
      </c>
      <c r="G1000" s="1" t="s">
        <v>2141</v>
      </c>
      <c r="H1000" s="1" t="s">
        <v>2142</v>
      </c>
      <c r="I1000" s="1" t="s">
        <v>110</v>
      </c>
      <c r="J1000" s="1" t="s">
        <v>229</v>
      </c>
      <c r="K1000" s="1" t="s">
        <v>118</v>
      </c>
      <c r="L1000" s="1" t="s">
        <v>103</v>
      </c>
      <c r="M1000" s="20">
        <v>264600</v>
      </c>
      <c r="P1000" s="20">
        <v>365928</v>
      </c>
      <c r="Q1000" s="20">
        <v>1570800</v>
      </c>
      <c r="R1000" s="20">
        <v>2217600</v>
      </c>
      <c r="AB1000" s="20">
        <v>4418928</v>
      </c>
      <c r="AC1000" s="20">
        <v>1284360</v>
      </c>
      <c r="AF1000" s="20">
        <v>472184</v>
      </c>
      <c r="AG1000" s="20">
        <v>2003760</v>
      </c>
      <c r="AH1000" s="20">
        <v>1993152</v>
      </c>
      <c r="AR1000" s="20">
        <v>5753456</v>
      </c>
      <c r="AS1000" s="20">
        <v>891000</v>
      </c>
      <c r="AV1000" s="20">
        <v>618680</v>
      </c>
      <c r="AW1000" s="20">
        <v>1004160</v>
      </c>
      <c r="AX1000" s="20">
        <v>2047512</v>
      </c>
      <c r="BH1000" s="28">
        <v>4561352</v>
      </c>
      <c r="BI1000" s="28">
        <v>14733736</v>
      </c>
    </row>
    <row r="1001" spans="1:61" hidden="1" x14ac:dyDescent="0.3">
      <c r="A1001" s="1" t="s">
        <v>739</v>
      </c>
      <c r="B1001" s="1" t="s">
        <v>110</v>
      </c>
      <c r="C1001" s="1" t="s">
        <v>660</v>
      </c>
      <c r="D1001" s="1" t="s">
        <v>661</v>
      </c>
      <c r="E1001" s="1" t="s">
        <v>660</v>
      </c>
      <c r="F1001" s="1" t="s">
        <v>661</v>
      </c>
      <c r="G1001" s="1" t="s">
        <v>2143</v>
      </c>
      <c r="H1001" s="1" t="s">
        <v>2144</v>
      </c>
      <c r="I1001" s="1" t="s">
        <v>110</v>
      </c>
      <c r="J1001" s="1" t="s">
        <v>229</v>
      </c>
      <c r="K1001" s="1" t="s">
        <v>118</v>
      </c>
      <c r="L1001" s="1" t="s">
        <v>103</v>
      </c>
      <c r="M1001" s="20">
        <v>264600</v>
      </c>
      <c r="P1001" s="20">
        <v>296920</v>
      </c>
      <c r="Q1001" s="20">
        <v>1587000</v>
      </c>
      <c r="R1001" s="20">
        <v>1400400</v>
      </c>
      <c r="AB1001" s="20">
        <v>3548920</v>
      </c>
      <c r="AC1001" s="20">
        <v>198320</v>
      </c>
      <c r="AF1001" s="20">
        <v>296920</v>
      </c>
      <c r="AG1001" s="20">
        <v>1843320</v>
      </c>
      <c r="AH1001" s="20">
        <v>1670352</v>
      </c>
      <c r="AR1001" s="20">
        <v>4008912</v>
      </c>
      <c r="AS1001" s="20">
        <v>460800</v>
      </c>
      <c r="AV1001" s="20">
        <v>87632</v>
      </c>
      <c r="AW1001" s="20">
        <v>1765200</v>
      </c>
      <c r="AX1001" s="20">
        <v>2558112</v>
      </c>
      <c r="BH1001" s="28">
        <v>4871744</v>
      </c>
      <c r="BI1001" s="28">
        <v>12429576</v>
      </c>
    </row>
    <row r="1002" spans="1:61" hidden="1" x14ac:dyDescent="0.3">
      <c r="A1002" s="1" t="s">
        <v>739</v>
      </c>
      <c r="B1002" s="1" t="s">
        <v>110</v>
      </c>
      <c r="C1002" s="1" t="s">
        <v>660</v>
      </c>
      <c r="D1002" s="1" t="s">
        <v>661</v>
      </c>
      <c r="E1002" s="1" t="s">
        <v>660</v>
      </c>
      <c r="F1002" s="1" t="s">
        <v>661</v>
      </c>
      <c r="G1002" s="1" t="s">
        <v>2145</v>
      </c>
      <c r="H1002" s="1" t="s">
        <v>2146</v>
      </c>
      <c r="I1002" s="1" t="s">
        <v>110</v>
      </c>
      <c r="J1002" s="1" t="s">
        <v>229</v>
      </c>
      <c r="K1002" s="1" t="s">
        <v>118</v>
      </c>
      <c r="L1002" s="1" t="s">
        <v>103</v>
      </c>
      <c r="P1002" s="20">
        <v>516400</v>
      </c>
      <c r="Q1002" s="20">
        <v>3371760</v>
      </c>
      <c r="R1002" s="20">
        <v>2428800</v>
      </c>
      <c r="AB1002" s="20">
        <v>6316960</v>
      </c>
      <c r="AF1002" s="20">
        <v>192400</v>
      </c>
      <c r="AG1002" s="20">
        <v>3413520</v>
      </c>
      <c r="AH1002" s="20">
        <v>2290752</v>
      </c>
      <c r="AR1002" s="20">
        <v>5896672</v>
      </c>
      <c r="AV1002" s="20">
        <v>144296</v>
      </c>
      <c r="AW1002" s="20">
        <v>3132360</v>
      </c>
      <c r="AX1002" s="20">
        <v>2491104</v>
      </c>
      <c r="BH1002" s="28">
        <v>5767760</v>
      </c>
      <c r="BI1002" s="28">
        <v>17981392</v>
      </c>
    </row>
    <row r="1003" spans="1:61" hidden="1" x14ac:dyDescent="0.3">
      <c r="A1003" s="1" t="s">
        <v>739</v>
      </c>
      <c r="B1003" s="1" t="s">
        <v>110</v>
      </c>
      <c r="C1003" s="1" t="s">
        <v>660</v>
      </c>
      <c r="D1003" s="1" t="s">
        <v>661</v>
      </c>
      <c r="E1003" s="1" t="s">
        <v>660</v>
      </c>
      <c r="F1003" s="1" t="s">
        <v>661</v>
      </c>
      <c r="G1003" s="1" t="s">
        <v>2147</v>
      </c>
      <c r="H1003" s="1" t="s">
        <v>2148</v>
      </c>
      <c r="I1003" s="1" t="s">
        <v>110</v>
      </c>
      <c r="J1003" s="1" t="s">
        <v>229</v>
      </c>
      <c r="K1003" s="1" t="s">
        <v>118</v>
      </c>
      <c r="L1003" s="1" t="s">
        <v>103</v>
      </c>
      <c r="M1003" s="20">
        <v>294492</v>
      </c>
      <c r="Q1003" s="20">
        <v>674280</v>
      </c>
      <c r="R1003" s="20">
        <v>626400</v>
      </c>
      <c r="AB1003" s="20">
        <v>1595172</v>
      </c>
      <c r="AC1003" s="20">
        <v>237984</v>
      </c>
      <c r="AG1003" s="20">
        <v>684720</v>
      </c>
      <c r="AH1003" s="20">
        <v>496800</v>
      </c>
      <c r="AR1003" s="20">
        <v>1419504</v>
      </c>
      <c r="AW1003" s="20">
        <v>1231320</v>
      </c>
      <c r="AX1003" s="20">
        <v>1121520</v>
      </c>
      <c r="BH1003" s="28">
        <v>2352840</v>
      </c>
      <c r="BI1003" s="28">
        <v>5367516</v>
      </c>
    </row>
    <row r="1004" spans="1:61" hidden="1" x14ac:dyDescent="0.3">
      <c r="A1004" s="1" t="s">
        <v>739</v>
      </c>
      <c r="B1004" s="1" t="s">
        <v>110</v>
      </c>
      <c r="C1004" s="1" t="s">
        <v>660</v>
      </c>
      <c r="D1004" s="1" t="s">
        <v>661</v>
      </c>
      <c r="E1004" s="1" t="s">
        <v>660</v>
      </c>
      <c r="F1004" s="1" t="s">
        <v>661</v>
      </c>
      <c r="G1004" s="1" t="s">
        <v>2149</v>
      </c>
      <c r="H1004" s="1" t="s">
        <v>2150</v>
      </c>
      <c r="I1004" s="1" t="s">
        <v>110</v>
      </c>
      <c r="J1004" s="1" t="s">
        <v>229</v>
      </c>
      <c r="K1004" s="1" t="s">
        <v>118</v>
      </c>
      <c r="L1004" s="1" t="s">
        <v>103</v>
      </c>
      <c r="M1004" s="20">
        <v>132300</v>
      </c>
      <c r="P1004" s="20">
        <v>496728</v>
      </c>
      <c r="Q1004" s="20">
        <v>824640</v>
      </c>
      <c r="R1004" s="20">
        <v>1083600</v>
      </c>
      <c r="AB1004" s="20">
        <v>2537268</v>
      </c>
      <c r="AC1004" s="20">
        <v>198320</v>
      </c>
      <c r="AG1004" s="20">
        <v>1156440</v>
      </c>
      <c r="AH1004" s="20">
        <v>1378968</v>
      </c>
      <c r="AR1004" s="20">
        <v>2733728</v>
      </c>
      <c r="AS1004" s="20">
        <v>236800</v>
      </c>
      <c r="AV1004" s="20">
        <v>87632</v>
      </c>
      <c r="AW1004" s="20">
        <v>707400</v>
      </c>
      <c r="AX1004" s="20">
        <v>1500864</v>
      </c>
      <c r="BH1004" s="28">
        <v>2532696</v>
      </c>
      <c r="BI1004" s="28">
        <v>7803692</v>
      </c>
    </row>
    <row r="1005" spans="1:61" hidden="1" x14ac:dyDescent="0.3">
      <c r="A1005" s="1" t="s">
        <v>739</v>
      </c>
      <c r="B1005" s="1" t="s">
        <v>110</v>
      </c>
      <c r="C1005" s="1" t="s">
        <v>660</v>
      </c>
      <c r="D1005" s="1" t="s">
        <v>661</v>
      </c>
      <c r="E1005" s="1" t="s">
        <v>660</v>
      </c>
      <c r="F1005" s="1" t="s">
        <v>661</v>
      </c>
      <c r="G1005" s="1" t="s">
        <v>2151</v>
      </c>
      <c r="H1005" s="1" t="s">
        <v>2152</v>
      </c>
      <c r="I1005" s="1" t="s">
        <v>110</v>
      </c>
      <c r="J1005" s="1" t="s">
        <v>229</v>
      </c>
      <c r="K1005" s="1" t="s">
        <v>118</v>
      </c>
      <c r="L1005" s="1" t="s">
        <v>103</v>
      </c>
      <c r="M1005" s="20">
        <v>132300</v>
      </c>
      <c r="P1005" s="20">
        <v>104520</v>
      </c>
      <c r="Q1005" s="20">
        <v>1522080</v>
      </c>
      <c r="R1005" s="20">
        <v>1237200</v>
      </c>
      <c r="AB1005" s="20">
        <v>2996100</v>
      </c>
      <c r="AC1005" s="20">
        <v>759232</v>
      </c>
      <c r="AG1005" s="20">
        <v>1707480</v>
      </c>
      <c r="AH1005" s="20">
        <v>1380000</v>
      </c>
      <c r="AR1005" s="20">
        <v>3846712</v>
      </c>
      <c r="AW1005" s="20">
        <v>1584720</v>
      </c>
      <c r="AX1005" s="20">
        <v>1258536</v>
      </c>
      <c r="BH1005" s="28">
        <v>2843256</v>
      </c>
      <c r="BI1005" s="28">
        <v>9686068</v>
      </c>
    </row>
    <row r="1006" spans="1:61" hidden="1" x14ac:dyDescent="0.3">
      <c r="A1006" s="1" t="s">
        <v>739</v>
      </c>
      <c r="B1006" s="1" t="s">
        <v>110</v>
      </c>
      <c r="C1006" s="1" t="s">
        <v>660</v>
      </c>
      <c r="D1006" s="1" t="s">
        <v>661</v>
      </c>
      <c r="E1006" s="1" t="s">
        <v>660</v>
      </c>
      <c r="F1006" s="1" t="s">
        <v>661</v>
      </c>
      <c r="G1006" s="1" t="s">
        <v>2153</v>
      </c>
      <c r="H1006" s="1" t="s">
        <v>2154</v>
      </c>
      <c r="I1006" s="1" t="s">
        <v>110</v>
      </c>
      <c r="J1006" s="1" t="s">
        <v>229</v>
      </c>
      <c r="K1006" s="1" t="s">
        <v>118</v>
      </c>
      <c r="L1006" s="1" t="s">
        <v>103</v>
      </c>
      <c r="Q1006" s="20">
        <v>1862160</v>
      </c>
      <c r="R1006" s="20">
        <v>1789200</v>
      </c>
      <c r="AB1006" s="20">
        <v>3651360</v>
      </c>
      <c r="AG1006" s="20">
        <v>1676520</v>
      </c>
      <c r="AH1006" s="20">
        <v>2444688</v>
      </c>
      <c r="AR1006" s="20">
        <v>4121208</v>
      </c>
      <c r="AW1006" s="20">
        <v>1141800</v>
      </c>
      <c r="AX1006" s="20">
        <v>2386440</v>
      </c>
      <c r="BH1006" s="28">
        <v>3528240</v>
      </c>
      <c r="BI1006" s="28">
        <v>11300808</v>
      </c>
    </row>
    <row r="1007" spans="1:61" hidden="1" x14ac:dyDescent="0.3">
      <c r="A1007" s="1" t="s">
        <v>739</v>
      </c>
      <c r="B1007" s="1" t="s">
        <v>110</v>
      </c>
      <c r="C1007" s="1" t="s">
        <v>660</v>
      </c>
      <c r="D1007" s="1" t="s">
        <v>661</v>
      </c>
      <c r="E1007" s="1" t="s">
        <v>660</v>
      </c>
      <c r="F1007" s="1" t="s">
        <v>661</v>
      </c>
      <c r="G1007" s="1" t="s">
        <v>2155</v>
      </c>
      <c r="H1007" s="1" t="s">
        <v>2156</v>
      </c>
      <c r="I1007" s="1" t="s">
        <v>110</v>
      </c>
      <c r="J1007" s="1" t="s">
        <v>229</v>
      </c>
      <c r="K1007" s="1" t="s">
        <v>118</v>
      </c>
      <c r="L1007" s="1" t="s">
        <v>103</v>
      </c>
      <c r="M1007" s="20">
        <v>298470</v>
      </c>
      <c r="P1007" s="20">
        <v>209040</v>
      </c>
      <c r="Q1007" s="20">
        <v>1606920</v>
      </c>
      <c r="R1007" s="20">
        <v>1374000</v>
      </c>
      <c r="AB1007" s="20">
        <v>3488430</v>
      </c>
      <c r="AC1007" s="20">
        <v>237984</v>
      </c>
      <c r="AG1007" s="20">
        <v>1566120</v>
      </c>
      <c r="AH1007" s="20">
        <v>1591320</v>
      </c>
      <c r="AR1007" s="20">
        <v>3395424</v>
      </c>
      <c r="AS1007" s="20">
        <v>445500</v>
      </c>
      <c r="AW1007" s="20">
        <v>1363560</v>
      </c>
      <c r="AX1007" s="20">
        <v>1144536</v>
      </c>
      <c r="BH1007" s="28">
        <v>2953596</v>
      </c>
      <c r="BI1007" s="28">
        <v>9837450</v>
      </c>
    </row>
    <row r="1008" spans="1:61" hidden="1" x14ac:dyDescent="0.3">
      <c r="A1008" s="1" t="s">
        <v>739</v>
      </c>
      <c r="B1008" s="1" t="s">
        <v>110</v>
      </c>
      <c r="C1008" s="1" t="s">
        <v>660</v>
      </c>
      <c r="D1008" s="1" t="s">
        <v>661</v>
      </c>
      <c r="E1008" s="1" t="s">
        <v>660</v>
      </c>
      <c r="F1008" s="1" t="s">
        <v>661</v>
      </c>
      <c r="G1008" s="1" t="s">
        <v>2157</v>
      </c>
      <c r="H1008" s="1" t="s">
        <v>2158</v>
      </c>
      <c r="I1008" s="1" t="s">
        <v>110</v>
      </c>
      <c r="J1008" s="1" t="s">
        <v>229</v>
      </c>
      <c r="K1008" s="1" t="s">
        <v>118</v>
      </c>
      <c r="L1008" s="1" t="s">
        <v>103</v>
      </c>
      <c r="P1008" s="20">
        <v>104520</v>
      </c>
      <c r="Q1008" s="20">
        <v>1175760</v>
      </c>
      <c r="R1008" s="20">
        <v>1923600</v>
      </c>
      <c r="AB1008" s="20">
        <v>3203880</v>
      </c>
      <c r="AF1008" s="20">
        <v>104520</v>
      </c>
      <c r="AG1008" s="20">
        <v>1331640</v>
      </c>
      <c r="AH1008" s="20">
        <v>1696104</v>
      </c>
      <c r="AR1008" s="20">
        <v>3132264</v>
      </c>
      <c r="AW1008" s="20">
        <v>950400</v>
      </c>
      <c r="AX1008" s="20">
        <v>1966464</v>
      </c>
      <c r="BH1008" s="28">
        <v>2916864</v>
      </c>
      <c r="BI1008" s="28">
        <v>9253008</v>
      </c>
    </row>
    <row r="1009" spans="1:61" hidden="1" x14ac:dyDescent="0.3">
      <c r="A1009" s="1" t="s">
        <v>739</v>
      </c>
      <c r="B1009" s="1" t="s">
        <v>110</v>
      </c>
      <c r="C1009" s="1" t="s">
        <v>660</v>
      </c>
      <c r="D1009" s="1" t="s">
        <v>661</v>
      </c>
      <c r="E1009" s="1" t="s">
        <v>660</v>
      </c>
      <c r="F1009" s="1" t="s">
        <v>661</v>
      </c>
      <c r="G1009" s="1" t="s">
        <v>2159</v>
      </c>
      <c r="H1009" s="1" t="s">
        <v>2160</v>
      </c>
      <c r="I1009" s="1" t="s">
        <v>110</v>
      </c>
      <c r="J1009" s="1" t="s">
        <v>229</v>
      </c>
      <c r="K1009" s="1" t="s">
        <v>118</v>
      </c>
      <c r="L1009" s="1" t="s">
        <v>103</v>
      </c>
      <c r="M1009" s="20">
        <v>706212</v>
      </c>
      <c r="P1009" s="20">
        <v>564120</v>
      </c>
      <c r="Q1009" s="20">
        <v>2567640</v>
      </c>
      <c r="R1009" s="20">
        <v>1580400</v>
      </c>
      <c r="AB1009" s="20">
        <v>5418372</v>
      </c>
      <c r="AC1009" s="20">
        <v>676268</v>
      </c>
      <c r="AF1009" s="20">
        <v>418896</v>
      </c>
      <c r="AG1009" s="20">
        <v>1677840</v>
      </c>
      <c r="AH1009" s="20">
        <v>2320584</v>
      </c>
      <c r="AR1009" s="20">
        <v>5093588</v>
      </c>
      <c r="AS1009" s="20">
        <v>1507176</v>
      </c>
      <c r="AW1009" s="20">
        <v>1304040</v>
      </c>
      <c r="AX1009" s="20">
        <v>1387368</v>
      </c>
      <c r="BH1009" s="28">
        <v>4198584</v>
      </c>
      <c r="BI1009" s="28">
        <v>14710544</v>
      </c>
    </row>
    <row r="1010" spans="1:61" hidden="1" x14ac:dyDescent="0.3">
      <c r="A1010" s="1" t="s">
        <v>739</v>
      </c>
      <c r="B1010" s="1" t="s">
        <v>110</v>
      </c>
      <c r="C1010" s="1" t="s">
        <v>660</v>
      </c>
      <c r="D1010" s="1" t="s">
        <v>661</v>
      </c>
      <c r="E1010" s="1" t="s">
        <v>660</v>
      </c>
      <c r="F1010" s="1" t="s">
        <v>661</v>
      </c>
      <c r="G1010" s="1" t="s">
        <v>2161</v>
      </c>
      <c r="H1010" s="1" t="s">
        <v>2162</v>
      </c>
      <c r="I1010" s="1" t="s">
        <v>110</v>
      </c>
      <c r="J1010" s="1" t="s">
        <v>229</v>
      </c>
      <c r="K1010" s="1" t="s">
        <v>118</v>
      </c>
      <c r="L1010" s="1" t="s">
        <v>103</v>
      </c>
      <c r="M1010" s="20">
        <v>132300</v>
      </c>
      <c r="Q1010" s="20">
        <v>573000</v>
      </c>
      <c r="R1010" s="20">
        <v>914400</v>
      </c>
      <c r="AB1010" s="20">
        <v>1619700</v>
      </c>
      <c r="AC1010" s="20">
        <v>600576</v>
      </c>
      <c r="AF1010" s="20">
        <v>130800</v>
      </c>
      <c r="AG1010" s="20">
        <v>666600</v>
      </c>
      <c r="AH1010" s="20">
        <v>428400</v>
      </c>
      <c r="AR1010" s="20">
        <v>1826376</v>
      </c>
      <c r="AS1010" s="20">
        <v>1105524</v>
      </c>
      <c r="AV1010" s="20">
        <v>98096</v>
      </c>
      <c r="AW1010" s="20">
        <v>446640</v>
      </c>
      <c r="AX1010" s="20">
        <v>842736</v>
      </c>
      <c r="BH1010" s="28">
        <v>2492996</v>
      </c>
      <c r="BI1010" s="28">
        <v>5939072</v>
      </c>
    </row>
    <row r="1011" spans="1:61" hidden="1" x14ac:dyDescent="0.3">
      <c r="A1011" s="1" t="s">
        <v>739</v>
      </c>
      <c r="B1011" s="1" t="s">
        <v>110</v>
      </c>
      <c r="C1011" s="1" t="s">
        <v>660</v>
      </c>
      <c r="D1011" s="1" t="s">
        <v>661</v>
      </c>
      <c r="E1011" s="1" t="s">
        <v>660</v>
      </c>
      <c r="F1011" s="1" t="s">
        <v>661</v>
      </c>
      <c r="G1011" s="1" t="s">
        <v>2163</v>
      </c>
      <c r="H1011" s="1" t="s">
        <v>2164</v>
      </c>
      <c r="I1011" s="1" t="s">
        <v>110</v>
      </c>
      <c r="J1011" s="1" t="s">
        <v>229</v>
      </c>
      <c r="K1011" s="1" t="s">
        <v>118</v>
      </c>
      <c r="L1011" s="1" t="s">
        <v>103</v>
      </c>
      <c r="P1011" s="20">
        <v>794920</v>
      </c>
      <c r="Q1011" s="20">
        <v>1087560</v>
      </c>
      <c r="R1011" s="20">
        <v>1342800</v>
      </c>
      <c r="AB1011" s="20">
        <v>3225280</v>
      </c>
      <c r="AC1011" s="20">
        <v>237984</v>
      </c>
      <c r="AF1011" s="20">
        <v>449960</v>
      </c>
      <c r="AG1011" s="20">
        <v>988680</v>
      </c>
      <c r="AH1011" s="20">
        <v>1902168</v>
      </c>
      <c r="AR1011" s="20">
        <v>3578792</v>
      </c>
      <c r="AS1011" s="20">
        <v>0</v>
      </c>
      <c r="AV1011" s="20">
        <v>319560</v>
      </c>
      <c r="AW1011" s="20">
        <v>828240</v>
      </c>
      <c r="AX1011" s="20">
        <v>1767624</v>
      </c>
      <c r="BH1011" s="28">
        <v>2915424</v>
      </c>
      <c r="BI1011" s="28">
        <v>9719496</v>
      </c>
    </row>
    <row r="1012" spans="1:61" hidden="1" x14ac:dyDescent="0.3">
      <c r="A1012" s="1" t="s">
        <v>739</v>
      </c>
      <c r="B1012" s="1" t="s">
        <v>110</v>
      </c>
      <c r="C1012" s="1" t="s">
        <v>660</v>
      </c>
      <c r="D1012" s="1" t="s">
        <v>661</v>
      </c>
      <c r="E1012" s="1" t="s">
        <v>660</v>
      </c>
      <c r="F1012" s="1" t="s">
        <v>661</v>
      </c>
      <c r="G1012" s="1" t="s">
        <v>2165</v>
      </c>
      <c r="H1012" s="1" t="s">
        <v>2166</v>
      </c>
      <c r="I1012" s="1" t="s">
        <v>110</v>
      </c>
      <c r="J1012" s="1" t="s">
        <v>229</v>
      </c>
      <c r="K1012" s="1" t="s">
        <v>118</v>
      </c>
      <c r="L1012" s="1" t="s">
        <v>103</v>
      </c>
      <c r="P1012" s="20">
        <v>601720</v>
      </c>
      <c r="Q1012" s="20">
        <v>1420320</v>
      </c>
      <c r="R1012" s="20">
        <v>1228800</v>
      </c>
      <c r="AB1012" s="20">
        <v>3250840</v>
      </c>
      <c r="AC1012" s="20">
        <v>198320</v>
      </c>
      <c r="AF1012" s="20">
        <v>156000</v>
      </c>
      <c r="AG1012" s="20">
        <v>1039200</v>
      </c>
      <c r="AH1012" s="20">
        <v>232752</v>
      </c>
      <c r="AR1012" s="20">
        <v>1626272</v>
      </c>
      <c r="AS1012" s="20">
        <v>427000</v>
      </c>
      <c r="AW1012" s="20">
        <v>980880</v>
      </c>
      <c r="AX1012" s="20">
        <v>980400</v>
      </c>
      <c r="BH1012" s="28">
        <v>2388280</v>
      </c>
      <c r="BI1012" s="28">
        <v>7265392</v>
      </c>
    </row>
    <row r="1013" spans="1:61" hidden="1" x14ac:dyDescent="0.3">
      <c r="A1013" s="1" t="s">
        <v>739</v>
      </c>
      <c r="B1013" s="1" t="s">
        <v>110</v>
      </c>
      <c r="C1013" s="1" t="s">
        <v>660</v>
      </c>
      <c r="D1013" s="1" t="s">
        <v>661</v>
      </c>
      <c r="E1013" s="1" t="s">
        <v>660</v>
      </c>
      <c r="F1013" s="1" t="s">
        <v>661</v>
      </c>
      <c r="G1013" s="1" t="s">
        <v>2167</v>
      </c>
      <c r="H1013" s="1" t="s">
        <v>2168</v>
      </c>
      <c r="I1013" s="1" t="s">
        <v>110</v>
      </c>
      <c r="J1013" s="1" t="s">
        <v>229</v>
      </c>
      <c r="K1013" s="1" t="s">
        <v>118</v>
      </c>
      <c r="L1013" s="1" t="s">
        <v>103</v>
      </c>
      <c r="M1013" s="20">
        <v>264600</v>
      </c>
      <c r="Q1013" s="20">
        <v>789240</v>
      </c>
      <c r="R1013" s="20">
        <v>628800</v>
      </c>
      <c r="AB1013" s="20">
        <v>1682640</v>
      </c>
      <c r="AC1013" s="20">
        <v>237984</v>
      </c>
      <c r="AF1013" s="20">
        <v>128904</v>
      </c>
      <c r="AG1013" s="20">
        <v>1676640</v>
      </c>
      <c r="AH1013" s="20">
        <v>1049784</v>
      </c>
      <c r="AR1013" s="20">
        <v>3093312</v>
      </c>
      <c r="AV1013" s="20">
        <v>144296</v>
      </c>
      <c r="AW1013" s="20">
        <v>1122720</v>
      </c>
      <c r="AX1013" s="20">
        <v>568584</v>
      </c>
      <c r="BH1013" s="28">
        <v>1835600</v>
      </c>
      <c r="BI1013" s="28">
        <v>6611552</v>
      </c>
    </row>
    <row r="1014" spans="1:61" hidden="1" x14ac:dyDescent="0.3">
      <c r="A1014" s="1" t="s">
        <v>739</v>
      </c>
      <c r="B1014" s="1" t="s">
        <v>110</v>
      </c>
      <c r="C1014" s="1" t="s">
        <v>660</v>
      </c>
      <c r="D1014" s="1" t="s">
        <v>661</v>
      </c>
      <c r="E1014" s="1" t="s">
        <v>660</v>
      </c>
      <c r="F1014" s="1" t="s">
        <v>661</v>
      </c>
      <c r="G1014" s="1" t="s">
        <v>2169</v>
      </c>
      <c r="H1014" s="1" t="s">
        <v>2170</v>
      </c>
      <c r="I1014" s="1" t="s">
        <v>110</v>
      </c>
      <c r="J1014" s="1" t="s">
        <v>229</v>
      </c>
      <c r="K1014" s="1" t="s">
        <v>118</v>
      </c>
      <c r="L1014" s="1" t="s">
        <v>103</v>
      </c>
      <c r="M1014" s="20">
        <v>426792</v>
      </c>
      <c r="P1014" s="20">
        <v>534936</v>
      </c>
      <c r="Q1014" s="20">
        <v>2757600</v>
      </c>
      <c r="R1014" s="20">
        <v>2703600</v>
      </c>
      <c r="AB1014" s="20">
        <v>6422928</v>
      </c>
      <c r="AC1014" s="20">
        <v>600576</v>
      </c>
      <c r="AF1014" s="20">
        <v>104520</v>
      </c>
      <c r="AG1014" s="20">
        <v>1208520</v>
      </c>
      <c r="AH1014" s="20">
        <v>2412120</v>
      </c>
      <c r="AR1014" s="20">
        <v>4325736</v>
      </c>
      <c r="AS1014" s="20">
        <v>643856</v>
      </c>
      <c r="AV1014" s="20">
        <v>144296</v>
      </c>
      <c r="AW1014" s="20">
        <v>1396200</v>
      </c>
      <c r="AX1014" s="20">
        <v>2123280</v>
      </c>
      <c r="BH1014" s="28">
        <v>4307632</v>
      </c>
      <c r="BI1014" s="28">
        <v>15056296</v>
      </c>
    </row>
    <row r="1015" spans="1:61" hidden="1" x14ac:dyDescent="0.3">
      <c r="A1015" s="1" t="s">
        <v>739</v>
      </c>
      <c r="B1015" s="1" t="s">
        <v>110</v>
      </c>
      <c r="C1015" s="1" t="s">
        <v>660</v>
      </c>
      <c r="D1015" s="1" t="s">
        <v>661</v>
      </c>
      <c r="E1015" s="1" t="s">
        <v>660</v>
      </c>
      <c r="F1015" s="1" t="s">
        <v>661</v>
      </c>
      <c r="G1015" s="1" t="s">
        <v>2171</v>
      </c>
      <c r="H1015" s="1" t="s">
        <v>2172</v>
      </c>
      <c r="I1015" s="1" t="s">
        <v>110</v>
      </c>
      <c r="J1015" s="1" t="s">
        <v>229</v>
      </c>
      <c r="K1015" s="1" t="s">
        <v>118</v>
      </c>
      <c r="L1015" s="1" t="s">
        <v>103</v>
      </c>
      <c r="AG1015" s="20">
        <v>1543080</v>
      </c>
      <c r="AR1015" s="20">
        <v>1543080</v>
      </c>
      <c r="AS1015" s="20">
        <v>597360</v>
      </c>
      <c r="AW1015" s="20">
        <v>1141440</v>
      </c>
      <c r="BH1015" s="28">
        <v>1738800</v>
      </c>
      <c r="BI1015" s="28">
        <v>3281880</v>
      </c>
    </row>
    <row r="1016" spans="1:61" hidden="1" x14ac:dyDescent="0.3">
      <c r="A1016" s="1" t="s">
        <v>739</v>
      </c>
      <c r="B1016" s="1" t="s">
        <v>110</v>
      </c>
      <c r="C1016" s="1" t="s">
        <v>660</v>
      </c>
      <c r="D1016" s="1" t="s">
        <v>661</v>
      </c>
      <c r="E1016" s="1" t="s">
        <v>660</v>
      </c>
      <c r="F1016" s="1" t="s">
        <v>661</v>
      </c>
      <c r="G1016" s="1" t="s">
        <v>2173</v>
      </c>
      <c r="H1016" s="1" t="s">
        <v>2174</v>
      </c>
      <c r="I1016" s="1" t="s">
        <v>110</v>
      </c>
      <c r="J1016" s="1" t="s">
        <v>229</v>
      </c>
      <c r="K1016" s="1" t="s">
        <v>118</v>
      </c>
      <c r="L1016" s="1" t="s">
        <v>103</v>
      </c>
      <c r="M1016" s="20">
        <v>66150</v>
      </c>
      <c r="P1016" s="20">
        <v>263808</v>
      </c>
      <c r="Q1016" s="20">
        <v>806880</v>
      </c>
      <c r="R1016" s="20">
        <v>1123200</v>
      </c>
      <c r="AB1016" s="20">
        <v>2260038</v>
      </c>
      <c r="AC1016" s="20">
        <v>1315848</v>
      </c>
      <c r="AF1016" s="20">
        <v>130800</v>
      </c>
      <c r="AG1016" s="20">
        <v>1263000</v>
      </c>
      <c r="AH1016" s="20">
        <v>951600</v>
      </c>
      <c r="AR1016" s="20">
        <v>3661248</v>
      </c>
      <c r="AS1016" s="20">
        <v>968646</v>
      </c>
      <c r="AV1016" s="20">
        <v>350128</v>
      </c>
      <c r="AW1016" s="20">
        <v>873720</v>
      </c>
      <c r="AX1016" s="20">
        <v>898752</v>
      </c>
      <c r="BH1016" s="28">
        <v>3091246</v>
      </c>
      <c r="BI1016" s="28">
        <v>9012532</v>
      </c>
    </row>
    <row r="1017" spans="1:61" hidden="1" x14ac:dyDescent="0.3">
      <c r="A1017" s="1" t="s">
        <v>739</v>
      </c>
      <c r="B1017" s="1" t="s">
        <v>110</v>
      </c>
      <c r="C1017" s="1" t="s">
        <v>660</v>
      </c>
      <c r="D1017" s="1" t="s">
        <v>661</v>
      </c>
      <c r="E1017" s="1" t="s">
        <v>660</v>
      </c>
      <c r="F1017" s="1" t="s">
        <v>661</v>
      </c>
      <c r="G1017" s="1" t="s">
        <v>2175</v>
      </c>
      <c r="H1017" s="1" t="s">
        <v>2176</v>
      </c>
      <c r="I1017" s="1" t="s">
        <v>110</v>
      </c>
      <c r="J1017" s="1" t="s">
        <v>229</v>
      </c>
      <c r="K1017" s="1" t="s">
        <v>118</v>
      </c>
      <c r="L1017" s="1" t="s">
        <v>103</v>
      </c>
      <c r="M1017" s="20">
        <v>1004682</v>
      </c>
      <c r="P1017" s="20">
        <v>1166432</v>
      </c>
      <c r="Q1017" s="20">
        <v>2482680</v>
      </c>
      <c r="R1017" s="20">
        <v>1400400</v>
      </c>
      <c r="AB1017" s="20">
        <v>6054194</v>
      </c>
      <c r="AC1017" s="20">
        <v>940528</v>
      </c>
      <c r="AF1017" s="20">
        <v>175264</v>
      </c>
      <c r="AG1017" s="20">
        <v>1530720</v>
      </c>
      <c r="AH1017" s="20">
        <v>1300584</v>
      </c>
      <c r="AR1017" s="20">
        <v>3947096</v>
      </c>
      <c r="AW1017" s="20">
        <v>1356720</v>
      </c>
      <c r="AX1017" s="20">
        <v>1446000</v>
      </c>
      <c r="BH1017" s="28">
        <v>2802720</v>
      </c>
      <c r="BI1017" s="28">
        <v>12804010</v>
      </c>
    </row>
    <row r="1018" spans="1:61" hidden="1" x14ac:dyDescent="0.3">
      <c r="A1018" s="1" t="s">
        <v>739</v>
      </c>
      <c r="B1018" s="1" t="s">
        <v>110</v>
      </c>
      <c r="C1018" s="1" t="s">
        <v>660</v>
      </c>
      <c r="D1018" s="1" t="s">
        <v>661</v>
      </c>
      <c r="E1018" s="1" t="s">
        <v>660</v>
      </c>
      <c r="F1018" s="1" t="s">
        <v>661</v>
      </c>
      <c r="G1018" s="1" t="s">
        <v>2177</v>
      </c>
      <c r="H1018" s="1" t="s">
        <v>2178</v>
      </c>
      <c r="I1018" s="1" t="s">
        <v>110</v>
      </c>
      <c r="J1018" s="1" t="s">
        <v>229</v>
      </c>
      <c r="K1018" s="1" t="s">
        <v>118</v>
      </c>
      <c r="L1018" s="1" t="s">
        <v>103</v>
      </c>
      <c r="M1018" s="20">
        <v>298470</v>
      </c>
      <c r="P1018" s="20">
        <v>238016</v>
      </c>
      <c r="Q1018" s="20">
        <v>1340400</v>
      </c>
      <c r="R1018" s="20">
        <v>885600</v>
      </c>
      <c r="AB1018" s="20">
        <v>2762486</v>
      </c>
      <c r="AC1018" s="20">
        <v>198320</v>
      </c>
      <c r="AF1018" s="20">
        <v>104520</v>
      </c>
      <c r="AG1018" s="20">
        <v>2275440</v>
      </c>
      <c r="AH1018" s="20">
        <v>1377384</v>
      </c>
      <c r="AR1018" s="20">
        <v>3955664</v>
      </c>
      <c r="AW1018" s="20">
        <v>1799400</v>
      </c>
      <c r="AX1018" s="20">
        <v>2102568</v>
      </c>
      <c r="BH1018" s="28">
        <v>3901968</v>
      </c>
      <c r="BI1018" s="28">
        <v>10620118</v>
      </c>
    </row>
    <row r="1019" spans="1:61" hidden="1" x14ac:dyDescent="0.3">
      <c r="A1019" s="1" t="s">
        <v>739</v>
      </c>
      <c r="B1019" s="1" t="s">
        <v>110</v>
      </c>
      <c r="C1019" s="1" t="s">
        <v>660</v>
      </c>
      <c r="D1019" s="1" t="s">
        <v>661</v>
      </c>
      <c r="E1019" s="1" t="s">
        <v>660</v>
      </c>
      <c r="F1019" s="1" t="s">
        <v>661</v>
      </c>
      <c r="G1019" s="1" t="s">
        <v>2179</v>
      </c>
      <c r="H1019" s="1" t="s">
        <v>2180</v>
      </c>
      <c r="I1019" s="1" t="s">
        <v>110</v>
      </c>
      <c r="J1019" s="1" t="s">
        <v>229</v>
      </c>
      <c r="K1019" s="1" t="s">
        <v>118</v>
      </c>
      <c r="L1019" s="1" t="s">
        <v>103</v>
      </c>
      <c r="M1019" s="20">
        <v>2487054</v>
      </c>
      <c r="P1019" s="20">
        <v>313560</v>
      </c>
      <c r="Q1019" s="20">
        <v>1138440</v>
      </c>
      <c r="R1019" s="20">
        <v>2072400</v>
      </c>
      <c r="AB1019" s="20">
        <v>6011454</v>
      </c>
      <c r="AC1019" s="20">
        <v>237984</v>
      </c>
      <c r="AG1019" s="20">
        <v>1411920</v>
      </c>
      <c r="AH1019" s="20">
        <v>1794168</v>
      </c>
      <c r="AR1019" s="20">
        <v>3444072</v>
      </c>
      <c r="AS1019" s="20">
        <v>914504</v>
      </c>
      <c r="AV1019" s="20">
        <v>156000</v>
      </c>
      <c r="AW1019" s="20">
        <v>985800</v>
      </c>
      <c r="AX1019" s="20">
        <v>2626584</v>
      </c>
      <c r="BH1019" s="28">
        <v>4682888</v>
      </c>
      <c r="BI1019" s="28">
        <v>14138414</v>
      </c>
    </row>
    <row r="1020" spans="1:61" hidden="1" x14ac:dyDescent="0.3">
      <c r="A1020" s="1" t="s">
        <v>739</v>
      </c>
      <c r="B1020" s="1" t="s">
        <v>110</v>
      </c>
      <c r="C1020" s="1" t="s">
        <v>660</v>
      </c>
      <c r="D1020" s="1" t="s">
        <v>661</v>
      </c>
      <c r="E1020" s="1" t="s">
        <v>660</v>
      </c>
      <c r="F1020" s="1" t="s">
        <v>661</v>
      </c>
      <c r="G1020" s="1" t="s">
        <v>2181</v>
      </c>
      <c r="H1020" s="1" t="s">
        <v>2182</v>
      </c>
      <c r="I1020" s="1" t="s">
        <v>110</v>
      </c>
      <c r="J1020" s="1" t="s">
        <v>229</v>
      </c>
      <c r="K1020" s="1" t="s">
        <v>118</v>
      </c>
      <c r="L1020" s="1" t="s">
        <v>103</v>
      </c>
      <c r="P1020" s="20">
        <v>470920</v>
      </c>
      <c r="Q1020" s="20">
        <v>1238160</v>
      </c>
      <c r="R1020" s="20">
        <v>1710000</v>
      </c>
      <c r="AB1020" s="20">
        <v>3419080</v>
      </c>
      <c r="AF1020" s="20">
        <v>156000</v>
      </c>
      <c r="AG1020" s="20">
        <v>1962000</v>
      </c>
      <c r="AH1020" s="20">
        <v>1558968</v>
      </c>
      <c r="AR1020" s="20">
        <v>3676968</v>
      </c>
      <c r="AV1020" s="20">
        <v>144296</v>
      </c>
      <c r="AW1020" s="20">
        <v>759600</v>
      </c>
      <c r="AX1020" s="20">
        <v>1501944</v>
      </c>
      <c r="BH1020" s="28">
        <v>2405840</v>
      </c>
      <c r="BI1020" s="28">
        <v>9501888</v>
      </c>
    </row>
    <row r="1021" spans="1:61" hidden="1" x14ac:dyDescent="0.3">
      <c r="A1021" s="1" t="s">
        <v>739</v>
      </c>
      <c r="B1021" s="1" t="s">
        <v>110</v>
      </c>
      <c r="C1021" s="1" t="s">
        <v>660</v>
      </c>
      <c r="D1021" s="1" t="s">
        <v>661</v>
      </c>
      <c r="E1021" s="1" t="s">
        <v>660</v>
      </c>
      <c r="F1021" s="1" t="s">
        <v>661</v>
      </c>
      <c r="G1021" s="1" t="s">
        <v>2183</v>
      </c>
      <c r="H1021" s="1" t="s">
        <v>2184</v>
      </c>
      <c r="I1021" s="1" t="s">
        <v>110</v>
      </c>
      <c r="J1021" s="1" t="s">
        <v>229</v>
      </c>
      <c r="K1021" s="1" t="s">
        <v>118</v>
      </c>
      <c r="L1021" s="1" t="s">
        <v>103</v>
      </c>
      <c r="M1021" s="20">
        <v>1303152</v>
      </c>
      <c r="P1021" s="20">
        <v>708168</v>
      </c>
      <c r="Q1021" s="20">
        <v>2561760</v>
      </c>
      <c r="R1021" s="20">
        <v>1644000</v>
      </c>
      <c r="AB1021" s="20">
        <v>6217080</v>
      </c>
      <c r="AC1021" s="20">
        <v>838560</v>
      </c>
      <c r="AF1021" s="20">
        <v>87632</v>
      </c>
      <c r="AG1021" s="20">
        <v>2536680</v>
      </c>
      <c r="AH1021" s="20">
        <v>2246400</v>
      </c>
      <c r="AR1021" s="20">
        <v>5709272</v>
      </c>
      <c r="AS1021" s="20">
        <v>992606</v>
      </c>
      <c r="AV1021" s="20">
        <v>642024</v>
      </c>
      <c r="AW1021" s="20">
        <v>1623120</v>
      </c>
      <c r="AX1021" s="20">
        <v>3598848</v>
      </c>
      <c r="BH1021" s="28">
        <v>6856598</v>
      </c>
      <c r="BI1021" s="28">
        <v>18782950</v>
      </c>
    </row>
    <row r="1022" spans="1:61" hidden="1" x14ac:dyDescent="0.3">
      <c r="A1022" s="1" t="s">
        <v>739</v>
      </c>
      <c r="B1022" s="1" t="s">
        <v>110</v>
      </c>
      <c r="C1022" s="1" t="s">
        <v>660</v>
      </c>
      <c r="D1022" s="1" t="s">
        <v>661</v>
      </c>
      <c r="E1022" s="1" t="s">
        <v>660</v>
      </c>
      <c r="F1022" s="1" t="s">
        <v>661</v>
      </c>
      <c r="G1022" s="1" t="s">
        <v>2185</v>
      </c>
      <c r="H1022" s="1" t="s">
        <v>2186</v>
      </c>
      <c r="I1022" s="1" t="s">
        <v>110</v>
      </c>
      <c r="J1022" s="1" t="s">
        <v>229</v>
      </c>
      <c r="K1022" s="1" t="s">
        <v>118</v>
      </c>
      <c r="L1022" s="1" t="s">
        <v>103</v>
      </c>
      <c r="M1022" s="20">
        <v>298470</v>
      </c>
      <c r="P1022" s="20">
        <v>328800</v>
      </c>
      <c r="Q1022" s="20">
        <v>1915200</v>
      </c>
      <c r="R1022" s="20">
        <v>1408800</v>
      </c>
      <c r="AB1022" s="20">
        <v>3951270</v>
      </c>
      <c r="AC1022" s="20">
        <v>475968</v>
      </c>
      <c r="AG1022" s="20">
        <v>1315440</v>
      </c>
      <c r="AH1022" s="20">
        <v>1393152</v>
      </c>
      <c r="AR1022" s="20">
        <v>3184560</v>
      </c>
      <c r="AS1022" s="20">
        <v>1265778</v>
      </c>
      <c r="AW1022" s="20">
        <v>1072680</v>
      </c>
      <c r="AX1022" s="20">
        <v>1468872</v>
      </c>
      <c r="BH1022" s="28">
        <v>3807330</v>
      </c>
      <c r="BI1022" s="28">
        <v>10943160</v>
      </c>
    </row>
    <row r="1023" spans="1:61" hidden="1" x14ac:dyDescent="0.3">
      <c r="A1023" s="1" t="s">
        <v>739</v>
      </c>
      <c r="B1023" s="1" t="s">
        <v>110</v>
      </c>
      <c r="C1023" s="1" t="s">
        <v>660</v>
      </c>
      <c r="D1023" s="1" t="s">
        <v>661</v>
      </c>
      <c r="E1023" s="1" t="s">
        <v>660</v>
      </c>
      <c r="F1023" s="1" t="s">
        <v>661</v>
      </c>
      <c r="G1023" s="1" t="s">
        <v>2187</v>
      </c>
      <c r="H1023" s="1" t="s">
        <v>2188</v>
      </c>
      <c r="I1023" s="1" t="s">
        <v>110</v>
      </c>
      <c r="J1023" s="1" t="s">
        <v>229</v>
      </c>
      <c r="K1023" s="1" t="s">
        <v>118</v>
      </c>
      <c r="L1023" s="1" t="s">
        <v>103</v>
      </c>
      <c r="P1023" s="20">
        <v>427720</v>
      </c>
      <c r="Q1023" s="20">
        <v>2427960</v>
      </c>
      <c r="R1023" s="20">
        <v>2854800</v>
      </c>
      <c r="AB1023" s="20">
        <v>5710480</v>
      </c>
      <c r="AC1023" s="20">
        <v>237984</v>
      </c>
      <c r="AF1023" s="20">
        <v>641456</v>
      </c>
      <c r="AG1023" s="20">
        <v>1538040</v>
      </c>
      <c r="AH1023" s="20">
        <v>2846304</v>
      </c>
      <c r="AR1023" s="20">
        <v>5263784</v>
      </c>
      <c r="AV1023" s="20">
        <v>727192</v>
      </c>
      <c r="AW1023" s="20">
        <v>1425240</v>
      </c>
      <c r="AX1023" s="20">
        <v>1697496</v>
      </c>
      <c r="BH1023" s="28">
        <v>3849928</v>
      </c>
      <c r="BI1023" s="28">
        <v>14824192</v>
      </c>
    </row>
    <row r="1024" spans="1:61" hidden="1" x14ac:dyDescent="0.3">
      <c r="A1024" s="1" t="s">
        <v>739</v>
      </c>
      <c r="B1024" s="1" t="s">
        <v>110</v>
      </c>
      <c r="C1024" s="1" t="s">
        <v>660</v>
      </c>
      <c r="D1024" s="1" t="s">
        <v>661</v>
      </c>
      <c r="E1024" s="1" t="s">
        <v>660</v>
      </c>
      <c r="F1024" s="1" t="s">
        <v>661</v>
      </c>
      <c r="G1024" s="1" t="s">
        <v>2189</v>
      </c>
      <c r="H1024" s="1" t="s">
        <v>2190</v>
      </c>
      <c r="I1024" s="1" t="s">
        <v>110</v>
      </c>
      <c r="J1024" s="1" t="s">
        <v>229</v>
      </c>
      <c r="K1024" s="1" t="s">
        <v>118</v>
      </c>
      <c r="L1024" s="1" t="s">
        <v>103</v>
      </c>
      <c r="M1024" s="20">
        <v>989862</v>
      </c>
      <c r="P1024" s="20">
        <v>679960</v>
      </c>
      <c r="Q1024" s="20">
        <v>2988360</v>
      </c>
      <c r="R1024" s="20">
        <v>4633200</v>
      </c>
      <c r="AB1024" s="20">
        <v>9291382</v>
      </c>
      <c r="AC1024" s="20">
        <v>1201152</v>
      </c>
      <c r="AF1024" s="20">
        <v>339840</v>
      </c>
      <c r="AG1024" s="20">
        <v>2602080</v>
      </c>
      <c r="AH1024" s="20">
        <v>4624272</v>
      </c>
      <c r="AR1024" s="20">
        <v>8767344</v>
      </c>
      <c r="AS1024" s="20">
        <v>536496</v>
      </c>
      <c r="AW1024" s="20">
        <v>1549680</v>
      </c>
      <c r="AX1024" s="20">
        <v>4186440</v>
      </c>
      <c r="BH1024" s="28">
        <v>6272616</v>
      </c>
      <c r="BI1024" s="28">
        <v>24331342</v>
      </c>
    </row>
    <row r="1025" spans="1:61" hidden="1" x14ac:dyDescent="0.3">
      <c r="A1025" s="1" t="s">
        <v>739</v>
      </c>
      <c r="B1025" s="1" t="s">
        <v>110</v>
      </c>
      <c r="C1025" s="1" t="s">
        <v>660</v>
      </c>
      <c r="D1025" s="1" t="s">
        <v>661</v>
      </c>
      <c r="E1025" s="1" t="s">
        <v>660</v>
      </c>
      <c r="F1025" s="1" t="s">
        <v>661</v>
      </c>
      <c r="G1025" s="1" t="s">
        <v>2191</v>
      </c>
      <c r="H1025" s="1" t="s">
        <v>2192</v>
      </c>
      <c r="I1025" s="1" t="s">
        <v>110</v>
      </c>
      <c r="J1025" s="1" t="s">
        <v>229</v>
      </c>
      <c r="K1025" s="1" t="s">
        <v>118</v>
      </c>
      <c r="L1025" s="1" t="s">
        <v>103</v>
      </c>
      <c r="M1025" s="20">
        <v>437400</v>
      </c>
      <c r="P1025" s="20">
        <v>162000</v>
      </c>
      <c r="Q1025" s="20">
        <v>1388400</v>
      </c>
      <c r="R1025" s="20">
        <v>914400</v>
      </c>
      <c r="AB1025" s="20">
        <v>2902200</v>
      </c>
      <c r="AC1025" s="20">
        <v>1046376</v>
      </c>
      <c r="AG1025" s="20">
        <v>1151160</v>
      </c>
      <c r="AH1025" s="20">
        <v>975552</v>
      </c>
      <c r="AR1025" s="20">
        <v>3173088</v>
      </c>
      <c r="AW1025" s="20">
        <v>553320</v>
      </c>
      <c r="AX1025" s="20">
        <v>600000</v>
      </c>
      <c r="BH1025" s="28">
        <v>1153320</v>
      </c>
      <c r="BI1025" s="28">
        <v>7228608</v>
      </c>
    </row>
    <row r="1026" spans="1:61" hidden="1" x14ac:dyDescent="0.3">
      <c r="A1026" s="1" t="s">
        <v>739</v>
      </c>
      <c r="B1026" s="1" t="s">
        <v>110</v>
      </c>
      <c r="C1026" s="1" t="s">
        <v>660</v>
      </c>
      <c r="D1026" s="1" t="s">
        <v>661</v>
      </c>
      <c r="E1026" s="1" t="s">
        <v>660</v>
      </c>
      <c r="F1026" s="1" t="s">
        <v>661</v>
      </c>
      <c r="G1026" s="1" t="s">
        <v>2193</v>
      </c>
      <c r="H1026" s="1" t="s">
        <v>2194</v>
      </c>
      <c r="I1026" s="1" t="s">
        <v>110</v>
      </c>
      <c r="J1026" s="1" t="s">
        <v>229</v>
      </c>
      <c r="K1026" s="1" t="s">
        <v>118</v>
      </c>
      <c r="L1026" s="1" t="s">
        <v>103</v>
      </c>
      <c r="M1026" s="20">
        <v>823692</v>
      </c>
      <c r="P1026" s="20">
        <v>765144</v>
      </c>
      <c r="Q1026" s="20">
        <v>1852920</v>
      </c>
      <c r="R1026" s="20">
        <v>1886400</v>
      </c>
      <c r="AB1026" s="20">
        <v>5328156</v>
      </c>
      <c r="AC1026" s="20">
        <v>419280</v>
      </c>
      <c r="AF1026" s="20">
        <v>372536</v>
      </c>
      <c r="AG1026" s="20">
        <v>2959200</v>
      </c>
      <c r="AH1026" s="20">
        <v>2616168</v>
      </c>
      <c r="AR1026" s="20">
        <v>6367184</v>
      </c>
      <c r="AV1026" s="20">
        <v>517488</v>
      </c>
      <c r="AW1026" s="20">
        <v>1421640</v>
      </c>
      <c r="AX1026" s="20">
        <v>2667912</v>
      </c>
      <c r="BH1026" s="28">
        <v>4607040</v>
      </c>
      <c r="BI1026" s="28">
        <v>16302380</v>
      </c>
    </row>
    <row r="1027" spans="1:61" hidden="1" x14ac:dyDescent="0.3">
      <c r="A1027" s="1" t="s">
        <v>739</v>
      </c>
      <c r="B1027" s="1" t="s">
        <v>110</v>
      </c>
      <c r="C1027" s="1" t="s">
        <v>660</v>
      </c>
      <c r="D1027" s="1" t="s">
        <v>661</v>
      </c>
      <c r="E1027" s="1" t="s">
        <v>660</v>
      </c>
      <c r="F1027" s="1" t="s">
        <v>661</v>
      </c>
      <c r="G1027" s="1" t="s">
        <v>2195</v>
      </c>
      <c r="H1027" s="1" t="s">
        <v>2196</v>
      </c>
      <c r="I1027" s="1" t="s">
        <v>110</v>
      </c>
      <c r="J1027" s="1" t="s">
        <v>229</v>
      </c>
      <c r="K1027" s="1" t="s">
        <v>118</v>
      </c>
      <c r="L1027" s="1" t="s">
        <v>103</v>
      </c>
      <c r="P1027" s="20">
        <v>192400</v>
      </c>
      <c r="Q1027" s="20">
        <v>1970040</v>
      </c>
      <c r="R1027" s="20">
        <v>1842000</v>
      </c>
      <c r="AB1027" s="20">
        <v>4004440</v>
      </c>
      <c r="AC1027" s="20">
        <v>79328</v>
      </c>
      <c r="AF1027" s="20">
        <v>260520</v>
      </c>
      <c r="AG1027" s="20">
        <v>407040</v>
      </c>
      <c r="AH1027" s="20">
        <v>1781136</v>
      </c>
      <c r="AR1027" s="20">
        <v>2528024</v>
      </c>
      <c r="AV1027" s="20">
        <v>144296</v>
      </c>
      <c r="AW1027" s="20">
        <v>885480</v>
      </c>
      <c r="AX1027" s="20">
        <v>1433328</v>
      </c>
      <c r="BH1027" s="28">
        <v>2463104</v>
      </c>
      <c r="BI1027" s="28">
        <v>8995568</v>
      </c>
    </row>
    <row r="1028" spans="1:61" hidden="1" x14ac:dyDescent="0.3">
      <c r="A1028" s="1" t="s">
        <v>739</v>
      </c>
      <c r="B1028" s="1" t="s">
        <v>110</v>
      </c>
      <c r="C1028" s="1" t="s">
        <v>660</v>
      </c>
      <c r="D1028" s="1" t="s">
        <v>661</v>
      </c>
      <c r="E1028" s="1" t="s">
        <v>660</v>
      </c>
      <c r="F1028" s="1" t="s">
        <v>661</v>
      </c>
      <c r="G1028" s="1" t="s">
        <v>2197</v>
      </c>
      <c r="H1028" s="1" t="s">
        <v>2198</v>
      </c>
      <c r="I1028" s="1" t="s">
        <v>110</v>
      </c>
      <c r="J1028" s="1" t="s">
        <v>229</v>
      </c>
      <c r="K1028" s="1" t="s">
        <v>118</v>
      </c>
      <c r="L1028" s="1" t="s">
        <v>103</v>
      </c>
      <c r="M1028" s="20">
        <v>132300</v>
      </c>
      <c r="P1028" s="20">
        <v>104520</v>
      </c>
      <c r="Q1028" s="20">
        <v>1308960</v>
      </c>
      <c r="R1028" s="20">
        <v>2252400</v>
      </c>
      <c r="AB1028" s="20">
        <v>3798180</v>
      </c>
      <c r="AC1028" s="20">
        <v>577936</v>
      </c>
      <c r="AF1028" s="20">
        <v>260520</v>
      </c>
      <c r="AG1028" s="20">
        <v>1548480</v>
      </c>
      <c r="AH1028" s="20">
        <v>2669904</v>
      </c>
      <c r="AR1028" s="20">
        <v>5056840</v>
      </c>
      <c r="AS1028" s="20">
        <v>236800</v>
      </c>
      <c r="AW1028" s="20">
        <v>1359000</v>
      </c>
      <c r="AX1028" s="20">
        <v>2098752</v>
      </c>
      <c r="BH1028" s="28">
        <v>3694552</v>
      </c>
      <c r="BI1028" s="28">
        <v>12549572</v>
      </c>
    </row>
    <row r="1029" spans="1:61" hidden="1" x14ac:dyDescent="0.3">
      <c r="A1029" s="1" t="s">
        <v>739</v>
      </c>
      <c r="B1029" s="1" t="s">
        <v>110</v>
      </c>
      <c r="C1029" s="1" t="s">
        <v>660</v>
      </c>
      <c r="D1029" s="1" t="s">
        <v>661</v>
      </c>
      <c r="E1029" s="1" t="s">
        <v>660</v>
      </c>
      <c r="F1029" s="1" t="s">
        <v>661</v>
      </c>
      <c r="G1029" s="1" t="s">
        <v>2199</v>
      </c>
      <c r="H1029" s="1" t="s">
        <v>2200</v>
      </c>
      <c r="I1029" s="1" t="s">
        <v>110</v>
      </c>
      <c r="J1029" s="1" t="s">
        <v>229</v>
      </c>
      <c r="K1029" s="1" t="s">
        <v>118</v>
      </c>
      <c r="L1029" s="1" t="s">
        <v>103</v>
      </c>
      <c r="P1029" s="20">
        <v>104520</v>
      </c>
      <c r="Q1029" s="20">
        <v>2235960</v>
      </c>
      <c r="R1029" s="20">
        <v>1200000</v>
      </c>
      <c r="AB1029" s="20">
        <v>3540480</v>
      </c>
      <c r="AC1029" s="20">
        <v>237984</v>
      </c>
      <c r="AF1029" s="20">
        <v>156000</v>
      </c>
      <c r="AG1029" s="20">
        <v>2282760</v>
      </c>
      <c r="AH1029" s="20">
        <v>1482984</v>
      </c>
      <c r="AR1029" s="20">
        <v>4159728</v>
      </c>
      <c r="AW1029" s="20">
        <v>1745760</v>
      </c>
      <c r="AX1029" s="20">
        <v>1207368</v>
      </c>
      <c r="BH1029" s="28">
        <v>2953128</v>
      </c>
      <c r="BI1029" s="28">
        <v>10653336</v>
      </c>
    </row>
    <row r="1030" spans="1:61" hidden="1" x14ac:dyDescent="0.3">
      <c r="A1030" s="1" t="s">
        <v>739</v>
      </c>
      <c r="B1030" s="1" t="s">
        <v>110</v>
      </c>
      <c r="C1030" s="1" t="s">
        <v>660</v>
      </c>
      <c r="D1030" s="1" t="s">
        <v>661</v>
      </c>
      <c r="E1030" s="1" t="s">
        <v>660</v>
      </c>
      <c r="F1030" s="1" t="s">
        <v>661</v>
      </c>
      <c r="G1030" s="1" t="s">
        <v>2201</v>
      </c>
      <c r="H1030" s="1" t="s">
        <v>2202</v>
      </c>
      <c r="I1030" s="1" t="s">
        <v>110</v>
      </c>
      <c r="J1030" s="1" t="s">
        <v>229</v>
      </c>
      <c r="K1030" s="1" t="s">
        <v>118</v>
      </c>
      <c r="L1030" s="1" t="s">
        <v>103</v>
      </c>
      <c r="M1030" s="20">
        <v>1256484</v>
      </c>
      <c r="P1030" s="20">
        <v>295200</v>
      </c>
      <c r="Q1030" s="20">
        <v>2184120</v>
      </c>
      <c r="R1030" s="20">
        <v>1894800</v>
      </c>
      <c r="AB1030" s="20">
        <v>5630604</v>
      </c>
      <c r="AC1030" s="20">
        <v>475968</v>
      </c>
      <c r="AF1030" s="20">
        <v>87632</v>
      </c>
      <c r="AG1030" s="20">
        <v>1522440</v>
      </c>
      <c r="AH1030" s="20">
        <v>322800</v>
      </c>
      <c r="AR1030" s="20">
        <v>2408840</v>
      </c>
      <c r="AS1030" s="20">
        <v>961168</v>
      </c>
      <c r="AV1030" s="20">
        <v>582896</v>
      </c>
      <c r="AW1030" s="20">
        <v>912240</v>
      </c>
      <c r="AX1030" s="20">
        <v>1859256</v>
      </c>
      <c r="BH1030" s="28">
        <v>4315560</v>
      </c>
      <c r="BI1030" s="28">
        <v>12355004</v>
      </c>
    </row>
    <row r="1031" spans="1:61" hidden="1" x14ac:dyDescent="0.3">
      <c r="A1031" s="1" t="s">
        <v>739</v>
      </c>
      <c r="B1031" s="1" t="s">
        <v>110</v>
      </c>
      <c r="C1031" s="1" t="s">
        <v>660</v>
      </c>
      <c r="D1031" s="1" t="s">
        <v>661</v>
      </c>
      <c r="E1031" s="1" t="s">
        <v>660</v>
      </c>
      <c r="F1031" s="1" t="s">
        <v>661</v>
      </c>
      <c r="G1031" s="1" t="s">
        <v>2203</v>
      </c>
      <c r="H1031" s="1" t="s">
        <v>2204</v>
      </c>
      <c r="I1031" s="1" t="s">
        <v>110</v>
      </c>
      <c r="J1031" s="1" t="s">
        <v>229</v>
      </c>
      <c r="K1031" s="1" t="s">
        <v>118</v>
      </c>
      <c r="L1031" s="1" t="s">
        <v>103</v>
      </c>
      <c r="M1031" s="20">
        <v>132300</v>
      </c>
      <c r="P1031" s="20">
        <v>104520</v>
      </c>
      <c r="Q1031" s="20">
        <v>1794720</v>
      </c>
      <c r="R1031" s="20">
        <v>1408800</v>
      </c>
      <c r="AB1031" s="20">
        <v>3440340</v>
      </c>
      <c r="AC1031" s="20">
        <v>237984</v>
      </c>
      <c r="AG1031" s="20">
        <v>1805640</v>
      </c>
      <c r="AH1031" s="20">
        <v>1612584</v>
      </c>
      <c r="AR1031" s="20">
        <v>3656208</v>
      </c>
      <c r="AW1031" s="20">
        <v>1461720</v>
      </c>
      <c r="AX1031" s="20">
        <v>1086000</v>
      </c>
      <c r="BH1031" s="28">
        <v>2547720</v>
      </c>
      <c r="BI1031" s="28">
        <v>9644268</v>
      </c>
    </row>
    <row r="1032" spans="1:61" hidden="1" x14ac:dyDescent="0.3">
      <c r="A1032" s="1" t="s">
        <v>739</v>
      </c>
      <c r="B1032" s="1" t="s">
        <v>110</v>
      </c>
      <c r="C1032" s="1" t="s">
        <v>660</v>
      </c>
      <c r="D1032" s="1" t="s">
        <v>661</v>
      </c>
      <c r="E1032" s="1" t="s">
        <v>660</v>
      </c>
      <c r="F1032" s="1" t="s">
        <v>661</v>
      </c>
      <c r="G1032" s="1" t="s">
        <v>2205</v>
      </c>
      <c r="H1032" s="1" t="s">
        <v>2206</v>
      </c>
      <c r="I1032" s="1" t="s">
        <v>110</v>
      </c>
      <c r="J1032" s="1" t="s">
        <v>229</v>
      </c>
      <c r="K1032" s="1" t="s">
        <v>118</v>
      </c>
      <c r="L1032" s="1" t="s">
        <v>103</v>
      </c>
      <c r="M1032" s="20">
        <v>132300</v>
      </c>
      <c r="P1032" s="20">
        <v>926192</v>
      </c>
      <c r="Q1032" s="20">
        <v>1845000</v>
      </c>
      <c r="R1032" s="20">
        <v>1408800</v>
      </c>
      <c r="AB1032" s="20">
        <v>4312292</v>
      </c>
      <c r="AC1032" s="20">
        <v>198320</v>
      </c>
      <c r="AF1032" s="20">
        <v>452104</v>
      </c>
      <c r="AG1032" s="20">
        <v>4005000</v>
      </c>
      <c r="AH1032" s="20">
        <v>2621856</v>
      </c>
      <c r="AR1032" s="20">
        <v>7277280</v>
      </c>
      <c r="AS1032" s="20">
        <v>597360</v>
      </c>
      <c r="AV1032" s="20">
        <v>484784</v>
      </c>
      <c r="AW1032" s="20">
        <v>1874520</v>
      </c>
      <c r="AX1032" s="20">
        <v>1403088</v>
      </c>
      <c r="BH1032" s="28">
        <v>4359752</v>
      </c>
      <c r="BI1032" s="28">
        <v>15949324</v>
      </c>
    </row>
    <row r="1033" spans="1:61" hidden="1" x14ac:dyDescent="0.3">
      <c r="A1033" s="1" t="s">
        <v>739</v>
      </c>
      <c r="B1033" s="1" t="s">
        <v>110</v>
      </c>
      <c r="C1033" s="1" t="s">
        <v>660</v>
      </c>
      <c r="D1033" s="1" t="s">
        <v>661</v>
      </c>
      <c r="E1033" s="1" t="s">
        <v>660</v>
      </c>
      <c r="F1033" s="1" t="s">
        <v>661</v>
      </c>
      <c r="G1033" s="1" t="s">
        <v>2207</v>
      </c>
      <c r="H1033" s="1" t="s">
        <v>2208</v>
      </c>
      <c r="I1033" s="1" t="s">
        <v>110</v>
      </c>
      <c r="J1033" s="1" t="s">
        <v>229</v>
      </c>
      <c r="K1033" s="1" t="s">
        <v>118</v>
      </c>
      <c r="L1033" s="1" t="s">
        <v>103</v>
      </c>
      <c r="M1033" s="20">
        <v>294492</v>
      </c>
      <c r="P1033" s="20">
        <v>235320</v>
      </c>
      <c r="Q1033" s="20">
        <v>1837440</v>
      </c>
      <c r="R1033" s="20">
        <v>1894800</v>
      </c>
      <c r="AB1033" s="20">
        <v>4262052</v>
      </c>
      <c r="AC1033" s="20">
        <v>759232</v>
      </c>
      <c r="AF1033" s="20">
        <v>545424</v>
      </c>
      <c r="AG1033" s="20">
        <v>2559840</v>
      </c>
      <c r="AH1033" s="20">
        <v>1437504</v>
      </c>
      <c r="AR1033" s="20">
        <v>5302000</v>
      </c>
      <c r="AS1033" s="20">
        <v>79328</v>
      </c>
      <c r="AV1033" s="20">
        <v>486024</v>
      </c>
      <c r="AW1033" s="20">
        <v>2068200</v>
      </c>
      <c r="AX1033" s="20">
        <v>2214912</v>
      </c>
      <c r="BH1033" s="28">
        <v>4848464</v>
      </c>
      <c r="BI1033" s="28">
        <v>14412516</v>
      </c>
    </row>
    <row r="1034" spans="1:61" hidden="1" x14ac:dyDescent="0.3">
      <c r="A1034" s="1" t="s">
        <v>739</v>
      </c>
      <c r="B1034" s="1" t="s">
        <v>110</v>
      </c>
      <c r="C1034" s="1" t="s">
        <v>660</v>
      </c>
      <c r="D1034" s="1" t="s">
        <v>661</v>
      </c>
      <c r="E1034" s="1" t="s">
        <v>660</v>
      </c>
      <c r="F1034" s="1" t="s">
        <v>661</v>
      </c>
      <c r="G1034" s="1" t="s">
        <v>2209</v>
      </c>
      <c r="H1034" s="1" t="s">
        <v>2210</v>
      </c>
      <c r="I1034" s="1" t="s">
        <v>110</v>
      </c>
      <c r="J1034" s="1" t="s">
        <v>229</v>
      </c>
      <c r="K1034" s="1" t="s">
        <v>118</v>
      </c>
      <c r="L1034" s="1" t="s">
        <v>103</v>
      </c>
      <c r="M1034" s="20">
        <v>1118184</v>
      </c>
      <c r="P1034" s="20">
        <v>104520</v>
      </c>
      <c r="Q1034" s="20">
        <v>3162960</v>
      </c>
      <c r="R1034" s="20">
        <v>2151600</v>
      </c>
      <c r="AB1034" s="20">
        <v>6537264</v>
      </c>
      <c r="AC1034" s="20">
        <v>835344</v>
      </c>
      <c r="AF1034" s="20">
        <v>364224</v>
      </c>
      <c r="AG1034" s="20">
        <v>3087360</v>
      </c>
      <c r="AH1034" s="20">
        <v>2920536</v>
      </c>
      <c r="AR1034" s="20">
        <v>7207464</v>
      </c>
      <c r="AS1034" s="20">
        <v>977340</v>
      </c>
      <c r="AV1034" s="20">
        <v>398392</v>
      </c>
      <c r="AW1034" s="20">
        <v>2485080</v>
      </c>
      <c r="AX1034" s="20">
        <v>2657328</v>
      </c>
      <c r="BH1034" s="28">
        <v>6518140</v>
      </c>
      <c r="BI1034" s="28">
        <v>20262868</v>
      </c>
    </row>
    <row r="1035" spans="1:61" hidden="1" x14ac:dyDescent="0.3">
      <c r="A1035" s="1" t="s">
        <v>739</v>
      </c>
      <c r="B1035" s="1" t="s">
        <v>110</v>
      </c>
      <c r="C1035" s="1" t="s">
        <v>660</v>
      </c>
      <c r="D1035" s="1" t="s">
        <v>661</v>
      </c>
      <c r="E1035" s="1" t="s">
        <v>660</v>
      </c>
      <c r="F1035" s="1" t="s">
        <v>661</v>
      </c>
      <c r="G1035" s="1" t="s">
        <v>2211</v>
      </c>
      <c r="H1035" s="1" t="s">
        <v>2212</v>
      </c>
      <c r="I1035" s="1" t="s">
        <v>110</v>
      </c>
      <c r="J1035" s="1" t="s">
        <v>229</v>
      </c>
      <c r="K1035" s="1" t="s">
        <v>118</v>
      </c>
      <c r="L1035" s="1" t="s">
        <v>103</v>
      </c>
      <c r="M1035" s="20">
        <v>725262</v>
      </c>
      <c r="P1035" s="20">
        <v>233424</v>
      </c>
      <c r="Q1035" s="20">
        <v>1717920</v>
      </c>
      <c r="R1035" s="20">
        <v>1200000</v>
      </c>
      <c r="AB1035" s="20">
        <v>3876606</v>
      </c>
      <c r="AC1035" s="20">
        <v>475968</v>
      </c>
      <c r="AF1035" s="20">
        <v>104520</v>
      </c>
      <c r="AG1035" s="20">
        <v>2447640</v>
      </c>
      <c r="AH1035" s="20">
        <v>1033152</v>
      </c>
      <c r="AR1035" s="20">
        <v>4061280</v>
      </c>
      <c r="AV1035" s="20">
        <v>144296</v>
      </c>
      <c r="AW1035" s="20">
        <v>1134240</v>
      </c>
      <c r="AX1035" s="20">
        <v>1550568</v>
      </c>
      <c r="BH1035" s="28">
        <v>2829104</v>
      </c>
      <c r="BI1035" s="28">
        <v>10766990</v>
      </c>
    </row>
    <row r="1036" spans="1:61" hidden="1" x14ac:dyDescent="0.3">
      <c r="A1036" s="1" t="s">
        <v>739</v>
      </c>
      <c r="B1036" s="1" t="s">
        <v>110</v>
      </c>
      <c r="C1036" s="1" t="s">
        <v>660</v>
      </c>
      <c r="D1036" s="1" t="s">
        <v>661</v>
      </c>
      <c r="E1036" s="1" t="s">
        <v>660</v>
      </c>
      <c r="F1036" s="1" t="s">
        <v>661</v>
      </c>
      <c r="G1036" s="1" t="s">
        <v>2213</v>
      </c>
      <c r="H1036" s="1" t="s">
        <v>2214</v>
      </c>
      <c r="I1036" s="1" t="s">
        <v>110</v>
      </c>
      <c r="J1036" s="1" t="s">
        <v>229</v>
      </c>
      <c r="K1036" s="1" t="s">
        <v>118</v>
      </c>
      <c r="L1036" s="1" t="s">
        <v>103</v>
      </c>
      <c r="P1036" s="20">
        <v>439248</v>
      </c>
      <c r="Q1036" s="20">
        <v>2016840</v>
      </c>
      <c r="R1036" s="20">
        <v>1998000</v>
      </c>
      <c r="AB1036" s="20">
        <v>4454088</v>
      </c>
      <c r="AC1036" s="20">
        <v>876616</v>
      </c>
      <c r="AF1036" s="20">
        <v>216536</v>
      </c>
      <c r="AG1036" s="20">
        <v>1655760</v>
      </c>
      <c r="AH1036" s="20">
        <v>1389768</v>
      </c>
      <c r="AR1036" s="20">
        <v>4138680</v>
      </c>
      <c r="AV1036" s="20">
        <v>242392</v>
      </c>
      <c r="AW1036" s="20">
        <v>1881960</v>
      </c>
      <c r="AX1036" s="20">
        <v>982920</v>
      </c>
      <c r="BH1036" s="28">
        <v>3107272</v>
      </c>
      <c r="BI1036" s="28">
        <v>11700040</v>
      </c>
    </row>
    <row r="1037" spans="1:61" hidden="1" x14ac:dyDescent="0.3">
      <c r="A1037" s="1" t="s">
        <v>739</v>
      </c>
      <c r="B1037" s="1" t="s">
        <v>110</v>
      </c>
      <c r="C1037" s="1" t="s">
        <v>660</v>
      </c>
      <c r="D1037" s="1" t="s">
        <v>661</v>
      </c>
      <c r="E1037" s="1" t="s">
        <v>660</v>
      </c>
      <c r="F1037" s="1" t="s">
        <v>661</v>
      </c>
      <c r="G1037" s="1" t="s">
        <v>2215</v>
      </c>
      <c r="H1037" s="1" t="s">
        <v>2216</v>
      </c>
      <c r="I1037" s="1" t="s">
        <v>110</v>
      </c>
      <c r="J1037" s="1" t="s">
        <v>229</v>
      </c>
      <c r="K1037" s="1" t="s">
        <v>118</v>
      </c>
      <c r="L1037" s="1" t="s">
        <v>103</v>
      </c>
      <c r="P1037" s="20">
        <v>663824</v>
      </c>
      <c r="Q1037" s="20">
        <v>1437600</v>
      </c>
      <c r="R1037" s="20">
        <v>1717200</v>
      </c>
      <c r="AB1037" s="20">
        <v>3818624</v>
      </c>
      <c r="AC1037" s="20">
        <v>198320</v>
      </c>
      <c r="AF1037" s="20">
        <v>556624</v>
      </c>
      <c r="AG1037" s="20">
        <v>3202800</v>
      </c>
      <c r="AH1037" s="20">
        <v>2007768</v>
      </c>
      <c r="AR1037" s="20">
        <v>5965512</v>
      </c>
      <c r="AS1037" s="20">
        <v>426108</v>
      </c>
      <c r="AV1037" s="20">
        <v>571192</v>
      </c>
      <c r="AW1037" s="20">
        <v>2271360</v>
      </c>
      <c r="AX1037" s="20">
        <v>2347728</v>
      </c>
      <c r="BH1037" s="28">
        <v>5616388</v>
      </c>
      <c r="BI1037" s="28">
        <v>15400524</v>
      </c>
    </row>
    <row r="1038" spans="1:61" hidden="1" x14ac:dyDescent="0.3">
      <c r="A1038" s="1" t="s">
        <v>739</v>
      </c>
      <c r="B1038" s="1" t="s">
        <v>110</v>
      </c>
      <c r="C1038" s="1" t="s">
        <v>660</v>
      </c>
      <c r="D1038" s="1" t="s">
        <v>661</v>
      </c>
      <c r="E1038" s="1" t="s">
        <v>660</v>
      </c>
      <c r="F1038" s="1" t="s">
        <v>661</v>
      </c>
      <c r="G1038" s="1" t="s">
        <v>2217</v>
      </c>
      <c r="H1038" s="1" t="s">
        <v>2218</v>
      </c>
      <c r="I1038" s="1" t="s">
        <v>110</v>
      </c>
      <c r="J1038" s="1" t="s">
        <v>229</v>
      </c>
      <c r="K1038" s="1" t="s">
        <v>118</v>
      </c>
      <c r="L1038" s="1" t="s">
        <v>103</v>
      </c>
      <c r="M1038" s="20">
        <v>1690800</v>
      </c>
      <c r="P1038" s="20">
        <v>104520</v>
      </c>
      <c r="Q1038" s="20">
        <v>1705680</v>
      </c>
      <c r="R1038" s="20">
        <v>1686000</v>
      </c>
      <c r="AB1038" s="20">
        <v>5187000</v>
      </c>
      <c r="AC1038" s="20">
        <v>899256</v>
      </c>
      <c r="AG1038" s="20">
        <v>1905480</v>
      </c>
      <c r="AH1038" s="20">
        <v>1921152</v>
      </c>
      <c r="AR1038" s="20">
        <v>4725888</v>
      </c>
      <c r="AS1038" s="20">
        <v>914480</v>
      </c>
      <c r="AW1038" s="20">
        <v>1187760</v>
      </c>
      <c r="AX1038" s="20">
        <v>1314576</v>
      </c>
      <c r="BH1038" s="28">
        <v>3416816</v>
      </c>
      <c r="BI1038" s="28">
        <v>13329704</v>
      </c>
    </row>
    <row r="1039" spans="1:61" hidden="1" x14ac:dyDescent="0.3">
      <c r="A1039" s="1" t="s">
        <v>739</v>
      </c>
      <c r="B1039" s="1" t="s">
        <v>110</v>
      </c>
      <c r="C1039" s="1" t="s">
        <v>660</v>
      </c>
      <c r="D1039" s="1" t="s">
        <v>661</v>
      </c>
      <c r="E1039" s="1" t="s">
        <v>660</v>
      </c>
      <c r="F1039" s="1" t="s">
        <v>661</v>
      </c>
      <c r="G1039" s="1" t="s">
        <v>2219</v>
      </c>
      <c r="H1039" s="1" t="s">
        <v>2220</v>
      </c>
      <c r="I1039" s="1" t="s">
        <v>110</v>
      </c>
      <c r="J1039" s="1" t="s">
        <v>229</v>
      </c>
      <c r="K1039" s="1" t="s">
        <v>118</v>
      </c>
      <c r="L1039" s="1" t="s">
        <v>103</v>
      </c>
      <c r="M1039" s="20">
        <v>2249332</v>
      </c>
      <c r="P1039" s="20">
        <v>266520</v>
      </c>
      <c r="Q1039" s="20">
        <v>1116360</v>
      </c>
      <c r="R1039" s="20">
        <v>2037600</v>
      </c>
      <c r="AB1039" s="20">
        <v>5669812</v>
      </c>
      <c r="AF1039" s="20">
        <v>477304</v>
      </c>
      <c r="AG1039" s="20">
        <v>2055480</v>
      </c>
      <c r="AH1039" s="20">
        <v>2156352</v>
      </c>
      <c r="AR1039" s="20">
        <v>4689136</v>
      </c>
      <c r="AS1039" s="20">
        <v>1138350</v>
      </c>
      <c r="AV1039" s="20">
        <v>288592</v>
      </c>
      <c r="AW1039" s="20">
        <v>1600320</v>
      </c>
      <c r="AX1039" s="20">
        <v>3520656</v>
      </c>
      <c r="BH1039" s="28">
        <v>6547918</v>
      </c>
      <c r="BI1039" s="28">
        <v>16906866</v>
      </c>
    </row>
    <row r="1040" spans="1:61" hidden="1" x14ac:dyDescent="0.3">
      <c r="A1040" s="1" t="s">
        <v>739</v>
      </c>
      <c r="B1040" s="1" t="s">
        <v>110</v>
      </c>
      <c r="C1040" s="1" t="s">
        <v>660</v>
      </c>
      <c r="D1040" s="1" t="s">
        <v>661</v>
      </c>
      <c r="E1040" s="1" t="s">
        <v>660</v>
      </c>
      <c r="F1040" s="1" t="s">
        <v>661</v>
      </c>
      <c r="G1040" s="1" t="s">
        <v>2221</v>
      </c>
      <c r="H1040" s="1" t="s">
        <v>2222</v>
      </c>
      <c r="I1040" s="1" t="s">
        <v>110</v>
      </c>
      <c r="J1040" s="1" t="s">
        <v>229</v>
      </c>
      <c r="K1040" s="1" t="s">
        <v>118</v>
      </c>
      <c r="L1040" s="1" t="s">
        <v>103</v>
      </c>
      <c r="P1040" s="20">
        <v>162000</v>
      </c>
      <c r="Q1040" s="20">
        <v>311640</v>
      </c>
      <c r="R1040" s="20">
        <v>1044000</v>
      </c>
      <c r="AB1040" s="20">
        <v>1517640</v>
      </c>
      <c r="AC1040" s="20">
        <v>237984</v>
      </c>
      <c r="AG1040" s="20">
        <v>507960</v>
      </c>
      <c r="AH1040" s="20">
        <v>1264968</v>
      </c>
      <c r="AR1040" s="20">
        <v>2010912</v>
      </c>
      <c r="AW1040" s="20">
        <v>924240</v>
      </c>
      <c r="AX1040" s="20">
        <v>1779720</v>
      </c>
      <c r="BH1040" s="28">
        <v>2703960</v>
      </c>
      <c r="BI1040" s="28">
        <v>6232512</v>
      </c>
    </row>
    <row r="1041" spans="1:61" hidden="1" x14ac:dyDescent="0.3">
      <c r="A1041" s="1" t="s">
        <v>739</v>
      </c>
      <c r="B1041" s="1" t="s">
        <v>110</v>
      </c>
      <c r="C1041" s="1" t="s">
        <v>660</v>
      </c>
      <c r="D1041" s="1" t="s">
        <v>661</v>
      </c>
      <c r="E1041" s="1" t="s">
        <v>660</v>
      </c>
      <c r="F1041" s="1" t="s">
        <v>661</v>
      </c>
      <c r="G1041" s="1" t="s">
        <v>2223</v>
      </c>
      <c r="H1041" s="1" t="s">
        <v>2224</v>
      </c>
      <c r="I1041" s="1" t="s">
        <v>110</v>
      </c>
      <c r="J1041" s="1" t="s">
        <v>229</v>
      </c>
      <c r="K1041" s="1" t="s">
        <v>118</v>
      </c>
      <c r="L1041" s="1" t="s">
        <v>103</v>
      </c>
      <c r="M1041" s="20">
        <v>596940</v>
      </c>
      <c r="P1041" s="20">
        <v>104520</v>
      </c>
      <c r="Q1041" s="20">
        <v>610560</v>
      </c>
      <c r="R1041" s="20">
        <v>285600</v>
      </c>
      <c r="AB1041" s="20">
        <v>1597620</v>
      </c>
      <c r="AC1041" s="20">
        <v>475968</v>
      </c>
      <c r="AG1041" s="20">
        <v>1707360</v>
      </c>
      <c r="AH1041" s="20">
        <v>586968</v>
      </c>
      <c r="AR1041" s="20">
        <v>2770296</v>
      </c>
      <c r="AS1041" s="20">
        <v>236800</v>
      </c>
      <c r="AW1041" s="20">
        <v>305280</v>
      </c>
      <c r="AX1041" s="20">
        <v>787368</v>
      </c>
      <c r="BH1041" s="28">
        <v>1329448</v>
      </c>
      <c r="BI1041" s="28">
        <v>5697364</v>
      </c>
    </row>
    <row r="1042" spans="1:61" hidden="1" x14ac:dyDescent="0.3">
      <c r="A1042" s="1" t="s">
        <v>739</v>
      </c>
      <c r="B1042" s="1" t="s">
        <v>110</v>
      </c>
      <c r="C1042" s="1" t="s">
        <v>660</v>
      </c>
      <c r="D1042" s="1" t="s">
        <v>661</v>
      </c>
      <c r="E1042" s="1" t="s">
        <v>660</v>
      </c>
      <c r="F1042" s="1" t="s">
        <v>661</v>
      </c>
      <c r="G1042" s="1" t="s">
        <v>2225</v>
      </c>
      <c r="H1042" s="1" t="s">
        <v>2226</v>
      </c>
      <c r="I1042" s="1" t="s">
        <v>110</v>
      </c>
      <c r="J1042" s="1" t="s">
        <v>229</v>
      </c>
      <c r="K1042" s="1" t="s">
        <v>118</v>
      </c>
      <c r="L1042" s="1" t="s">
        <v>103</v>
      </c>
      <c r="M1042" s="20">
        <v>294492</v>
      </c>
      <c r="P1042" s="20">
        <v>104520</v>
      </c>
      <c r="Q1042" s="20">
        <v>1729320</v>
      </c>
      <c r="R1042" s="20">
        <v>1754400</v>
      </c>
      <c r="AB1042" s="20">
        <v>3882732</v>
      </c>
      <c r="AC1042" s="20">
        <v>237984</v>
      </c>
      <c r="AF1042" s="20">
        <v>364224</v>
      </c>
      <c r="AG1042" s="20">
        <v>1186440</v>
      </c>
      <c r="AH1042" s="20">
        <v>2848752</v>
      </c>
      <c r="AR1042" s="20">
        <v>4637400</v>
      </c>
      <c r="AW1042" s="20">
        <v>1556040</v>
      </c>
      <c r="AX1042" s="20">
        <v>2056416</v>
      </c>
      <c r="BH1042" s="28">
        <v>3612456</v>
      </c>
      <c r="BI1042" s="28">
        <v>12132588</v>
      </c>
    </row>
    <row r="1043" spans="1:61" hidden="1" x14ac:dyDescent="0.3">
      <c r="A1043" s="1" t="s">
        <v>739</v>
      </c>
      <c r="B1043" s="1" t="s">
        <v>110</v>
      </c>
      <c r="C1043" s="1" t="s">
        <v>660</v>
      </c>
      <c r="D1043" s="1" t="s">
        <v>661</v>
      </c>
      <c r="E1043" s="1" t="s">
        <v>660</v>
      </c>
      <c r="F1043" s="1" t="s">
        <v>661</v>
      </c>
      <c r="G1043" s="1" t="s">
        <v>2227</v>
      </c>
      <c r="H1043" s="1" t="s">
        <v>2228</v>
      </c>
      <c r="I1043" s="1" t="s">
        <v>110</v>
      </c>
      <c r="J1043" s="1" t="s">
        <v>229</v>
      </c>
      <c r="K1043" s="1" t="s">
        <v>118</v>
      </c>
      <c r="L1043" s="1" t="s">
        <v>103</v>
      </c>
      <c r="P1043" s="20">
        <v>296920</v>
      </c>
      <c r="Q1043" s="20">
        <v>1279080</v>
      </c>
      <c r="R1043" s="20">
        <v>2883600</v>
      </c>
      <c r="AB1043" s="20">
        <v>4459600</v>
      </c>
      <c r="AG1043" s="20">
        <v>1699440</v>
      </c>
      <c r="AH1043" s="20">
        <v>568584</v>
      </c>
      <c r="AR1043" s="20">
        <v>2268024</v>
      </c>
      <c r="AW1043" s="20">
        <v>1456200</v>
      </c>
      <c r="AX1043" s="20">
        <v>2737032</v>
      </c>
      <c r="BH1043" s="28">
        <v>4193232</v>
      </c>
      <c r="BI1043" s="28">
        <v>10920856</v>
      </c>
    </row>
    <row r="1044" spans="1:61" hidden="1" x14ac:dyDescent="0.3">
      <c r="A1044" s="1" t="s">
        <v>739</v>
      </c>
      <c r="B1044" s="1" t="s">
        <v>110</v>
      </c>
      <c r="C1044" s="1" t="s">
        <v>660</v>
      </c>
      <c r="D1044" s="1" t="s">
        <v>661</v>
      </c>
      <c r="E1044" s="1" t="s">
        <v>660</v>
      </c>
      <c r="F1044" s="1" t="s">
        <v>661</v>
      </c>
      <c r="G1044" s="1" t="s">
        <v>2229</v>
      </c>
      <c r="H1044" s="1" t="s">
        <v>2230</v>
      </c>
      <c r="I1044" s="1" t="s">
        <v>110</v>
      </c>
      <c r="J1044" s="1" t="s">
        <v>229</v>
      </c>
      <c r="K1044" s="1" t="s">
        <v>118</v>
      </c>
      <c r="L1044" s="1" t="s">
        <v>103</v>
      </c>
      <c r="P1044" s="20">
        <v>104520</v>
      </c>
      <c r="Q1044" s="20">
        <v>718680</v>
      </c>
      <c r="R1044" s="20">
        <v>142800</v>
      </c>
      <c r="AB1044" s="20">
        <v>966000</v>
      </c>
      <c r="AC1044" s="20">
        <v>237984</v>
      </c>
      <c r="AG1044" s="20">
        <v>357600</v>
      </c>
      <c r="AH1044" s="20">
        <v>180000</v>
      </c>
      <c r="AR1044" s="20">
        <v>775584</v>
      </c>
      <c r="AS1044" s="20">
        <v>833740</v>
      </c>
      <c r="AW1044" s="20">
        <v>198600</v>
      </c>
      <c r="AX1044" s="20">
        <v>121368</v>
      </c>
      <c r="BH1044" s="28">
        <v>1153708</v>
      </c>
      <c r="BI1044" s="28">
        <v>2895292</v>
      </c>
    </row>
    <row r="1045" spans="1:61" hidden="1" x14ac:dyDescent="0.3">
      <c r="A1045" s="1" t="s">
        <v>739</v>
      </c>
      <c r="B1045" s="1" t="s">
        <v>111</v>
      </c>
      <c r="C1045" s="1" t="s">
        <v>724</v>
      </c>
      <c r="D1045" s="1" t="s">
        <v>725</v>
      </c>
      <c r="E1045" s="1" t="s">
        <v>724</v>
      </c>
      <c r="F1045" s="1" t="s">
        <v>594</v>
      </c>
      <c r="G1045" s="1" t="s">
        <v>2231</v>
      </c>
      <c r="H1045" s="1" t="s">
        <v>2232</v>
      </c>
      <c r="I1045" s="1" t="s">
        <v>111</v>
      </c>
      <c r="J1045" s="1" t="s">
        <v>229</v>
      </c>
      <c r="K1045" s="1" t="s">
        <v>118</v>
      </c>
      <c r="L1045" s="1" t="s">
        <v>103</v>
      </c>
      <c r="M1045" s="20">
        <v>5669244</v>
      </c>
      <c r="N1045" s="20">
        <v>268200</v>
      </c>
      <c r="O1045" s="20">
        <v>1020000</v>
      </c>
      <c r="P1045" s="20">
        <v>386712</v>
      </c>
      <c r="Q1045" s="20">
        <v>959040</v>
      </c>
      <c r="R1045" s="20">
        <v>2302800</v>
      </c>
      <c r="AB1045" s="20">
        <v>10605996</v>
      </c>
      <c r="AC1045" s="20">
        <v>7930724</v>
      </c>
      <c r="AD1045" s="20">
        <v>1072800</v>
      </c>
      <c r="AE1045" s="20">
        <v>561000</v>
      </c>
      <c r="AF1045" s="20">
        <v>769600</v>
      </c>
      <c r="AG1045" s="20">
        <v>2019960</v>
      </c>
      <c r="AH1045" s="20">
        <v>3183600</v>
      </c>
      <c r="AR1045" s="20">
        <v>15537684</v>
      </c>
      <c r="AS1045" s="20">
        <v>8731008</v>
      </c>
      <c r="AT1045" s="20">
        <v>1454520</v>
      </c>
      <c r="AU1045" s="20">
        <v>408000</v>
      </c>
      <c r="AV1045" s="20">
        <v>392400</v>
      </c>
      <c r="AW1045" s="20">
        <v>965880</v>
      </c>
      <c r="AX1045" s="20">
        <v>1615200</v>
      </c>
      <c r="BH1045" s="28">
        <v>13567008</v>
      </c>
      <c r="BI1045" s="28">
        <v>39710688</v>
      </c>
    </row>
    <row r="1046" spans="1:61" hidden="1" x14ac:dyDescent="0.3">
      <c r="A1046" s="1" t="s">
        <v>739</v>
      </c>
      <c r="B1046" s="1" t="s">
        <v>111</v>
      </c>
      <c r="C1046" s="1" t="s">
        <v>724</v>
      </c>
      <c r="D1046" s="1" t="s">
        <v>725</v>
      </c>
      <c r="E1046" s="1" t="s">
        <v>724</v>
      </c>
      <c r="F1046" s="1" t="s">
        <v>594</v>
      </c>
      <c r="G1046" s="1" t="s">
        <v>2233</v>
      </c>
      <c r="H1046" s="1" t="s">
        <v>2234</v>
      </c>
      <c r="I1046" s="1" t="s">
        <v>111</v>
      </c>
      <c r="J1046" s="1" t="s">
        <v>229</v>
      </c>
      <c r="K1046" s="1" t="s">
        <v>118</v>
      </c>
      <c r="L1046" s="1" t="s">
        <v>103</v>
      </c>
      <c r="M1046" s="20">
        <v>5473496</v>
      </c>
      <c r="N1046" s="20">
        <v>1877400</v>
      </c>
      <c r="O1046" s="20">
        <v>561000</v>
      </c>
      <c r="P1046" s="20">
        <v>257808</v>
      </c>
      <c r="Q1046" s="20">
        <v>1354680</v>
      </c>
      <c r="R1046" s="20">
        <v>1743000</v>
      </c>
      <c r="AB1046" s="20">
        <v>11267384</v>
      </c>
      <c r="AC1046" s="20">
        <v>6600368</v>
      </c>
      <c r="AD1046" s="20">
        <v>804600</v>
      </c>
      <c r="AE1046" s="20">
        <v>357000</v>
      </c>
      <c r="AF1046" s="20">
        <v>769600</v>
      </c>
      <c r="AG1046" s="20">
        <v>1477440</v>
      </c>
      <c r="AH1046" s="20">
        <v>3110400</v>
      </c>
      <c r="AR1046" s="20">
        <v>13119408</v>
      </c>
      <c r="AS1046" s="20">
        <v>3894600</v>
      </c>
      <c r="AT1046" s="20">
        <v>1206864</v>
      </c>
      <c r="AU1046" s="20">
        <v>408000</v>
      </c>
      <c r="AV1046" s="20">
        <v>1100400</v>
      </c>
      <c r="AW1046" s="20">
        <v>1431000</v>
      </c>
      <c r="AX1046" s="20">
        <v>2559600</v>
      </c>
      <c r="BH1046" s="28">
        <v>10600464</v>
      </c>
      <c r="BI1046" s="28">
        <v>34987256</v>
      </c>
    </row>
    <row r="1047" spans="1:61" hidden="1" x14ac:dyDescent="0.3">
      <c r="A1047" s="1" t="s">
        <v>739</v>
      </c>
      <c r="B1047" s="1" t="s">
        <v>111</v>
      </c>
      <c r="C1047" s="1" t="s">
        <v>724</v>
      </c>
      <c r="D1047" s="1" t="s">
        <v>725</v>
      </c>
      <c r="E1047" s="1" t="s">
        <v>724</v>
      </c>
      <c r="F1047" s="1" t="s">
        <v>594</v>
      </c>
      <c r="G1047" s="1" t="s">
        <v>2235</v>
      </c>
      <c r="H1047" s="1" t="s">
        <v>2236</v>
      </c>
      <c r="I1047" s="1" t="s">
        <v>111</v>
      </c>
      <c r="J1047" s="1" t="s">
        <v>229</v>
      </c>
      <c r="K1047" s="1" t="s">
        <v>118</v>
      </c>
      <c r="L1047" s="1" t="s">
        <v>103</v>
      </c>
      <c r="M1047" s="20">
        <v>6909000</v>
      </c>
      <c r="N1047" s="20">
        <v>536400</v>
      </c>
      <c r="O1047" s="20">
        <v>204000</v>
      </c>
      <c r="P1047" s="20">
        <v>386712</v>
      </c>
      <c r="Q1047" s="20">
        <v>1021320</v>
      </c>
      <c r="R1047" s="20">
        <v>1285200</v>
      </c>
      <c r="AB1047" s="20">
        <v>10342632</v>
      </c>
      <c r="AC1047" s="20">
        <v>6291094</v>
      </c>
      <c r="AD1047" s="20">
        <v>985200</v>
      </c>
      <c r="AE1047" s="20">
        <v>510000</v>
      </c>
      <c r="AF1047" s="20">
        <v>384800</v>
      </c>
      <c r="AG1047" s="20">
        <v>1175760</v>
      </c>
      <c r="AH1047" s="20">
        <v>1420200</v>
      </c>
      <c r="AR1047" s="20">
        <v>10767054</v>
      </c>
      <c r="AS1047" s="20">
        <v>6786672</v>
      </c>
      <c r="AT1047" s="20">
        <v>804576</v>
      </c>
      <c r="AU1047" s="20">
        <v>204000</v>
      </c>
      <c r="AV1047" s="20">
        <v>969600</v>
      </c>
      <c r="AW1047" s="20">
        <v>744120</v>
      </c>
      <c r="AX1047" s="20">
        <v>1970400</v>
      </c>
      <c r="BH1047" s="28">
        <v>11479368</v>
      </c>
      <c r="BI1047" s="28">
        <v>32589054</v>
      </c>
    </row>
    <row r="1048" spans="1:61" hidden="1" x14ac:dyDescent="0.3">
      <c r="A1048" s="1" t="s">
        <v>739</v>
      </c>
      <c r="B1048" s="1" t="s">
        <v>111</v>
      </c>
      <c r="C1048" s="1" t="s">
        <v>724</v>
      </c>
      <c r="D1048" s="1" t="s">
        <v>725</v>
      </c>
      <c r="E1048" s="1" t="s">
        <v>724</v>
      </c>
      <c r="F1048" s="1" t="s">
        <v>594</v>
      </c>
      <c r="G1048" s="1" t="s">
        <v>2237</v>
      </c>
      <c r="H1048" s="1" t="s">
        <v>2238</v>
      </c>
      <c r="I1048" s="1" t="s">
        <v>111</v>
      </c>
      <c r="J1048" s="1" t="s">
        <v>229</v>
      </c>
      <c r="K1048" s="1" t="s">
        <v>118</v>
      </c>
      <c r="L1048" s="1" t="s">
        <v>103</v>
      </c>
      <c r="M1048" s="20">
        <v>2775000</v>
      </c>
      <c r="N1048" s="20">
        <v>985200</v>
      </c>
      <c r="P1048" s="20">
        <v>386712</v>
      </c>
      <c r="Q1048" s="20">
        <v>716040</v>
      </c>
      <c r="R1048" s="20">
        <v>3225600</v>
      </c>
      <c r="AB1048" s="20">
        <v>8088552</v>
      </c>
      <c r="AC1048" s="20">
        <v>4659896</v>
      </c>
      <c r="AD1048" s="20">
        <v>717000</v>
      </c>
      <c r="AE1048" s="20">
        <v>306000</v>
      </c>
      <c r="AF1048" s="20">
        <v>192400</v>
      </c>
      <c r="AG1048" s="20">
        <v>618840</v>
      </c>
      <c r="AH1048" s="20">
        <v>3254400</v>
      </c>
      <c r="AR1048" s="20">
        <v>9748536</v>
      </c>
      <c r="AS1048" s="20">
        <v>3538524</v>
      </c>
      <c r="AT1048" s="20">
        <v>1253376</v>
      </c>
      <c r="AU1048" s="20">
        <v>204000</v>
      </c>
      <c r="AV1048" s="20">
        <v>584800</v>
      </c>
      <c r="AW1048" s="20">
        <v>634680</v>
      </c>
      <c r="AX1048" s="20">
        <v>2816400</v>
      </c>
      <c r="BH1048" s="28">
        <v>9031780</v>
      </c>
      <c r="BI1048" s="28">
        <v>26868868</v>
      </c>
    </row>
    <row r="1049" spans="1:61" hidden="1" x14ac:dyDescent="0.3">
      <c r="A1049" s="1" t="s">
        <v>739</v>
      </c>
      <c r="B1049" s="1" t="s">
        <v>111</v>
      </c>
      <c r="C1049" s="1" t="s">
        <v>724</v>
      </c>
      <c r="D1049" s="1" t="s">
        <v>725</v>
      </c>
      <c r="E1049" s="1" t="s">
        <v>724</v>
      </c>
      <c r="F1049" s="1" t="s">
        <v>594</v>
      </c>
      <c r="G1049" s="1" t="s">
        <v>2239</v>
      </c>
      <c r="H1049" s="1" t="s">
        <v>2240</v>
      </c>
      <c r="I1049" s="1" t="s">
        <v>111</v>
      </c>
      <c r="J1049" s="1" t="s">
        <v>229</v>
      </c>
      <c r="K1049" s="1" t="s">
        <v>118</v>
      </c>
      <c r="L1049" s="1" t="s">
        <v>103</v>
      </c>
      <c r="M1049" s="20">
        <v>5862900</v>
      </c>
      <c r="N1049" s="20">
        <v>536400</v>
      </c>
      <c r="O1049" s="20">
        <v>612000</v>
      </c>
      <c r="P1049" s="20">
        <v>963912</v>
      </c>
      <c r="Q1049" s="20">
        <v>1681920</v>
      </c>
      <c r="R1049" s="20">
        <v>3501000</v>
      </c>
      <c r="AB1049" s="20">
        <v>13158132</v>
      </c>
      <c r="AC1049" s="20">
        <v>6946276</v>
      </c>
      <c r="AD1049" s="20">
        <v>1542144</v>
      </c>
      <c r="AE1049" s="20">
        <v>510000</v>
      </c>
      <c r="AF1049" s="20">
        <v>769600</v>
      </c>
      <c r="AG1049" s="20">
        <v>2897640</v>
      </c>
      <c r="AH1049" s="20">
        <v>3028200</v>
      </c>
      <c r="AR1049" s="20">
        <v>15693860</v>
      </c>
      <c r="AS1049" s="20">
        <v>6262692</v>
      </c>
      <c r="AT1049" s="20">
        <v>1206864</v>
      </c>
      <c r="AU1049" s="20">
        <v>357000</v>
      </c>
      <c r="AV1049" s="20">
        <v>2062400</v>
      </c>
      <c r="AW1049" s="20">
        <v>1775880</v>
      </c>
      <c r="AX1049" s="20">
        <v>3891600</v>
      </c>
      <c r="BH1049" s="28">
        <v>15556436</v>
      </c>
      <c r="BI1049" s="28">
        <v>44408428</v>
      </c>
    </row>
    <row r="1050" spans="1:61" hidden="1" x14ac:dyDescent="0.3">
      <c r="A1050" s="1" t="s">
        <v>739</v>
      </c>
      <c r="B1050" s="1" t="s">
        <v>111</v>
      </c>
      <c r="C1050" s="1" t="s">
        <v>724</v>
      </c>
      <c r="D1050" s="1" t="s">
        <v>725</v>
      </c>
      <c r="E1050" s="1" t="s">
        <v>724</v>
      </c>
      <c r="F1050" s="1" t="s">
        <v>594</v>
      </c>
      <c r="G1050" s="1" t="s">
        <v>2241</v>
      </c>
      <c r="H1050" s="1" t="s">
        <v>2242</v>
      </c>
      <c r="I1050" s="1" t="s">
        <v>111</v>
      </c>
      <c r="J1050" s="1" t="s">
        <v>229</v>
      </c>
      <c r="K1050" s="1" t="s">
        <v>118</v>
      </c>
      <c r="L1050" s="1" t="s">
        <v>103</v>
      </c>
      <c r="M1050" s="20">
        <v>5653948</v>
      </c>
      <c r="N1050" s="20">
        <v>1072800</v>
      </c>
      <c r="O1050" s="20">
        <v>357000</v>
      </c>
      <c r="P1050" s="20">
        <v>1029320</v>
      </c>
      <c r="Q1050" s="20">
        <v>725040</v>
      </c>
      <c r="R1050" s="20">
        <v>2284200</v>
      </c>
      <c r="AB1050" s="20">
        <v>11122308</v>
      </c>
      <c r="AC1050" s="20">
        <v>4180278</v>
      </c>
      <c r="AE1050" s="20">
        <v>357000</v>
      </c>
      <c r="AF1050" s="20">
        <v>384800</v>
      </c>
      <c r="AG1050" s="20">
        <v>874080</v>
      </c>
      <c r="AH1050" s="20">
        <v>1285200</v>
      </c>
      <c r="AR1050" s="20">
        <v>7081358</v>
      </c>
      <c r="AS1050" s="20">
        <v>4964856</v>
      </c>
      <c r="AT1050" s="20">
        <v>2661384</v>
      </c>
      <c r="AU1050" s="20">
        <v>561000</v>
      </c>
      <c r="AV1050" s="20">
        <v>1100400</v>
      </c>
      <c r="AW1050" s="20">
        <v>1207080</v>
      </c>
      <c r="AX1050" s="20">
        <v>1931400</v>
      </c>
      <c r="BH1050" s="28">
        <v>12426120</v>
      </c>
      <c r="BI1050" s="28">
        <v>30629786</v>
      </c>
    </row>
    <row r="1051" spans="1:61" hidden="1" x14ac:dyDescent="0.3">
      <c r="A1051" s="1" t="s">
        <v>739</v>
      </c>
      <c r="B1051" s="1" t="s">
        <v>111</v>
      </c>
      <c r="C1051" s="1" t="s">
        <v>724</v>
      </c>
      <c r="D1051" s="1" t="s">
        <v>725</v>
      </c>
      <c r="E1051" s="1" t="s">
        <v>724</v>
      </c>
      <c r="F1051" s="1" t="s">
        <v>594</v>
      </c>
      <c r="G1051" s="1" t="s">
        <v>2243</v>
      </c>
      <c r="H1051" s="1" t="s">
        <v>2244</v>
      </c>
      <c r="I1051" s="1" t="s">
        <v>111</v>
      </c>
      <c r="J1051" s="1" t="s">
        <v>229</v>
      </c>
      <c r="K1051" s="1" t="s">
        <v>118</v>
      </c>
      <c r="L1051" s="1" t="s">
        <v>103</v>
      </c>
      <c r="M1051" s="20">
        <v>2597248</v>
      </c>
      <c r="N1051" s="20">
        <v>536400</v>
      </c>
      <c r="O1051" s="20">
        <v>408000</v>
      </c>
      <c r="P1051" s="20">
        <v>386712</v>
      </c>
      <c r="Q1051" s="20">
        <v>1059480</v>
      </c>
      <c r="R1051" s="20">
        <v>2266200</v>
      </c>
      <c r="AB1051" s="20">
        <v>7254040</v>
      </c>
      <c r="AC1051" s="20">
        <v>3578012</v>
      </c>
      <c r="AD1051" s="20">
        <v>1072800</v>
      </c>
      <c r="AE1051" s="20">
        <v>357000</v>
      </c>
      <c r="AG1051" s="20">
        <v>763200</v>
      </c>
      <c r="AH1051" s="20">
        <v>808800</v>
      </c>
      <c r="AR1051" s="20">
        <v>6579812</v>
      </c>
      <c r="AS1051" s="20">
        <v>4868700</v>
      </c>
      <c r="AT1051" s="20">
        <v>1655664</v>
      </c>
      <c r="AU1051" s="20">
        <v>408000</v>
      </c>
      <c r="AV1051" s="20">
        <v>715600</v>
      </c>
      <c r="AW1051" s="20">
        <v>915840</v>
      </c>
      <c r="AX1051" s="20">
        <v>1588800</v>
      </c>
      <c r="BH1051" s="28">
        <v>10152604</v>
      </c>
      <c r="BI1051" s="28">
        <v>23986456</v>
      </c>
    </row>
    <row r="1052" spans="1:61" hidden="1" x14ac:dyDescent="0.3">
      <c r="A1052" s="1" t="s">
        <v>739</v>
      </c>
      <c r="B1052" s="1" t="s">
        <v>111</v>
      </c>
      <c r="C1052" s="1" t="s">
        <v>724</v>
      </c>
      <c r="D1052" s="1" t="s">
        <v>725</v>
      </c>
      <c r="E1052" s="1" t="s">
        <v>724</v>
      </c>
      <c r="F1052" s="1" t="s">
        <v>594</v>
      </c>
      <c r="G1052" s="1" t="s">
        <v>2245</v>
      </c>
      <c r="H1052" s="1" t="s">
        <v>2246</v>
      </c>
      <c r="I1052" s="1" t="s">
        <v>111</v>
      </c>
      <c r="J1052" s="1" t="s">
        <v>229</v>
      </c>
      <c r="K1052" s="1" t="s">
        <v>118</v>
      </c>
      <c r="L1052" s="1" t="s">
        <v>103</v>
      </c>
      <c r="M1052" s="20">
        <v>6135892</v>
      </c>
      <c r="N1052" s="20">
        <v>536400</v>
      </c>
      <c r="O1052" s="20">
        <v>204000</v>
      </c>
      <c r="Q1052" s="20">
        <v>696960</v>
      </c>
      <c r="R1052" s="20">
        <v>1942800</v>
      </c>
      <c r="AB1052" s="20">
        <v>9516052</v>
      </c>
      <c r="AC1052" s="20">
        <v>6381672</v>
      </c>
      <c r="AD1052" s="20">
        <v>804600</v>
      </c>
      <c r="AE1052" s="20">
        <v>510000</v>
      </c>
      <c r="AG1052" s="20">
        <v>568800</v>
      </c>
      <c r="AH1052" s="20">
        <v>1628400</v>
      </c>
      <c r="AR1052" s="20">
        <v>9893472</v>
      </c>
      <c r="AS1052" s="20">
        <v>4779738</v>
      </c>
      <c r="AT1052" s="20">
        <v>1005720</v>
      </c>
      <c r="AV1052" s="20">
        <v>454000</v>
      </c>
      <c r="AW1052" s="20">
        <v>745560</v>
      </c>
      <c r="AX1052" s="20">
        <v>1630800</v>
      </c>
      <c r="BH1052" s="28">
        <v>8615818</v>
      </c>
      <c r="BI1052" s="28">
        <v>28025342</v>
      </c>
    </row>
    <row r="1053" spans="1:61" hidden="1" x14ac:dyDescent="0.3">
      <c r="A1053" s="1" t="s">
        <v>739</v>
      </c>
      <c r="B1053" s="1" t="s">
        <v>111</v>
      </c>
      <c r="C1053" s="1" t="s">
        <v>724</v>
      </c>
      <c r="D1053" s="1" t="s">
        <v>725</v>
      </c>
      <c r="E1053" s="1" t="s">
        <v>724</v>
      </c>
      <c r="F1053" s="1" t="s">
        <v>594</v>
      </c>
      <c r="G1053" s="1" t="s">
        <v>2247</v>
      </c>
      <c r="H1053" s="1" t="s">
        <v>2248</v>
      </c>
      <c r="I1053" s="1" t="s">
        <v>111</v>
      </c>
      <c r="J1053" s="1" t="s">
        <v>229</v>
      </c>
      <c r="K1053" s="1" t="s">
        <v>118</v>
      </c>
      <c r="L1053" s="1" t="s">
        <v>103</v>
      </c>
      <c r="M1053" s="20">
        <v>5056204</v>
      </c>
      <c r="N1053" s="20">
        <v>1072800</v>
      </c>
      <c r="O1053" s="20">
        <v>612000</v>
      </c>
      <c r="P1053" s="20">
        <v>321304</v>
      </c>
      <c r="Q1053" s="20">
        <v>1388880</v>
      </c>
      <c r="R1053" s="20">
        <v>2563800</v>
      </c>
      <c r="AB1053" s="20">
        <v>11014988</v>
      </c>
      <c r="AC1053" s="20">
        <v>10463256</v>
      </c>
      <c r="AD1053" s="20">
        <v>2192088</v>
      </c>
      <c r="AE1053" s="20">
        <v>1530000</v>
      </c>
      <c r="AF1053" s="20">
        <v>577200</v>
      </c>
      <c r="AG1053" s="20">
        <v>2489760</v>
      </c>
      <c r="AH1053" s="20">
        <v>2926800</v>
      </c>
      <c r="AR1053" s="20">
        <v>20179104</v>
      </c>
      <c r="AS1053" s="20">
        <v>8111838</v>
      </c>
      <c r="AT1053" s="20">
        <v>1206864</v>
      </c>
      <c r="AU1053" s="20">
        <v>816000</v>
      </c>
      <c r="AV1053" s="20">
        <v>777200</v>
      </c>
      <c r="AW1053" s="20">
        <v>1876320</v>
      </c>
      <c r="AX1053" s="20">
        <v>2831400</v>
      </c>
      <c r="BH1053" s="28">
        <v>15619622</v>
      </c>
      <c r="BI1053" s="28">
        <v>46813714</v>
      </c>
    </row>
    <row r="1054" spans="1:61" hidden="1" x14ac:dyDescent="0.3">
      <c r="A1054" s="1" t="s">
        <v>739</v>
      </c>
      <c r="B1054" s="1" t="s">
        <v>111</v>
      </c>
      <c r="C1054" s="1" t="s">
        <v>724</v>
      </c>
      <c r="D1054" s="1" t="s">
        <v>725</v>
      </c>
      <c r="E1054" s="1" t="s">
        <v>724</v>
      </c>
      <c r="F1054" s="1" t="s">
        <v>594</v>
      </c>
      <c r="G1054" s="1" t="s">
        <v>2249</v>
      </c>
      <c r="H1054" s="1" t="s">
        <v>2250</v>
      </c>
      <c r="I1054" s="1" t="s">
        <v>111</v>
      </c>
      <c r="J1054" s="1" t="s">
        <v>229</v>
      </c>
      <c r="K1054" s="1" t="s">
        <v>118</v>
      </c>
      <c r="L1054" s="1" t="s">
        <v>103</v>
      </c>
      <c r="AC1054" s="20">
        <v>6910716</v>
      </c>
      <c r="AD1054" s="20">
        <v>717000</v>
      </c>
      <c r="AE1054" s="20">
        <v>918000</v>
      </c>
      <c r="AF1054" s="20">
        <v>192400</v>
      </c>
      <c r="AG1054" s="20">
        <v>1619280</v>
      </c>
      <c r="AH1054" s="20">
        <v>2323800</v>
      </c>
      <c r="AR1054" s="20">
        <v>12681196</v>
      </c>
      <c r="AS1054" s="20">
        <v>4998288</v>
      </c>
      <c r="AT1054" s="20">
        <v>1206864</v>
      </c>
      <c r="AV1054" s="20">
        <v>392400</v>
      </c>
      <c r="AW1054" s="20">
        <v>683280</v>
      </c>
      <c r="AX1054" s="20">
        <v>1131600</v>
      </c>
      <c r="BH1054" s="28">
        <v>8412432</v>
      </c>
      <c r="BI1054" s="28">
        <v>21093628</v>
      </c>
    </row>
    <row r="1055" spans="1:61" hidden="1" x14ac:dyDescent="0.3">
      <c r="A1055" s="1" t="s">
        <v>739</v>
      </c>
      <c r="B1055" s="1" t="s">
        <v>111</v>
      </c>
      <c r="C1055" s="1" t="s">
        <v>724</v>
      </c>
      <c r="D1055" s="1" t="s">
        <v>725</v>
      </c>
      <c r="E1055" s="1" t="s">
        <v>724</v>
      </c>
      <c r="F1055" s="1" t="s">
        <v>594</v>
      </c>
      <c r="G1055" s="1" t="s">
        <v>2251</v>
      </c>
      <c r="H1055" s="1" t="s">
        <v>2252</v>
      </c>
      <c r="I1055" s="1" t="s">
        <v>111</v>
      </c>
      <c r="J1055" s="1" t="s">
        <v>229</v>
      </c>
      <c r="K1055" s="1" t="s">
        <v>118</v>
      </c>
      <c r="L1055" s="1" t="s">
        <v>103</v>
      </c>
      <c r="AS1055" s="20">
        <v>1483800</v>
      </c>
      <c r="AT1055" s="20">
        <v>402288</v>
      </c>
      <c r="AV1055" s="20">
        <v>261600</v>
      </c>
      <c r="AW1055" s="20">
        <v>358920</v>
      </c>
      <c r="AX1055" s="20">
        <v>1453800</v>
      </c>
      <c r="BH1055" s="28">
        <v>3960408</v>
      </c>
      <c r="BI1055" s="28">
        <v>3960408</v>
      </c>
    </row>
    <row r="1056" spans="1:61" hidden="1" x14ac:dyDescent="0.3">
      <c r="A1056" s="1" t="s">
        <v>739</v>
      </c>
      <c r="B1056" s="1" t="s">
        <v>111</v>
      </c>
      <c r="C1056" s="1" t="s">
        <v>724</v>
      </c>
      <c r="D1056" s="1" t="s">
        <v>725</v>
      </c>
      <c r="E1056" s="1" t="s">
        <v>724</v>
      </c>
      <c r="F1056" s="1" t="s">
        <v>594</v>
      </c>
      <c r="G1056" s="1" t="s">
        <v>2253</v>
      </c>
      <c r="H1056" s="1" t="s">
        <v>2254</v>
      </c>
      <c r="I1056" s="1" t="s">
        <v>111</v>
      </c>
      <c r="J1056" s="1" t="s">
        <v>229</v>
      </c>
      <c r="K1056" s="1" t="s">
        <v>118</v>
      </c>
      <c r="L1056" s="1" t="s">
        <v>103</v>
      </c>
      <c r="AS1056" s="20">
        <v>1780350</v>
      </c>
      <c r="AT1056" s="20">
        <v>1052232</v>
      </c>
      <c r="AU1056" s="20">
        <v>153000</v>
      </c>
      <c r="AV1056" s="20">
        <v>192400</v>
      </c>
      <c r="AW1056" s="20">
        <v>565200</v>
      </c>
      <c r="AX1056" s="20">
        <v>747600</v>
      </c>
      <c r="BH1056" s="28">
        <v>4490782</v>
      </c>
      <c r="BI1056" s="28">
        <v>4490782</v>
      </c>
    </row>
    <row r="1057" spans="1:61" hidden="1" x14ac:dyDescent="0.3">
      <c r="A1057" s="1" t="s">
        <v>739</v>
      </c>
      <c r="B1057" s="1" t="s">
        <v>111</v>
      </c>
      <c r="C1057" s="1" t="s">
        <v>724</v>
      </c>
      <c r="D1057" s="1" t="s">
        <v>725</v>
      </c>
      <c r="E1057" s="1" t="s">
        <v>724</v>
      </c>
      <c r="F1057" s="1" t="s">
        <v>594</v>
      </c>
      <c r="G1057" s="1" t="s">
        <v>2255</v>
      </c>
      <c r="H1057" s="1" t="s">
        <v>2256</v>
      </c>
      <c r="I1057" s="1" t="s">
        <v>111</v>
      </c>
      <c r="J1057" s="1" t="s">
        <v>229</v>
      </c>
      <c r="K1057" s="1" t="s">
        <v>118</v>
      </c>
      <c r="L1057" s="1" t="s">
        <v>103</v>
      </c>
      <c r="AW1057" s="20">
        <v>343440</v>
      </c>
      <c r="AX1057" s="20">
        <v>145200</v>
      </c>
      <c r="BH1057" s="28">
        <v>488640</v>
      </c>
      <c r="BI1057" s="28">
        <v>488640</v>
      </c>
    </row>
    <row r="1058" spans="1:61" hidden="1" x14ac:dyDescent="0.3">
      <c r="A1058" s="1" t="s">
        <v>739</v>
      </c>
      <c r="B1058" s="1" t="s">
        <v>111</v>
      </c>
      <c r="C1058" s="1" t="s">
        <v>724</v>
      </c>
      <c r="D1058" s="1" t="s">
        <v>725</v>
      </c>
      <c r="E1058" s="1" t="s">
        <v>724</v>
      </c>
      <c r="F1058" s="1" t="s">
        <v>594</v>
      </c>
      <c r="G1058" s="1" t="s">
        <v>2257</v>
      </c>
      <c r="H1058" s="1" t="s">
        <v>2258</v>
      </c>
      <c r="I1058" s="1" t="s">
        <v>111</v>
      </c>
      <c r="J1058" s="1" t="s">
        <v>229</v>
      </c>
      <c r="K1058" s="1" t="s">
        <v>118</v>
      </c>
      <c r="L1058" s="1" t="s">
        <v>103</v>
      </c>
      <c r="AS1058" s="20">
        <v>2340744</v>
      </c>
      <c r="AT1058" s="20">
        <v>402288</v>
      </c>
      <c r="AU1058" s="20">
        <v>204000</v>
      </c>
      <c r="AV1058" s="20">
        <v>192400</v>
      </c>
      <c r="AW1058" s="20">
        <v>171720</v>
      </c>
      <c r="AX1058" s="20">
        <v>890400</v>
      </c>
      <c r="BH1058" s="28">
        <v>4201552</v>
      </c>
      <c r="BI1058" s="28">
        <v>4201552</v>
      </c>
    </row>
    <row r="1059" spans="1:61" hidden="1" x14ac:dyDescent="0.3">
      <c r="A1059" s="1" t="s">
        <v>739</v>
      </c>
      <c r="B1059" s="1" t="s">
        <v>111</v>
      </c>
      <c r="C1059" s="1" t="s">
        <v>724</v>
      </c>
      <c r="D1059" s="1" t="s">
        <v>725</v>
      </c>
      <c r="E1059" s="1" t="s">
        <v>724</v>
      </c>
      <c r="F1059" s="1" t="s">
        <v>594</v>
      </c>
      <c r="G1059" s="1" t="s">
        <v>2259</v>
      </c>
      <c r="H1059" s="1" t="s">
        <v>2260</v>
      </c>
      <c r="I1059" s="1" t="s">
        <v>111</v>
      </c>
      <c r="J1059" s="1" t="s">
        <v>229</v>
      </c>
      <c r="K1059" s="1" t="s">
        <v>118</v>
      </c>
      <c r="L1059" s="1" t="s">
        <v>103</v>
      </c>
      <c r="AS1059" s="20">
        <v>869094</v>
      </c>
      <c r="AT1059" s="20">
        <v>201144</v>
      </c>
      <c r="AV1059" s="20">
        <v>392400</v>
      </c>
      <c r="AW1059" s="20">
        <v>282600</v>
      </c>
      <c r="AX1059" s="20">
        <v>1001400</v>
      </c>
      <c r="BH1059" s="28">
        <v>2746638</v>
      </c>
      <c r="BI1059" s="28">
        <v>2746638</v>
      </c>
    </row>
    <row r="1060" spans="1:61" hidden="1" x14ac:dyDescent="0.3">
      <c r="A1060" s="1" t="s">
        <v>739</v>
      </c>
      <c r="B1060" s="1" t="s">
        <v>111</v>
      </c>
      <c r="C1060" s="1" t="s">
        <v>724</v>
      </c>
      <c r="D1060" s="1" t="s">
        <v>725</v>
      </c>
      <c r="E1060" s="1" t="s">
        <v>724</v>
      </c>
      <c r="F1060" s="1" t="s">
        <v>594</v>
      </c>
      <c r="G1060" s="1" t="s">
        <v>2261</v>
      </c>
      <c r="H1060" s="1" t="s">
        <v>2262</v>
      </c>
      <c r="I1060" s="1" t="s">
        <v>111</v>
      </c>
      <c r="J1060" s="1" t="s">
        <v>229</v>
      </c>
      <c r="K1060" s="1" t="s">
        <v>118</v>
      </c>
      <c r="L1060" s="1" t="s">
        <v>103</v>
      </c>
      <c r="AS1060" s="20">
        <v>313644</v>
      </c>
      <c r="AT1060" s="20">
        <v>649944</v>
      </c>
      <c r="AU1060" s="20">
        <v>153000</v>
      </c>
      <c r="AW1060" s="20">
        <v>454320</v>
      </c>
      <c r="AX1060" s="20">
        <v>1087800</v>
      </c>
      <c r="BH1060" s="28">
        <v>2658708</v>
      </c>
      <c r="BI1060" s="28">
        <v>2658708</v>
      </c>
    </row>
    <row r="1061" spans="1:61" hidden="1" x14ac:dyDescent="0.3">
      <c r="A1061" s="1" t="s">
        <v>739</v>
      </c>
      <c r="B1061" s="1" t="s">
        <v>111</v>
      </c>
      <c r="C1061" s="1" t="s">
        <v>724</v>
      </c>
      <c r="D1061" s="1" t="s">
        <v>725</v>
      </c>
      <c r="E1061" s="1" t="s">
        <v>724</v>
      </c>
      <c r="F1061" s="1" t="s">
        <v>594</v>
      </c>
      <c r="G1061" s="1" t="s">
        <v>2263</v>
      </c>
      <c r="H1061" s="1" t="s">
        <v>2264</v>
      </c>
      <c r="I1061" s="1" t="s">
        <v>111</v>
      </c>
      <c r="J1061" s="1" t="s">
        <v>229</v>
      </c>
      <c r="K1061" s="1" t="s">
        <v>118</v>
      </c>
      <c r="L1061" s="1" t="s">
        <v>103</v>
      </c>
      <c r="AS1061" s="20">
        <v>1497234</v>
      </c>
      <c r="AT1061" s="20">
        <v>201144</v>
      </c>
      <c r="AU1061" s="20">
        <v>204000</v>
      </c>
      <c r="AV1061" s="20">
        <v>384800</v>
      </c>
      <c r="AW1061" s="20">
        <v>95400</v>
      </c>
      <c r="AX1061" s="20">
        <v>1060200</v>
      </c>
      <c r="BH1061" s="28">
        <v>3442778</v>
      </c>
      <c r="BI1061" s="28">
        <v>3442778</v>
      </c>
    </row>
    <row r="1062" spans="1:61" hidden="1" x14ac:dyDescent="0.3">
      <c r="A1062" s="1" t="s">
        <v>739</v>
      </c>
      <c r="B1062" s="1" t="s">
        <v>111</v>
      </c>
      <c r="C1062" s="1" t="s">
        <v>724</v>
      </c>
      <c r="D1062" s="1" t="s">
        <v>725</v>
      </c>
      <c r="E1062" s="1" t="s">
        <v>724</v>
      </c>
      <c r="F1062" s="1" t="s">
        <v>594</v>
      </c>
      <c r="G1062" s="1" t="s">
        <v>2265</v>
      </c>
      <c r="H1062" s="1" t="s">
        <v>2266</v>
      </c>
      <c r="I1062" s="1" t="s">
        <v>111</v>
      </c>
      <c r="J1062" s="1" t="s">
        <v>229</v>
      </c>
      <c r="K1062" s="1" t="s">
        <v>118</v>
      </c>
      <c r="L1062" s="1" t="s">
        <v>103</v>
      </c>
      <c r="AS1062" s="20">
        <v>423588</v>
      </c>
      <c r="AX1062" s="20">
        <v>850800</v>
      </c>
      <c r="BH1062" s="28">
        <v>1274388</v>
      </c>
      <c r="BI1062" s="28">
        <v>1274388</v>
      </c>
    </row>
    <row r="1063" spans="1:61" hidden="1" x14ac:dyDescent="0.3">
      <c r="A1063" s="1" t="s">
        <v>739</v>
      </c>
      <c r="B1063" s="1" t="s">
        <v>111</v>
      </c>
      <c r="C1063" s="1" t="s">
        <v>724</v>
      </c>
      <c r="D1063" s="1" t="s">
        <v>725</v>
      </c>
      <c r="E1063" s="1" t="s">
        <v>724</v>
      </c>
      <c r="F1063" s="1" t="s">
        <v>594</v>
      </c>
      <c r="G1063" s="1" t="s">
        <v>2267</v>
      </c>
      <c r="H1063" s="1" t="s">
        <v>2268</v>
      </c>
      <c r="I1063" s="1" t="s">
        <v>111</v>
      </c>
      <c r="J1063" s="1" t="s">
        <v>229</v>
      </c>
      <c r="K1063" s="1" t="s">
        <v>118</v>
      </c>
      <c r="L1063" s="1" t="s">
        <v>103</v>
      </c>
      <c r="AS1063" s="20">
        <v>385350</v>
      </c>
      <c r="AW1063" s="20">
        <v>171720</v>
      </c>
      <c r="AX1063" s="20">
        <v>430800</v>
      </c>
      <c r="BH1063" s="28">
        <v>987870</v>
      </c>
      <c r="BI1063" s="28">
        <v>987870</v>
      </c>
    </row>
    <row r="1064" spans="1:61" hidden="1" x14ac:dyDescent="0.3">
      <c r="A1064" s="1" t="s">
        <v>739</v>
      </c>
      <c r="B1064" s="1" t="s">
        <v>111</v>
      </c>
      <c r="C1064" s="1" t="s">
        <v>724</v>
      </c>
      <c r="D1064" s="1" t="s">
        <v>725</v>
      </c>
      <c r="E1064" s="1" t="s">
        <v>724</v>
      </c>
      <c r="F1064" s="1" t="s">
        <v>594</v>
      </c>
      <c r="G1064" s="1" t="s">
        <v>2269</v>
      </c>
      <c r="H1064" s="1" t="s">
        <v>2270</v>
      </c>
      <c r="I1064" s="1" t="s">
        <v>111</v>
      </c>
      <c r="J1064" s="1" t="s">
        <v>229</v>
      </c>
      <c r="K1064" s="1" t="s">
        <v>118</v>
      </c>
      <c r="L1064" s="1" t="s">
        <v>103</v>
      </c>
      <c r="AS1064" s="20">
        <v>1490640</v>
      </c>
      <c r="AT1064" s="20">
        <v>201144</v>
      </c>
      <c r="AU1064" s="20">
        <v>357000</v>
      </c>
      <c r="AV1064" s="20">
        <v>130800</v>
      </c>
      <c r="AW1064" s="20">
        <v>908640</v>
      </c>
      <c r="AX1064" s="20">
        <v>2160000</v>
      </c>
      <c r="BH1064" s="28">
        <v>5248224</v>
      </c>
      <c r="BI1064" s="28">
        <v>5248224</v>
      </c>
    </row>
    <row r="1065" spans="1:61" hidden="1" x14ac:dyDescent="0.3">
      <c r="A1065" s="1" t="s">
        <v>739</v>
      </c>
      <c r="B1065" s="1" t="s">
        <v>111</v>
      </c>
      <c r="C1065" s="1" t="s">
        <v>724</v>
      </c>
      <c r="D1065" s="1" t="s">
        <v>725</v>
      </c>
      <c r="E1065" s="1" t="s">
        <v>724</v>
      </c>
      <c r="F1065" s="1" t="s">
        <v>594</v>
      </c>
      <c r="G1065" s="1" t="s">
        <v>2271</v>
      </c>
      <c r="H1065" s="1" t="s">
        <v>2272</v>
      </c>
      <c r="I1065" s="1" t="s">
        <v>111</v>
      </c>
      <c r="J1065" s="1" t="s">
        <v>229</v>
      </c>
      <c r="K1065" s="1" t="s">
        <v>118</v>
      </c>
      <c r="L1065" s="1" t="s">
        <v>103</v>
      </c>
      <c r="AS1065" s="20">
        <v>6598374</v>
      </c>
      <c r="AT1065" s="20">
        <v>1253376</v>
      </c>
      <c r="AU1065" s="20">
        <v>357000</v>
      </c>
      <c r="AV1065" s="20">
        <v>1292800</v>
      </c>
      <c r="AW1065" s="20">
        <v>736920</v>
      </c>
      <c r="AX1065" s="20">
        <v>1758000</v>
      </c>
      <c r="BH1065" s="28">
        <v>11996470</v>
      </c>
      <c r="BI1065" s="28">
        <v>11996470</v>
      </c>
    </row>
    <row r="1066" spans="1:61" hidden="1" x14ac:dyDescent="0.3">
      <c r="A1066" s="1" t="s">
        <v>739</v>
      </c>
      <c r="B1066" s="1" t="s">
        <v>111</v>
      </c>
      <c r="C1066" s="1" t="s">
        <v>724</v>
      </c>
      <c r="D1066" s="1" t="s">
        <v>725</v>
      </c>
      <c r="E1066" s="1" t="s">
        <v>724</v>
      </c>
      <c r="F1066" s="1" t="s">
        <v>594</v>
      </c>
      <c r="G1066" s="1" t="s">
        <v>2273</v>
      </c>
      <c r="H1066" s="1" t="s">
        <v>2274</v>
      </c>
      <c r="I1066" s="1" t="s">
        <v>111</v>
      </c>
      <c r="J1066" s="1" t="s">
        <v>229</v>
      </c>
      <c r="K1066" s="1" t="s">
        <v>118</v>
      </c>
      <c r="L1066" s="1" t="s">
        <v>103</v>
      </c>
      <c r="AS1066" s="20">
        <v>431232</v>
      </c>
      <c r="AT1066" s="20">
        <v>201144</v>
      </c>
      <c r="AW1066" s="20">
        <v>343440</v>
      </c>
      <c r="AX1066" s="20">
        <v>358200</v>
      </c>
      <c r="BH1066" s="28">
        <v>1334016</v>
      </c>
      <c r="BI1066" s="28">
        <v>1334016</v>
      </c>
    </row>
    <row r="1067" spans="1:61" hidden="1" x14ac:dyDescent="0.3">
      <c r="A1067" s="1" t="s">
        <v>739</v>
      </c>
      <c r="B1067" s="1" t="s">
        <v>111</v>
      </c>
      <c r="C1067" s="1" t="s">
        <v>724</v>
      </c>
      <c r="D1067" s="1" t="s">
        <v>725</v>
      </c>
      <c r="E1067" s="1" t="s">
        <v>724</v>
      </c>
      <c r="F1067" s="1" t="s">
        <v>594</v>
      </c>
      <c r="G1067" s="1" t="s">
        <v>2275</v>
      </c>
      <c r="H1067" s="1" t="s">
        <v>2276</v>
      </c>
      <c r="I1067" s="1" t="s">
        <v>111</v>
      </c>
      <c r="J1067" s="1" t="s">
        <v>229</v>
      </c>
      <c r="K1067" s="1" t="s">
        <v>118</v>
      </c>
      <c r="L1067" s="1" t="s">
        <v>103</v>
      </c>
      <c r="AS1067" s="20">
        <v>3144744</v>
      </c>
      <c r="AT1067" s="20">
        <v>201144</v>
      </c>
      <c r="AW1067" s="20">
        <v>171720</v>
      </c>
      <c r="AX1067" s="20">
        <v>969000</v>
      </c>
      <c r="BH1067" s="28">
        <v>4486608</v>
      </c>
      <c r="BI1067" s="28">
        <v>4486608</v>
      </c>
    </row>
    <row r="1068" spans="1:61" hidden="1" x14ac:dyDescent="0.3">
      <c r="A1068" s="1" t="s">
        <v>739</v>
      </c>
      <c r="B1068" s="1" t="s">
        <v>111</v>
      </c>
      <c r="C1068" s="1" t="s">
        <v>724</v>
      </c>
      <c r="D1068" s="1" t="s">
        <v>725</v>
      </c>
      <c r="E1068" s="1" t="s">
        <v>724</v>
      </c>
      <c r="F1068" s="1" t="s">
        <v>594</v>
      </c>
      <c r="G1068" s="1" t="s">
        <v>2277</v>
      </c>
      <c r="H1068" s="1" t="s">
        <v>2278</v>
      </c>
      <c r="I1068" s="1" t="s">
        <v>111</v>
      </c>
      <c r="J1068" s="1" t="s">
        <v>229</v>
      </c>
      <c r="K1068" s="1" t="s">
        <v>118</v>
      </c>
      <c r="L1068" s="1" t="s">
        <v>103</v>
      </c>
      <c r="AS1068" s="20">
        <v>1631244</v>
      </c>
      <c r="AT1068" s="20">
        <v>201144</v>
      </c>
      <c r="AW1068" s="20">
        <v>400680</v>
      </c>
      <c r="AX1068" s="20">
        <v>1253400</v>
      </c>
      <c r="BH1068" s="28">
        <v>3486468</v>
      </c>
      <c r="BI1068" s="28">
        <v>3486468</v>
      </c>
    </row>
    <row r="1069" spans="1:61" hidden="1" x14ac:dyDescent="0.3">
      <c r="A1069" s="1" t="s">
        <v>739</v>
      </c>
      <c r="B1069" s="1" t="s">
        <v>111</v>
      </c>
      <c r="C1069" s="1" t="s">
        <v>724</v>
      </c>
      <c r="D1069" s="1" t="s">
        <v>725</v>
      </c>
      <c r="E1069" s="1" t="s">
        <v>724</v>
      </c>
      <c r="F1069" s="1" t="s">
        <v>594</v>
      </c>
      <c r="G1069" s="1" t="s">
        <v>2279</v>
      </c>
      <c r="H1069" s="1" t="s">
        <v>2280</v>
      </c>
      <c r="I1069" s="1" t="s">
        <v>111</v>
      </c>
      <c r="J1069" s="1" t="s">
        <v>229</v>
      </c>
      <c r="K1069" s="1" t="s">
        <v>118</v>
      </c>
      <c r="L1069" s="1" t="s">
        <v>103</v>
      </c>
      <c r="AS1069" s="20">
        <v>4354194</v>
      </c>
      <c r="AT1069" s="20">
        <v>804576</v>
      </c>
      <c r="AU1069" s="20">
        <v>204000</v>
      </c>
      <c r="AV1069" s="20">
        <v>846400</v>
      </c>
      <c r="AW1069" s="20">
        <v>206280</v>
      </c>
      <c r="AX1069" s="20">
        <v>1275000</v>
      </c>
      <c r="BH1069" s="28">
        <v>7690450</v>
      </c>
      <c r="BI1069" s="28">
        <v>7690450</v>
      </c>
    </row>
    <row r="1070" spans="1:61" hidden="1" x14ac:dyDescent="0.3">
      <c r="A1070" s="1" t="s">
        <v>739</v>
      </c>
      <c r="B1070" s="1" t="s">
        <v>111</v>
      </c>
      <c r="C1070" s="1" t="s">
        <v>724</v>
      </c>
      <c r="D1070" s="1" t="s">
        <v>725</v>
      </c>
      <c r="E1070" s="1" t="s">
        <v>724</v>
      </c>
      <c r="F1070" s="1" t="s">
        <v>594</v>
      </c>
      <c r="G1070" s="1" t="s">
        <v>2281</v>
      </c>
      <c r="H1070" s="1" t="s">
        <v>2282</v>
      </c>
      <c r="I1070" s="1" t="s">
        <v>111</v>
      </c>
      <c r="J1070" s="1" t="s">
        <v>229</v>
      </c>
      <c r="K1070" s="1" t="s">
        <v>118</v>
      </c>
      <c r="L1070" s="1" t="s">
        <v>103</v>
      </c>
      <c r="AS1070" s="20">
        <v>307740</v>
      </c>
      <c r="AW1070" s="20">
        <v>76320</v>
      </c>
      <c r="AX1070" s="20">
        <v>145200</v>
      </c>
      <c r="BH1070" s="28">
        <v>529260</v>
      </c>
      <c r="BI1070" s="28">
        <v>529260</v>
      </c>
    </row>
    <row r="1071" spans="1:61" hidden="1" x14ac:dyDescent="0.3">
      <c r="A1071" s="1" t="s">
        <v>739</v>
      </c>
      <c r="B1071" s="1" t="s">
        <v>111</v>
      </c>
      <c r="C1071" s="1" t="s">
        <v>724</v>
      </c>
      <c r="D1071" s="1" t="s">
        <v>725</v>
      </c>
      <c r="E1071" s="1" t="s">
        <v>724</v>
      </c>
      <c r="F1071" s="1" t="s">
        <v>594</v>
      </c>
      <c r="G1071" s="1" t="s">
        <v>2283</v>
      </c>
      <c r="H1071" s="1" t="s">
        <v>2284</v>
      </c>
      <c r="I1071" s="1" t="s">
        <v>111</v>
      </c>
      <c r="J1071" s="1" t="s">
        <v>229</v>
      </c>
      <c r="K1071" s="1" t="s">
        <v>118</v>
      </c>
      <c r="L1071" s="1" t="s">
        <v>103</v>
      </c>
      <c r="AS1071" s="20">
        <v>2080200</v>
      </c>
      <c r="AT1071" s="20">
        <v>201144</v>
      </c>
      <c r="AV1071" s="20">
        <v>192400</v>
      </c>
      <c r="AW1071" s="20">
        <v>248040</v>
      </c>
      <c r="AX1071" s="20">
        <v>1462200</v>
      </c>
      <c r="BH1071" s="28">
        <v>4183984</v>
      </c>
      <c r="BI1071" s="28">
        <v>4183984</v>
      </c>
    </row>
    <row r="1072" spans="1:61" hidden="1" x14ac:dyDescent="0.3">
      <c r="A1072" s="1" t="s">
        <v>739</v>
      </c>
      <c r="B1072" s="1" t="s">
        <v>111</v>
      </c>
      <c r="C1072" s="1" t="s">
        <v>724</v>
      </c>
      <c r="D1072" s="1" t="s">
        <v>725</v>
      </c>
      <c r="E1072" s="1" t="s">
        <v>724</v>
      </c>
      <c r="F1072" s="1" t="s">
        <v>594</v>
      </c>
      <c r="G1072" s="1" t="s">
        <v>2285</v>
      </c>
      <c r="H1072" s="1" t="s">
        <v>2286</v>
      </c>
      <c r="I1072" s="1" t="s">
        <v>111</v>
      </c>
      <c r="J1072" s="1" t="s">
        <v>229</v>
      </c>
      <c r="K1072" s="1" t="s">
        <v>118</v>
      </c>
      <c r="L1072" s="1" t="s">
        <v>103</v>
      </c>
      <c r="AS1072" s="20">
        <v>1569768</v>
      </c>
      <c r="AT1072" s="20">
        <v>402288</v>
      </c>
      <c r="AU1072" s="20">
        <v>153000</v>
      </c>
      <c r="AW1072" s="20">
        <v>152640</v>
      </c>
      <c r="AX1072" s="20">
        <v>1326000</v>
      </c>
      <c r="BH1072" s="28">
        <v>3603696</v>
      </c>
      <c r="BI1072" s="28">
        <v>3603696</v>
      </c>
    </row>
    <row r="1073" spans="1:61" hidden="1" x14ac:dyDescent="0.3">
      <c r="A1073" s="1" t="s">
        <v>739</v>
      </c>
      <c r="B1073" s="1" t="s">
        <v>111</v>
      </c>
      <c r="C1073" s="1" t="s">
        <v>724</v>
      </c>
      <c r="D1073" s="1" t="s">
        <v>725</v>
      </c>
      <c r="E1073" s="1" t="s">
        <v>724</v>
      </c>
      <c r="F1073" s="1" t="s">
        <v>594</v>
      </c>
      <c r="G1073" s="1" t="s">
        <v>2287</v>
      </c>
      <c r="H1073" s="1" t="s">
        <v>2288</v>
      </c>
      <c r="I1073" s="1" t="s">
        <v>111</v>
      </c>
      <c r="J1073" s="1" t="s">
        <v>229</v>
      </c>
      <c r="K1073" s="1" t="s">
        <v>118</v>
      </c>
      <c r="L1073" s="1" t="s">
        <v>103</v>
      </c>
      <c r="AS1073" s="20">
        <v>2263500</v>
      </c>
      <c r="AW1073" s="20">
        <v>393480</v>
      </c>
      <c r="AX1073" s="20">
        <v>745200</v>
      </c>
      <c r="BH1073" s="28">
        <v>3402180</v>
      </c>
      <c r="BI1073" s="28">
        <v>3402180</v>
      </c>
    </row>
    <row r="1074" spans="1:61" hidden="1" x14ac:dyDescent="0.3">
      <c r="A1074" s="1" t="s">
        <v>739</v>
      </c>
      <c r="B1074" s="1" t="s">
        <v>111</v>
      </c>
      <c r="C1074" s="1" t="s">
        <v>724</v>
      </c>
      <c r="D1074" s="1" t="s">
        <v>725</v>
      </c>
      <c r="E1074" s="1" t="s">
        <v>724</v>
      </c>
      <c r="F1074" s="1" t="s">
        <v>594</v>
      </c>
      <c r="G1074" s="1" t="s">
        <v>2289</v>
      </c>
      <c r="H1074" s="1" t="s">
        <v>2290</v>
      </c>
      <c r="I1074" s="1" t="s">
        <v>111</v>
      </c>
      <c r="J1074" s="1" t="s">
        <v>229</v>
      </c>
      <c r="K1074" s="1" t="s">
        <v>118</v>
      </c>
      <c r="L1074" s="1" t="s">
        <v>103</v>
      </c>
      <c r="AS1074" s="20">
        <v>647688</v>
      </c>
      <c r="AT1074" s="20">
        <v>402288</v>
      </c>
      <c r="AU1074" s="20">
        <v>153000</v>
      </c>
      <c r="AW1074" s="20">
        <v>95400</v>
      </c>
      <c r="AX1074" s="20">
        <v>503400</v>
      </c>
      <c r="BH1074" s="28">
        <v>1801776</v>
      </c>
      <c r="BI1074" s="28">
        <v>1801776</v>
      </c>
    </row>
    <row r="1075" spans="1:61" hidden="1" x14ac:dyDescent="0.3">
      <c r="A1075" s="1" t="s">
        <v>739</v>
      </c>
      <c r="B1075" s="1" t="s">
        <v>111</v>
      </c>
      <c r="C1075" s="1" t="s">
        <v>724</v>
      </c>
      <c r="D1075" s="1" t="s">
        <v>725</v>
      </c>
      <c r="E1075" s="1" t="s">
        <v>724</v>
      </c>
      <c r="F1075" s="1" t="s">
        <v>594</v>
      </c>
      <c r="G1075" s="1" t="s">
        <v>2291</v>
      </c>
      <c r="H1075" s="1" t="s">
        <v>2292</v>
      </c>
      <c r="I1075" s="1" t="s">
        <v>111</v>
      </c>
      <c r="J1075" s="1" t="s">
        <v>229</v>
      </c>
      <c r="K1075" s="1" t="s">
        <v>118</v>
      </c>
      <c r="L1075" s="1" t="s">
        <v>103</v>
      </c>
      <c r="AS1075" s="20">
        <v>303732</v>
      </c>
      <c r="AU1075" s="20">
        <v>561000</v>
      </c>
      <c r="AV1075" s="20">
        <v>384800</v>
      </c>
      <c r="AW1075" s="20">
        <v>263520</v>
      </c>
      <c r="AX1075" s="20">
        <v>1968000</v>
      </c>
      <c r="BH1075" s="28">
        <v>3481052</v>
      </c>
      <c r="BI1075" s="28">
        <v>3481052</v>
      </c>
    </row>
    <row r="1076" spans="1:61" hidden="1" x14ac:dyDescent="0.3">
      <c r="A1076" s="1" t="s">
        <v>739</v>
      </c>
      <c r="B1076" s="1" t="s">
        <v>111</v>
      </c>
      <c r="C1076" s="1" t="s">
        <v>724</v>
      </c>
      <c r="D1076" s="1" t="s">
        <v>725</v>
      </c>
      <c r="E1076" s="1" t="s">
        <v>724</v>
      </c>
      <c r="F1076" s="1" t="s">
        <v>594</v>
      </c>
      <c r="G1076" s="1" t="s">
        <v>2293</v>
      </c>
      <c r="H1076" s="1" t="s">
        <v>2294</v>
      </c>
      <c r="I1076" s="1" t="s">
        <v>111</v>
      </c>
      <c r="J1076" s="1" t="s">
        <v>229</v>
      </c>
      <c r="K1076" s="1" t="s">
        <v>118</v>
      </c>
      <c r="L1076" s="1" t="s">
        <v>103</v>
      </c>
      <c r="AS1076" s="20">
        <v>2405088</v>
      </c>
      <c r="AV1076" s="20">
        <v>908000</v>
      </c>
      <c r="AW1076" s="20">
        <v>263520</v>
      </c>
      <c r="AX1076" s="20">
        <v>1654200</v>
      </c>
      <c r="BH1076" s="28">
        <v>5230808</v>
      </c>
      <c r="BI1076" s="28">
        <v>5230808</v>
      </c>
    </row>
    <row r="1077" spans="1:61" hidden="1" x14ac:dyDescent="0.3">
      <c r="A1077" s="1" t="s">
        <v>739</v>
      </c>
      <c r="B1077" s="1" t="s">
        <v>111</v>
      </c>
      <c r="C1077" s="1" t="s">
        <v>724</v>
      </c>
      <c r="D1077" s="1" t="s">
        <v>725</v>
      </c>
      <c r="E1077" s="1" t="s">
        <v>724</v>
      </c>
      <c r="F1077" s="1" t="s">
        <v>594</v>
      </c>
      <c r="G1077" s="1" t="s">
        <v>2295</v>
      </c>
      <c r="H1077" s="1" t="s">
        <v>2296</v>
      </c>
      <c r="I1077" s="1" t="s">
        <v>111</v>
      </c>
      <c r="J1077" s="1" t="s">
        <v>229</v>
      </c>
      <c r="K1077" s="1" t="s">
        <v>118</v>
      </c>
      <c r="L1077" s="1" t="s">
        <v>103</v>
      </c>
      <c r="AX1077" s="20">
        <v>846000</v>
      </c>
      <c r="BH1077" s="28">
        <v>846000</v>
      </c>
      <c r="BI1077" s="28">
        <v>846000</v>
      </c>
    </row>
    <row r="1078" spans="1:61" hidden="1" x14ac:dyDescent="0.3">
      <c r="A1078" s="1" t="s">
        <v>739</v>
      </c>
      <c r="B1078" s="1" t="s">
        <v>111</v>
      </c>
      <c r="C1078" s="1" t="s">
        <v>724</v>
      </c>
      <c r="D1078" s="1" t="s">
        <v>725</v>
      </c>
      <c r="E1078" s="1" t="s">
        <v>724</v>
      </c>
      <c r="F1078" s="1" t="s">
        <v>594</v>
      </c>
      <c r="G1078" s="1" t="s">
        <v>2297</v>
      </c>
      <c r="H1078" s="1" t="s">
        <v>2298</v>
      </c>
      <c r="I1078" s="1" t="s">
        <v>111</v>
      </c>
      <c r="J1078" s="1" t="s">
        <v>229</v>
      </c>
      <c r="K1078" s="1" t="s">
        <v>118</v>
      </c>
      <c r="L1078" s="1" t="s">
        <v>103</v>
      </c>
      <c r="AV1078" s="20">
        <v>384800</v>
      </c>
      <c r="AW1078" s="20">
        <v>171720</v>
      </c>
      <c r="AX1078" s="20">
        <v>460200</v>
      </c>
      <c r="BH1078" s="28">
        <v>1016720</v>
      </c>
      <c r="BI1078" s="28">
        <v>1016720</v>
      </c>
    </row>
    <row r="1079" spans="1:61" hidden="1" x14ac:dyDescent="0.3">
      <c r="A1079" s="1" t="s">
        <v>739</v>
      </c>
      <c r="B1079" s="1" t="s">
        <v>111</v>
      </c>
      <c r="C1079" s="1" t="s">
        <v>724</v>
      </c>
      <c r="D1079" s="1" t="s">
        <v>725</v>
      </c>
      <c r="E1079" s="1" t="s">
        <v>724</v>
      </c>
      <c r="F1079" s="1" t="s">
        <v>594</v>
      </c>
      <c r="G1079" s="1" t="s">
        <v>2299</v>
      </c>
      <c r="H1079" s="1" t="s">
        <v>2300</v>
      </c>
      <c r="I1079" s="1" t="s">
        <v>111</v>
      </c>
      <c r="J1079" s="1" t="s">
        <v>229</v>
      </c>
      <c r="K1079" s="1" t="s">
        <v>118</v>
      </c>
      <c r="L1079" s="1" t="s">
        <v>103</v>
      </c>
      <c r="AS1079" s="20">
        <v>1264188</v>
      </c>
      <c r="AW1079" s="20">
        <v>488880</v>
      </c>
      <c r="AX1079" s="20">
        <v>810000</v>
      </c>
      <c r="BH1079" s="28">
        <v>2563068</v>
      </c>
      <c r="BI1079" s="28">
        <v>2563068</v>
      </c>
    </row>
    <row r="1080" spans="1:61" hidden="1" x14ac:dyDescent="0.3">
      <c r="A1080" s="1" t="s">
        <v>739</v>
      </c>
      <c r="B1080" s="1" t="s">
        <v>111</v>
      </c>
      <c r="C1080" s="1" t="s">
        <v>724</v>
      </c>
      <c r="D1080" s="1" t="s">
        <v>725</v>
      </c>
      <c r="E1080" s="1" t="s">
        <v>724</v>
      </c>
      <c r="F1080" s="1" t="s">
        <v>594</v>
      </c>
      <c r="G1080" s="1" t="s">
        <v>2301</v>
      </c>
      <c r="H1080" s="1" t="s">
        <v>2302</v>
      </c>
      <c r="I1080" s="1" t="s">
        <v>111</v>
      </c>
      <c r="J1080" s="1" t="s">
        <v>229</v>
      </c>
      <c r="K1080" s="1" t="s">
        <v>118</v>
      </c>
      <c r="L1080" s="1" t="s">
        <v>103</v>
      </c>
      <c r="AS1080" s="20">
        <v>230400</v>
      </c>
      <c r="AT1080" s="20">
        <v>201144</v>
      </c>
      <c r="AV1080" s="20">
        <v>192400</v>
      </c>
      <c r="AW1080" s="20">
        <v>228960</v>
      </c>
      <c r="AX1080" s="20">
        <v>781200</v>
      </c>
      <c r="BH1080" s="28">
        <v>1634104</v>
      </c>
      <c r="BI1080" s="28">
        <v>1634104</v>
      </c>
    </row>
    <row r="1081" spans="1:61" hidden="1" x14ac:dyDescent="0.3">
      <c r="A1081" s="1" t="s">
        <v>739</v>
      </c>
      <c r="B1081" s="1" t="s">
        <v>111</v>
      </c>
      <c r="C1081" s="1" t="s">
        <v>724</v>
      </c>
      <c r="D1081" s="1" t="s">
        <v>725</v>
      </c>
      <c r="E1081" s="1" t="s">
        <v>724</v>
      </c>
      <c r="F1081" s="1" t="s">
        <v>594</v>
      </c>
      <c r="G1081" s="1" t="s">
        <v>2303</v>
      </c>
      <c r="H1081" s="1" t="s">
        <v>2304</v>
      </c>
      <c r="I1081" s="1" t="s">
        <v>111</v>
      </c>
      <c r="J1081" s="1" t="s">
        <v>229</v>
      </c>
      <c r="K1081" s="1" t="s">
        <v>118</v>
      </c>
      <c r="L1081" s="1" t="s">
        <v>103</v>
      </c>
      <c r="AS1081" s="20">
        <v>867150</v>
      </c>
      <c r="AU1081" s="20">
        <v>204000</v>
      </c>
      <c r="AW1081" s="20">
        <v>76320</v>
      </c>
      <c r="AX1081" s="20">
        <v>567000</v>
      </c>
      <c r="BH1081" s="28">
        <v>1714470</v>
      </c>
      <c r="BI1081" s="28">
        <v>1714470</v>
      </c>
    </row>
    <row r="1082" spans="1:61" hidden="1" x14ac:dyDescent="0.3">
      <c r="A1082" s="1" t="s">
        <v>739</v>
      </c>
      <c r="B1082" s="1" t="s">
        <v>111</v>
      </c>
      <c r="C1082" s="1" t="s">
        <v>724</v>
      </c>
      <c r="D1082" s="1" t="s">
        <v>725</v>
      </c>
      <c r="E1082" s="1" t="s">
        <v>724</v>
      </c>
      <c r="F1082" s="1" t="s">
        <v>594</v>
      </c>
      <c r="G1082" s="1" t="s">
        <v>2305</v>
      </c>
      <c r="H1082" s="1" t="s">
        <v>2306</v>
      </c>
      <c r="I1082" s="1" t="s">
        <v>111</v>
      </c>
      <c r="J1082" s="1" t="s">
        <v>229</v>
      </c>
      <c r="K1082" s="1" t="s">
        <v>118</v>
      </c>
      <c r="L1082" s="1" t="s">
        <v>103</v>
      </c>
      <c r="AS1082" s="20">
        <v>862194</v>
      </c>
      <c r="AT1082" s="20">
        <v>201144</v>
      </c>
      <c r="AU1082" s="20">
        <v>204000</v>
      </c>
      <c r="AW1082" s="20">
        <v>248040</v>
      </c>
      <c r="AX1082" s="20">
        <v>633600</v>
      </c>
      <c r="BH1082" s="28">
        <v>2148978</v>
      </c>
      <c r="BI1082" s="28">
        <v>2148978</v>
      </c>
    </row>
    <row r="1083" spans="1:61" hidden="1" x14ac:dyDescent="0.3">
      <c r="A1083" s="1" t="s">
        <v>739</v>
      </c>
      <c r="B1083" s="1" t="s">
        <v>111</v>
      </c>
      <c r="C1083" s="1" t="s">
        <v>724</v>
      </c>
      <c r="D1083" s="1" t="s">
        <v>725</v>
      </c>
      <c r="E1083" s="1" t="s">
        <v>724</v>
      </c>
      <c r="F1083" s="1" t="s">
        <v>594</v>
      </c>
      <c r="G1083" s="1" t="s">
        <v>2307</v>
      </c>
      <c r="H1083" s="1" t="s">
        <v>2308</v>
      </c>
      <c r="I1083" s="1" t="s">
        <v>111</v>
      </c>
      <c r="J1083" s="1" t="s">
        <v>229</v>
      </c>
      <c r="K1083" s="1" t="s">
        <v>118</v>
      </c>
      <c r="L1083" s="1" t="s">
        <v>103</v>
      </c>
      <c r="AS1083" s="20">
        <v>1409544</v>
      </c>
      <c r="AV1083" s="20">
        <v>392400</v>
      </c>
      <c r="AW1083" s="20">
        <v>248040</v>
      </c>
      <c r="AX1083" s="20">
        <v>505800</v>
      </c>
      <c r="BH1083" s="28">
        <v>2555784</v>
      </c>
      <c r="BI1083" s="28">
        <v>2555784</v>
      </c>
    </row>
    <row r="1084" spans="1:61" hidden="1" x14ac:dyDescent="0.3">
      <c r="A1084" s="1" t="s">
        <v>739</v>
      </c>
      <c r="B1084" s="1" t="s">
        <v>111</v>
      </c>
      <c r="C1084" s="1" t="s">
        <v>724</v>
      </c>
      <c r="D1084" s="1" t="s">
        <v>725</v>
      </c>
      <c r="E1084" s="1" t="s">
        <v>724</v>
      </c>
      <c r="F1084" s="1" t="s">
        <v>594</v>
      </c>
      <c r="G1084" s="1" t="s">
        <v>2309</v>
      </c>
      <c r="H1084" s="1" t="s">
        <v>2310</v>
      </c>
      <c r="I1084" s="1" t="s">
        <v>111</v>
      </c>
      <c r="J1084" s="1" t="s">
        <v>229</v>
      </c>
      <c r="K1084" s="1" t="s">
        <v>118</v>
      </c>
      <c r="L1084" s="1" t="s">
        <v>103</v>
      </c>
      <c r="AS1084" s="20">
        <v>854700</v>
      </c>
      <c r="AW1084" s="20">
        <v>565200</v>
      </c>
      <c r="AX1084" s="20">
        <v>573600</v>
      </c>
      <c r="BH1084" s="28">
        <v>1993500</v>
      </c>
      <c r="BI1084" s="28">
        <v>1993500</v>
      </c>
    </row>
    <row r="1085" spans="1:61" hidden="1" x14ac:dyDescent="0.3">
      <c r="A1085" s="1" t="s">
        <v>739</v>
      </c>
      <c r="B1085" s="1" t="s">
        <v>111</v>
      </c>
      <c r="C1085" s="1" t="s">
        <v>724</v>
      </c>
      <c r="D1085" s="1" t="s">
        <v>725</v>
      </c>
      <c r="E1085" s="1" t="s">
        <v>724</v>
      </c>
      <c r="F1085" s="1" t="s">
        <v>594</v>
      </c>
      <c r="G1085" s="1" t="s">
        <v>2311</v>
      </c>
      <c r="H1085" s="1" t="s">
        <v>2312</v>
      </c>
      <c r="I1085" s="1" t="s">
        <v>111</v>
      </c>
      <c r="J1085" s="1" t="s">
        <v>229</v>
      </c>
      <c r="K1085" s="1" t="s">
        <v>118</v>
      </c>
      <c r="L1085" s="1" t="s">
        <v>103</v>
      </c>
      <c r="AS1085" s="20">
        <v>101244</v>
      </c>
      <c r="AT1085" s="20">
        <v>201144</v>
      </c>
      <c r="AU1085" s="20">
        <v>153000</v>
      </c>
      <c r="AV1085" s="20">
        <v>192400</v>
      </c>
      <c r="AX1085" s="20">
        <v>142800</v>
      </c>
      <c r="BH1085" s="28">
        <v>790588</v>
      </c>
      <c r="BI1085" s="28">
        <v>790588</v>
      </c>
    </row>
    <row r="1086" spans="1:61" hidden="1" x14ac:dyDescent="0.3">
      <c r="A1086" s="1" t="s">
        <v>739</v>
      </c>
      <c r="B1086" s="1" t="s">
        <v>111</v>
      </c>
      <c r="C1086" s="1" t="s">
        <v>724</v>
      </c>
      <c r="D1086" s="1" t="s">
        <v>725</v>
      </c>
      <c r="E1086" s="1" t="s">
        <v>724</v>
      </c>
      <c r="F1086" s="1" t="s">
        <v>594</v>
      </c>
      <c r="G1086" s="1" t="s">
        <v>2313</v>
      </c>
      <c r="H1086" s="1" t="s">
        <v>2314</v>
      </c>
      <c r="I1086" s="1" t="s">
        <v>111</v>
      </c>
      <c r="J1086" s="1" t="s">
        <v>229</v>
      </c>
      <c r="K1086" s="1" t="s">
        <v>118</v>
      </c>
      <c r="L1086" s="1" t="s">
        <v>103</v>
      </c>
      <c r="AS1086" s="20">
        <v>221100</v>
      </c>
      <c r="AT1086" s="20">
        <v>851088</v>
      </c>
      <c r="AX1086" s="20">
        <v>145200</v>
      </c>
      <c r="BH1086" s="28">
        <v>1217388</v>
      </c>
      <c r="BI1086" s="28">
        <v>1217388</v>
      </c>
    </row>
    <row r="1087" spans="1:61" hidden="1" x14ac:dyDescent="0.3">
      <c r="A1087" s="1" t="s">
        <v>739</v>
      </c>
      <c r="B1087" s="1" t="s">
        <v>111</v>
      </c>
      <c r="C1087" s="1" t="s">
        <v>724</v>
      </c>
      <c r="D1087" s="1" t="s">
        <v>725</v>
      </c>
      <c r="E1087" s="1" t="s">
        <v>724</v>
      </c>
      <c r="F1087" s="1" t="s">
        <v>594</v>
      </c>
      <c r="G1087" s="1" t="s">
        <v>2315</v>
      </c>
      <c r="H1087" s="1" t="s">
        <v>2316</v>
      </c>
      <c r="I1087" s="1" t="s">
        <v>111</v>
      </c>
      <c r="J1087" s="1" t="s">
        <v>229</v>
      </c>
      <c r="K1087" s="1" t="s">
        <v>118</v>
      </c>
      <c r="L1087" s="1" t="s">
        <v>103</v>
      </c>
      <c r="AS1087" s="20">
        <v>887040</v>
      </c>
      <c r="AW1087" s="20">
        <v>282600</v>
      </c>
      <c r="AX1087" s="20">
        <v>747600</v>
      </c>
      <c r="BH1087" s="28">
        <v>1917240</v>
      </c>
      <c r="BI1087" s="28">
        <v>1917240</v>
      </c>
    </row>
    <row r="1088" spans="1:61" hidden="1" x14ac:dyDescent="0.3">
      <c r="A1088" s="1" t="s">
        <v>739</v>
      </c>
      <c r="B1088" s="1" t="s">
        <v>111</v>
      </c>
      <c r="C1088" s="1" t="s">
        <v>724</v>
      </c>
      <c r="D1088" s="1" t="s">
        <v>725</v>
      </c>
      <c r="E1088" s="1" t="s">
        <v>724</v>
      </c>
      <c r="F1088" s="1" t="s">
        <v>594</v>
      </c>
      <c r="G1088" s="1" t="s">
        <v>2317</v>
      </c>
      <c r="H1088" s="1" t="s">
        <v>2318</v>
      </c>
      <c r="I1088" s="1" t="s">
        <v>111</v>
      </c>
      <c r="J1088" s="1" t="s">
        <v>229</v>
      </c>
      <c r="K1088" s="1" t="s">
        <v>118</v>
      </c>
      <c r="L1088" s="1" t="s">
        <v>103</v>
      </c>
      <c r="AS1088" s="20">
        <v>779550</v>
      </c>
      <c r="AT1088" s="20">
        <v>402288</v>
      </c>
      <c r="AX1088" s="20">
        <v>288000</v>
      </c>
      <c r="BH1088" s="28">
        <v>1469838</v>
      </c>
      <c r="BI1088" s="28">
        <v>1469838</v>
      </c>
    </row>
    <row r="1089" spans="1:61" hidden="1" x14ac:dyDescent="0.3">
      <c r="A1089" s="1" t="s">
        <v>739</v>
      </c>
      <c r="B1089" s="1" t="s">
        <v>111</v>
      </c>
      <c r="C1089" s="1" t="s">
        <v>724</v>
      </c>
      <c r="D1089" s="1" t="s">
        <v>725</v>
      </c>
      <c r="E1089" s="1" t="s">
        <v>724</v>
      </c>
      <c r="F1089" s="1" t="s">
        <v>594</v>
      </c>
      <c r="G1089" s="1" t="s">
        <v>2319</v>
      </c>
      <c r="H1089" s="1" t="s">
        <v>2320</v>
      </c>
      <c r="I1089" s="1" t="s">
        <v>111</v>
      </c>
      <c r="J1089" s="1" t="s">
        <v>229</v>
      </c>
      <c r="K1089" s="1" t="s">
        <v>118</v>
      </c>
      <c r="L1089" s="1" t="s">
        <v>103</v>
      </c>
      <c r="AS1089" s="20">
        <v>1470894</v>
      </c>
      <c r="AW1089" s="20">
        <v>152640</v>
      </c>
      <c r="AX1089" s="20">
        <v>217800</v>
      </c>
      <c r="BH1089" s="28">
        <v>1841334</v>
      </c>
      <c r="BI1089" s="28">
        <v>1841334</v>
      </c>
    </row>
    <row r="1090" spans="1:61" hidden="1" x14ac:dyDescent="0.3">
      <c r="A1090" s="1" t="s">
        <v>739</v>
      </c>
      <c r="B1090" s="1" t="s">
        <v>111</v>
      </c>
      <c r="C1090" s="1" t="s">
        <v>724</v>
      </c>
      <c r="D1090" s="1" t="s">
        <v>725</v>
      </c>
      <c r="E1090" s="1" t="s">
        <v>724</v>
      </c>
      <c r="F1090" s="1" t="s">
        <v>594</v>
      </c>
      <c r="G1090" s="1" t="s">
        <v>2321</v>
      </c>
      <c r="H1090" s="1" t="s">
        <v>2322</v>
      </c>
      <c r="I1090" s="1" t="s">
        <v>111</v>
      </c>
      <c r="J1090" s="1" t="s">
        <v>229</v>
      </c>
      <c r="K1090" s="1" t="s">
        <v>118</v>
      </c>
      <c r="L1090" s="1" t="s">
        <v>103</v>
      </c>
      <c r="AS1090" s="20">
        <v>307740</v>
      </c>
      <c r="AT1090" s="20">
        <v>201144</v>
      </c>
      <c r="AV1090" s="20">
        <v>384800</v>
      </c>
      <c r="AX1090" s="20">
        <v>217800</v>
      </c>
      <c r="BH1090" s="28">
        <v>1111484</v>
      </c>
      <c r="BI1090" s="28">
        <v>1111484</v>
      </c>
    </row>
    <row r="1091" spans="1:61" hidden="1" x14ac:dyDescent="0.3">
      <c r="A1091" s="1" t="s">
        <v>739</v>
      </c>
      <c r="B1091" s="1" t="s">
        <v>111</v>
      </c>
      <c r="C1091" s="1" t="s">
        <v>724</v>
      </c>
      <c r="D1091" s="1" t="s">
        <v>725</v>
      </c>
      <c r="E1091" s="1" t="s">
        <v>724</v>
      </c>
      <c r="F1091" s="1" t="s">
        <v>594</v>
      </c>
      <c r="G1091" s="1" t="s">
        <v>2323</v>
      </c>
      <c r="H1091" s="1" t="s">
        <v>2324</v>
      </c>
      <c r="I1091" s="1" t="s">
        <v>111</v>
      </c>
      <c r="J1091" s="1" t="s">
        <v>229</v>
      </c>
      <c r="K1091" s="1" t="s">
        <v>118</v>
      </c>
      <c r="L1091" s="1" t="s">
        <v>103</v>
      </c>
      <c r="AS1091" s="20">
        <v>445500</v>
      </c>
      <c r="AT1091" s="20">
        <v>402288</v>
      </c>
      <c r="AU1091" s="20">
        <v>153000</v>
      </c>
      <c r="AV1091" s="20">
        <v>192400</v>
      </c>
      <c r="AW1091" s="20">
        <v>454320</v>
      </c>
      <c r="AX1091" s="20">
        <v>1141800</v>
      </c>
      <c r="BH1091" s="28">
        <v>2789308</v>
      </c>
      <c r="BI1091" s="28">
        <v>2789308</v>
      </c>
    </row>
    <row r="1092" spans="1:61" hidden="1" x14ac:dyDescent="0.3">
      <c r="A1092" s="1" t="s">
        <v>739</v>
      </c>
      <c r="B1092" s="1" t="s">
        <v>111</v>
      </c>
      <c r="C1092" s="1" t="s">
        <v>724</v>
      </c>
      <c r="D1092" s="1" t="s">
        <v>725</v>
      </c>
      <c r="E1092" s="1" t="s">
        <v>724</v>
      </c>
      <c r="F1092" s="1" t="s">
        <v>594</v>
      </c>
      <c r="G1092" s="1" t="s">
        <v>2325</v>
      </c>
      <c r="H1092" s="1" t="s">
        <v>2326</v>
      </c>
      <c r="I1092" s="1" t="s">
        <v>111</v>
      </c>
      <c r="J1092" s="1" t="s">
        <v>229</v>
      </c>
      <c r="K1092" s="1" t="s">
        <v>118</v>
      </c>
      <c r="L1092" s="1" t="s">
        <v>103</v>
      </c>
      <c r="AS1092" s="20">
        <v>2083740</v>
      </c>
      <c r="AU1092" s="20">
        <v>408000</v>
      </c>
      <c r="AV1092" s="20">
        <v>192400</v>
      </c>
      <c r="AW1092" s="20">
        <v>76320</v>
      </c>
      <c r="AX1092" s="20">
        <v>594600</v>
      </c>
      <c r="BH1092" s="28">
        <v>3355060</v>
      </c>
      <c r="BI1092" s="28">
        <v>3355060</v>
      </c>
    </row>
    <row r="1093" spans="1:61" hidden="1" x14ac:dyDescent="0.3">
      <c r="A1093" s="1" t="s">
        <v>739</v>
      </c>
      <c r="B1093" s="1" t="s">
        <v>111</v>
      </c>
      <c r="C1093" s="1" t="s">
        <v>724</v>
      </c>
      <c r="D1093" s="1" t="s">
        <v>725</v>
      </c>
      <c r="E1093" s="1" t="s">
        <v>724</v>
      </c>
      <c r="F1093" s="1" t="s">
        <v>594</v>
      </c>
      <c r="G1093" s="1" t="s">
        <v>2327</v>
      </c>
      <c r="H1093" s="1" t="s">
        <v>2328</v>
      </c>
      <c r="I1093" s="1" t="s">
        <v>111</v>
      </c>
      <c r="J1093" s="1" t="s">
        <v>229</v>
      </c>
      <c r="K1093" s="1" t="s">
        <v>118</v>
      </c>
      <c r="L1093" s="1" t="s">
        <v>103</v>
      </c>
      <c r="AS1093" s="20">
        <v>1039632</v>
      </c>
      <c r="AT1093" s="20">
        <v>851088</v>
      </c>
      <c r="AU1093" s="20">
        <v>204000</v>
      </c>
      <c r="AV1093" s="20">
        <v>384800</v>
      </c>
      <c r="AW1093" s="20">
        <v>343440</v>
      </c>
      <c r="AX1093" s="20">
        <v>1707600</v>
      </c>
      <c r="BH1093" s="28">
        <v>4530560</v>
      </c>
      <c r="BI1093" s="28">
        <v>4530560</v>
      </c>
    </row>
    <row r="1094" spans="1:61" hidden="1" x14ac:dyDescent="0.3">
      <c r="A1094" s="1" t="s">
        <v>739</v>
      </c>
      <c r="B1094" s="1" t="s">
        <v>111</v>
      </c>
      <c r="C1094" s="1" t="s">
        <v>724</v>
      </c>
      <c r="D1094" s="1" t="s">
        <v>725</v>
      </c>
      <c r="E1094" s="1" t="s">
        <v>724</v>
      </c>
      <c r="F1094" s="1" t="s">
        <v>594</v>
      </c>
      <c r="G1094" s="1" t="s">
        <v>2329</v>
      </c>
      <c r="H1094" s="1" t="s">
        <v>2330</v>
      </c>
      <c r="I1094" s="1" t="s">
        <v>111</v>
      </c>
      <c r="J1094" s="1" t="s">
        <v>229</v>
      </c>
      <c r="K1094" s="1" t="s">
        <v>118</v>
      </c>
      <c r="L1094" s="1" t="s">
        <v>103</v>
      </c>
      <c r="AS1094" s="20">
        <v>1031100</v>
      </c>
      <c r="AT1094" s="20">
        <v>649944</v>
      </c>
      <c r="AV1094" s="20">
        <v>192400</v>
      </c>
      <c r="AW1094" s="20">
        <v>248040</v>
      </c>
      <c r="AX1094" s="20">
        <v>532200</v>
      </c>
      <c r="BH1094" s="28">
        <v>2653684</v>
      </c>
      <c r="BI1094" s="28">
        <v>2653684</v>
      </c>
    </row>
    <row r="1095" spans="1:61" hidden="1" x14ac:dyDescent="0.3">
      <c r="A1095" s="1" t="s">
        <v>739</v>
      </c>
      <c r="B1095" s="1" t="s">
        <v>111</v>
      </c>
      <c r="C1095" s="1" t="s">
        <v>724</v>
      </c>
      <c r="D1095" s="1" t="s">
        <v>725</v>
      </c>
      <c r="E1095" s="1" t="s">
        <v>724</v>
      </c>
      <c r="F1095" s="1" t="s">
        <v>594</v>
      </c>
      <c r="G1095" s="1" t="s">
        <v>2331</v>
      </c>
      <c r="H1095" s="1" t="s">
        <v>2332</v>
      </c>
      <c r="I1095" s="1" t="s">
        <v>111</v>
      </c>
      <c r="J1095" s="1" t="s">
        <v>229</v>
      </c>
      <c r="K1095" s="1" t="s">
        <v>118</v>
      </c>
      <c r="L1095" s="1" t="s">
        <v>103</v>
      </c>
      <c r="AS1095" s="20">
        <v>4914588</v>
      </c>
      <c r="AT1095" s="20">
        <v>2011440</v>
      </c>
      <c r="AV1095" s="20">
        <v>1569600</v>
      </c>
      <c r="AX1095" s="20">
        <v>3105000</v>
      </c>
      <c r="BH1095" s="28">
        <v>11600628</v>
      </c>
      <c r="BI1095" s="28">
        <v>11600628</v>
      </c>
    </row>
    <row r="1096" spans="1:61" x14ac:dyDescent="0.3">
      <c r="A1096" s="1" t="s">
        <v>2333</v>
      </c>
      <c r="B1096" s="1" t="s">
        <v>133</v>
      </c>
      <c r="C1096" s="1" t="s">
        <v>134</v>
      </c>
      <c r="D1096" s="1" t="s">
        <v>135</v>
      </c>
      <c r="E1096" s="1" t="s">
        <v>134</v>
      </c>
      <c r="F1096" s="1" t="s">
        <v>135</v>
      </c>
      <c r="G1096" s="1" t="s">
        <v>2334</v>
      </c>
      <c r="H1096" s="1" t="s">
        <v>2335</v>
      </c>
      <c r="I1096" s="1" t="s">
        <v>133</v>
      </c>
      <c r="J1096" s="1" t="s">
        <v>117</v>
      </c>
      <c r="K1096" s="1" t="s">
        <v>118</v>
      </c>
      <c r="L1096" s="1" t="s">
        <v>138</v>
      </c>
      <c r="S1096" s="20">
        <v>9647973480</v>
      </c>
      <c r="T1096" s="20">
        <v>1966147200</v>
      </c>
      <c r="U1096" s="20">
        <v>9828890550</v>
      </c>
      <c r="AB1096" s="20">
        <v>21443011230</v>
      </c>
      <c r="AI1096" s="20">
        <v>4325203128</v>
      </c>
      <c r="AJ1096" s="20">
        <v>1881717600</v>
      </c>
      <c r="AK1096" s="20">
        <v>17494077000</v>
      </c>
      <c r="AR1096" s="20">
        <v>23700997728</v>
      </c>
      <c r="AY1096" s="20">
        <v>4213508400</v>
      </c>
      <c r="AZ1096" s="20">
        <v>3508476000</v>
      </c>
      <c r="BA1096" s="20">
        <v>15117474600</v>
      </c>
      <c r="BH1096" s="28">
        <v>22839459000</v>
      </c>
      <c r="BI1096" s="28">
        <v>67983467958</v>
      </c>
    </row>
    <row r="1097" spans="1:61" hidden="1" x14ac:dyDescent="0.3">
      <c r="A1097" s="1" t="s">
        <v>2333</v>
      </c>
      <c r="B1097" s="1" t="s">
        <v>102</v>
      </c>
      <c r="C1097" s="1" t="s">
        <v>767</v>
      </c>
      <c r="D1097" s="1" t="s">
        <v>768</v>
      </c>
      <c r="E1097" s="1" t="s">
        <v>767</v>
      </c>
      <c r="F1097" s="1" t="s">
        <v>768</v>
      </c>
      <c r="G1097" s="1" t="s">
        <v>2336</v>
      </c>
      <c r="H1097" s="1" t="s">
        <v>2337</v>
      </c>
      <c r="I1097" s="1" t="s">
        <v>102</v>
      </c>
      <c r="J1097" s="1" t="s">
        <v>229</v>
      </c>
      <c r="K1097" s="1" t="s">
        <v>118</v>
      </c>
      <c r="L1097" s="1" t="s">
        <v>103</v>
      </c>
      <c r="M1097" s="20">
        <v>512991600</v>
      </c>
      <c r="P1097" s="20">
        <v>53733600</v>
      </c>
      <c r="Q1097" s="20">
        <v>467300600</v>
      </c>
      <c r="R1097" s="20">
        <v>390057600</v>
      </c>
      <c r="AB1097" s="20">
        <v>1424083400</v>
      </c>
      <c r="AC1097" s="20">
        <v>339906800</v>
      </c>
      <c r="AF1097" s="20">
        <v>22353600</v>
      </c>
      <c r="AG1097" s="20">
        <v>420936500</v>
      </c>
      <c r="AH1097" s="20">
        <v>399156000</v>
      </c>
      <c r="AR1097" s="20">
        <v>1182352900</v>
      </c>
      <c r="AS1097" s="20">
        <v>192283782</v>
      </c>
      <c r="AT1097" s="20">
        <v>7139520</v>
      </c>
      <c r="AV1097" s="20">
        <v>26822400</v>
      </c>
      <c r="AW1097" s="20">
        <v>472904400</v>
      </c>
      <c r="AX1097" s="20">
        <v>417582000</v>
      </c>
      <c r="BH1097" s="28">
        <v>1116732102</v>
      </c>
      <c r="BI1097" s="28">
        <v>3723168402</v>
      </c>
    </row>
  </sheetData>
  <autoFilter ref="A13:YN1097" xr:uid="{4AFBEF4E-4280-4587-98DE-D75C9784F875}">
    <filterColumn colId="9">
      <filters>
        <filter val="NDTRIN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6CAF-8ED4-47C9-BF00-5183C332AC97}">
  <sheetPr>
    <tabColor rgb="FF005A9E"/>
  </sheetPr>
  <dimension ref="A1:AV386"/>
  <sheetViews>
    <sheetView tabSelected="1" zoomScale="50" zoomScaleNormal="50" workbookViewId="0">
      <pane xSplit="19" ySplit="9" topLeftCell="U700" activePane="bottomRight" state="frozen"/>
      <selection pane="topRight" activeCell="T1" sqref="T1"/>
      <selection pane="bottomLeft" activeCell="A10" sqref="A10"/>
      <selection pane="bottomRight" activeCell="A11" sqref="A11:A720"/>
    </sheetView>
  </sheetViews>
  <sheetFormatPr defaultColWidth="8.7265625" defaultRowHeight="14" x14ac:dyDescent="0.3"/>
  <cols>
    <col min="1" max="3" width="8.7265625" style="1"/>
    <col min="4" max="4" width="9.54296875" style="1" customWidth="1"/>
    <col min="5" max="6" width="8.7265625" style="1"/>
    <col min="7" max="7" width="8.36328125" style="1" customWidth="1"/>
    <col min="8" max="8" width="27.1796875" style="1" bestFit="1" customWidth="1"/>
    <col min="9" max="9" width="7.1796875" style="3" customWidth="1"/>
    <col min="10" max="10" width="8.7265625" style="1" hidden="1" customWidth="1"/>
    <col min="11" max="11" width="22" style="1" customWidth="1"/>
    <col min="12" max="12" width="0.6328125" style="1" hidden="1" customWidth="1"/>
    <col min="13" max="13" width="19.81640625" style="1" hidden="1" customWidth="1"/>
    <col min="14" max="14" width="17.26953125" style="1" customWidth="1"/>
    <col min="15" max="18" width="0" style="1" hidden="1" customWidth="1"/>
    <col min="19" max="19" width="13.6328125" style="1" hidden="1" customWidth="1"/>
    <col min="20" max="20" width="22.08984375" style="1" customWidth="1"/>
    <col min="21" max="21" width="26.1796875" style="1" customWidth="1"/>
    <col min="22" max="22" width="21.54296875" style="1" customWidth="1"/>
    <col min="23" max="23" width="21.08984375" style="1" customWidth="1"/>
    <col min="24" max="24" width="26.90625" style="1" bestFit="1" customWidth="1"/>
    <col min="25" max="25" width="20.90625" style="1" customWidth="1"/>
    <col min="26" max="26" width="26.1796875" style="1" hidden="1" customWidth="1"/>
    <col min="27" max="27" width="21.54296875" style="1" hidden="1" customWidth="1"/>
    <col min="28" max="28" width="23.90625" style="1" hidden="1" customWidth="1"/>
    <col min="29" max="29" width="22.90625" style="1" hidden="1" customWidth="1"/>
    <col min="30" max="30" width="23.26953125" style="1" hidden="1" customWidth="1"/>
    <col min="31" max="31" width="16.90625" style="1" customWidth="1"/>
    <col min="32" max="32" width="16.6328125" style="1" customWidth="1"/>
    <col min="33" max="33" width="16.08984375" style="1" customWidth="1"/>
    <col min="34" max="34" width="17.6328125" style="1" bestFit="1" customWidth="1"/>
    <col min="35" max="36" width="18.08984375" style="1" bestFit="1" customWidth="1"/>
    <col min="37" max="37" width="17.6328125" style="1" bestFit="1" customWidth="1"/>
    <col min="38" max="38" width="11.90625" style="1" bestFit="1" customWidth="1"/>
    <col min="39" max="39" width="13.26953125" style="1" customWidth="1"/>
    <col min="40" max="41" width="4.26953125" style="1" customWidth="1"/>
    <col min="42" max="16384" width="8.7265625" style="1"/>
  </cols>
  <sheetData>
    <row r="1" spans="1:48" x14ac:dyDescent="0.3">
      <c r="T1" s="20">
        <v>9634000000</v>
      </c>
      <c r="U1" s="20">
        <v>228542000</v>
      </c>
      <c r="V1" s="20">
        <v>0</v>
      </c>
      <c r="W1" s="20">
        <v>184512000</v>
      </c>
      <c r="X1" s="20">
        <v>3515512000</v>
      </c>
      <c r="Y1" s="20">
        <v>2664534000</v>
      </c>
      <c r="Z1" s="20">
        <v>64653771.275675043</v>
      </c>
      <c r="AA1" s="20">
        <v>32843678.303300153</v>
      </c>
      <c r="AB1" s="20">
        <v>106211802.9874173</v>
      </c>
      <c r="AC1" s="20">
        <v>286336037.16631776</v>
      </c>
      <c r="AD1" s="20">
        <v>286978957.89062279</v>
      </c>
    </row>
    <row r="2" spans="1:48" ht="20" x14ac:dyDescent="0.4">
      <c r="B2" s="2" t="s">
        <v>43</v>
      </c>
      <c r="T2" s="20">
        <v>39556000000</v>
      </c>
      <c r="U2" s="20">
        <v>750000000</v>
      </c>
      <c r="V2" s="20">
        <v>252000000</v>
      </c>
      <c r="W2" s="20">
        <v>203000000</v>
      </c>
      <c r="X2" s="20">
        <v>2466000000</v>
      </c>
      <c r="Y2" s="20">
        <v>1613000000</v>
      </c>
      <c r="Z2" s="50"/>
      <c r="AA2" s="50"/>
      <c r="AB2" s="50"/>
      <c r="AC2" s="50"/>
      <c r="AD2" s="50"/>
      <c r="AE2" s="20">
        <v>23008580843.178242</v>
      </c>
      <c r="AF2" s="20">
        <v>4356346512.7354536</v>
      </c>
    </row>
    <row r="3" spans="1:48" s="4" customFormat="1" ht="21.5" customHeight="1" x14ac:dyDescent="0.35">
      <c r="B3" s="5"/>
      <c r="E3" s="6"/>
      <c r="I3" s="7"/>
      <c r="T3" s="52"/>
      <c r="U3" s="20"/>
      <c r="V3" s="20"/>
      <c r="W3" s="20"/>
      <c r="X3" s="20"/>
      <c r="Y3" s="20"/>
      <c r="Z3" s="20">
        <f t="shared" ref="Z3:AD3" si="0">Z2-Z4</f>
        <v>-64653771.275674909</v>
      </c>
      <c r="AA3" s="20">
        <f t="shared" si="0"/>
        <v>-32843678.303300083</v>
      </c>
      <c r="AB3" s="20">
        <f t="shared" si="0"/>
        <v>-106211802.98741992</v>
      </c>
      <c r="AC3" s="20">
        <f t="shared" si="0"/>
        <v>-286336037.16629952</v>
      </c>
      <c r="AD3" s="20">
        <f t="shared" si="0"/>
        <v>-286978957.89100021</v>
      </c>
      <c r="AE3" s="20"/>
      <c r="AF3" s="53"/>
    </row>
    <row r="4" spans="1:48" ht="36.5" customHeight="1" x14ac:dyDescent="0.3">
      <c r="E4" s="8" t="s">
        <v>0</v>
      </c>
      <c r="G4" s="8" t="s">
        <v>1</v>
      </c>
      <c r="T4" s="20">
        <f>SUBTOTAL(9,T10:T394)</f>
        <v>9634000000.0000038</v>
      </c>
      <c r="U4" s="20">
        <f>SUBTOTAL(9,U10:U394)</f>
        <v>228542000.00000051</v>
      </c>
      <c r="V4" s="20">
        <f>SUBTOTAL(9,V10:V394)</f>
        <v>0</v>
      </c>
      <c r="W4" s="20">
        <f>SUBTOTAL(9,W10:W394)</f>
        <v>184511999.99999973</v>
      </c>
      <c r="X4" s="20">
        <f>SUBTOTAL(9,X10:X394)</f>
        <v>3515512000.000011</v>
      </c>
      <c r="Y4" s="20">
        <f>SUBTOTAL(9,Y10:Y394)</f>
        <v>2664534000.0000038</v>
      </c>
      <c r="Z4" s="20">
        <f>SUBTOTAL(9,Z10:Z394)</f>
        <v>64653771.275674909</v>
      </c>
      <c r="AA4" s="20">
        <f>SUBTOTAL(9,AA10:AA394)</f>
        <v>32843678.303300083</v>
      </c>
      <c r="AB4" s="20">
        <f>SUBTOTAL(9,AB10:AB394)</f>
        <v>106211802.98741992</v>
      </c>
      <c r="AC4" s="20">
        <f>SUBTOTAL(9,AC10:AC394)</f>
        <v>286336037.16629952</v>
      </c>
      <c r="AD4" s="20">
        <f>SUBTOTAL(9,AD10:AD394)</f>
        <v>286978957.89100021</v>
      </c>
      <c r="AE4" s="20">
        <f>SUBTOTAL(9,AE10:AE394)</f>
        <v>0</v>
      </c>
      <c r="AF4" s="20">
        <f>SUBTOTAL(9,AF10:AF394)</f>
        <v>0</v>
      </c>
    </row>
    <row r="5" spans="1:48" ht="17.5" customHeight="1" x14ac:dyDescent="0.3">
      <c r="E5" s="8" t="s">
        <v>2</v>
      </c>
      <c r="G5" s="9"/>
      <c r="U5" s="10" t="s">
        <v>44</v>
      </c>
      <c r="V5" s="10" t="s">
        <v>45</v>
      </c>
      <c r="W5" s="10" t="s">
        <v>46</v>
      </c>
      <c r="X5" s="10" t="s">
        <v>4</v>
      </c>
      <c r="Y5" s="10" t="s">
        <v>3</v>
      </c>
      <c r="Z5" s="10" t="s">
        <v>44</v>
      </c>
      <c r="AA5" s="10" t="s">
        <v>45</v>
      </c>
      <c r="AB5" s="10" t="s">
        <v>46</v>
      </c>
      <c r="AC5" s="10" t="s">
        <v>4</v>
      </c>
      <c r="AD5" s="10" t="s">
        <v>3</v>
      </c>
      <c r="AE5" s="10" t="s">
        <v>47</v>
      </c>
      <c r="AF5" s="10" t="s">
        <v>48</v>
      </c>
      <c r="AP5" s="54"/>
      <c r="AQ5" s="55"/>
      <c r="AR5" s="11"/>
      <c r="AS5" s="12"/>
      <c r="AU5" s="13"/>
      <c r="AV5" s="12"/>
    </row>
    <row r="6" spans="1:48" ht="14.5" customHeight="1" x14ac:dyDescent="0.3">
      <c r="A6" s="75" t="s">
        <v>5</v>
      </c>
      <c r="B6" s="71" t="s">
        <v>6</v>
      </c>
      <c r="C6" s="71" t="s">
        <v>7</v>
      </c>
      <c r="D6" s="71" t="s">
        <v>8</v>
      </c>
      <c r="E6" s="71" t="s">
        <v>9</v>
      </c>
      <c r="F6" s="71" t="s">
        <v>10</v>
      </c>
      <c r="G6" s="76" t="s">
        <v>11</v>
      </c>
      <c r="H6" s="71" t="s">
        <v>12</v>
      </c>
      <c r="I6" s="77" t="s">
        <v>13</v>
      </c>
      <c r="J6" s="71" t="s">
        <v>14</v>
      </c>
      <c r="K6" s="78" t="s">
        <v>15</v>
      </c>
      <c r="L6" s="71" t="s">
        <v>16</v>
      </c>
      <c r="M6" s="71" t="s">
        <v>17</v>
      </c>
      <c r="N6" s="71" t="s">
        <v>18</v>
      </c>
      <c r="O6" s="71" t="s">
        <v>19</v>
      </c>
      <c r="P6" s="71" t="s">
        <v>20</v>
      </c>
      <c r="Q6" s="71" t="s">
        <v>21</v>
      </c>
      <c r="R6" s="71" t="s">
        <v>22</v>
      </c>
      <c r="S6" s="71" t="s">
        <v>23</v>
      </c>
      <c r="T6" s="14" t="s">
        <v>24</v>
      </c>
      <c r="U6" s="72" t="s">
        <v>25</v>
      </c>
      <c r="V6" s="73"/>
      <c r="W6" s="73"/>
      <c r="X6" s="73"/>
      <c r="Y6" s="73"/>
      <c r="Z6" s="73"/>
      <c r="AA6" s="73"/>
      <c r="AB6" s="73"/>
      <c r="AC6" s="73"/>
      <c r="AD6" s="73"/>
      <c r="AE6" s="73"/>
      <c r="AF6" s="74"/>
      <c r="AP6" s="54" t="s">
        <v>26</v>
      </c>
      <c r="AQ6" s="55"/>
      <c r="AR6" s="55"/>
      <c r="AS6" s="56"/>
      <c r="AT6" s="54" t="s">
        <v>27</v>
      </c>
      <c r="AU6" s="55"/>
      <c r="AV6" s="56"/>
    </row>
    <row r="7" spans="1:48" ht="18" customHeight="1" x14ac:dyDescent="0.3">
      <c r="A7" s="75"/>
      <c r="B7" s="71"/>
      <c r="C7" s="71"/>
      <c r="D7" s="71"/>
      <c r="E7" s="71"/>
      <c r="F7" s="71"/>
      <c r="G7" s="76"/>
      <c r="H7" s="71"/>
      <c r="I7" s="77"/>
      <c r="J7" s="71"/>
      <c r="K7" s="79"/>
      <c r="L7" s="71"/>
      <c r="M7" s="71"/>
      <c r="N7" s="71"/>
      <c r="O7" s="71"/>
      <c r="P7" s="71"/>
      <c r="Q7" s="71"/>
      <c r="R7" s="71"/>
      <c r="S7" s="71"/>
      <c r="T7" s="57" t="s">
        <v>28</v>
      </c>
      <c r="U7" s="60" t="s">
        <v>29</v>
      </c>
      <c r="V7" s="61"/>
      <c r="W7" s="61"/>
      <c r="X7" s="15"/>
      <c r="Y7" s="15"/>
      <c r="Z7" s="62" t="s">
        <v>30</v>
      </c>
      <c r="AA7" s="63"/>
      <c r="AB7" s="63"/>
      <c r="AC7" s="16"/>
      <c r="AD7" s="16"/>
      <c r="AE7" s="64" t="s">
        <v>31</v>
      </c>
      <c r="AF7" s="65"/>
      <c r="AH7" s="66" t="s">
        <v>32</v>
      </c>
      <c r="AI7" s="67"/>
      <c r="AJ7" s="67"/>
      <c r="AK7" s="67"/>
      <c r="AL7" s="67"/>
      <c r="AM7" s="67"/>
      <c r="AP7" s="68" t="s">
        <v>33</v>
      </c>
      <c r="AQ7" s="54" t="s">
        <v>34</v>
      </c>
      <c r="AR7" s="55"/>
      <c r="AS7" s="56"/>
      <c r="AT7" s="68" t="s">
        <v>35</v>
      </c>
      <c r="AU7" s="54" t="s">
        <v>36</v>
      </c>
      <c r="AV7" s="56"/>
    </row>
    <row r="8" spans="1:48" ht="14.5" customHeight="1" x14ac:dyDescent="0.3">
      <c r="A8" s="75"/>
      <c r="B8" s="71"/>
      <c r="C8" s="71"/>
      <c r="D8" s="71"/>
      <c r="E8" s="71"/>
      <c r="F8" s="71"/>
      <c r="G8" s="76"/>
      <c r="H8" s="71"/>
      <c r="I8" s="77"/>
      <c r="J8" s="71"/>
      <c r="K8" s="79"/>
      <c r="L8" s="71"/>
      <c r="M8" s="71"/>
      <c r="N8" s="71"/>
      <c r="O8" s="71"/>
      <c r="P8" s="71"/>
      <c r="Q8" s="71"/>
      <c r="R8" s="71"/>
      <c r="S8" s="71"/>
      <c r="T8" s="58"/>
      <c r="U8" s="17" t="s">
        <v>44</v>
      </c>
      <c r="V8" s="17" t="s">
        <v>45</v>
      </c>
      <c r="W8" s="17" t="s">
        <v>46</v>
      </c>
      <c r="X8" s="17" t="s">
        <v>4</v>
      </c>
      <c r="Y8" s="17" t="s">
        <v>3</v>
      </c>
      <c r="Z8" s="18" t="s">
        <v>44</v>
      </c>
      <c r="AA8" s="18" t="s">
        <v>45</v>
      </c>
      <c r="AB8" s="18" t="s">
        <v>46</v>
      </c>
      <c r="AC8" s="18" t="s">
        <v>4</v>
      </c>
      <c r="AD8" s="18" t="s">
        <v>3</v>
      </c>
      <c r="AE8" s="19" t="s">
        <v>44</v>
      </c>
      <c r="AF8" s="19" t="s">
        <v>45</v>
      </c>
      <c r="AH8" s="20"/>
      <c r="AI8" s="20"/>
      <c r="AJ8" s="20"/>
      <c r="AK8" s="20"/>
      <c r="AL8" s="20"/>
      <c r="AP8" s="69"/>
      <c r="AQ8" s="13"/>
      <c r="AR8" s="11"/>
      <c r="AS8" s="12"/>
      <c r="AT8" s="69"/>
      <c r="AU8" s="13"/>
      <c r="AV8" s="12"/>
    </row>
    <row r="9" spans="1:48" ht="69" customHeight="1" x14ac:dyDescent="0.3">
      <c r="A9" s="75"/>
      <c r="B9" s="71"/>
      <c r="C9" s="71"/>
      <c r="D9" s="71"/>
      <c r="E9" s="71"/>
      <c r="F9" s="71"/>
      <c r="G9" s="76"/>
      <c r="H9" s="71"/>
      <c r="I9" s="77"/>
      <c r="J9" s="71"/>
      <c r="K9" s="80"/>
      <c r="L9" s="71"/>
      <c r="M9" s="71"/>
      <c r="N9" s="71"/>
      <c r="O9" s="71"/>
      <c r="P9" s="71"/>
      <c r="Q9" s="71"/>
      <c r="R9" s="71"/>
      <c r="S9" s="71"/>
      <c r="T9" s="59"/>
      <c r="U9" s="21" t="s">
        <v>51</v>
      </c>
      <c r="V9" s="21" t="s">
        <v>52</v>
      </c>
      <c r="W9" s="21" t="s">
        <v>53</v>
      </c>
      <c r="X9" s="21" t="s">
        <v>49</v>
      </c>
      <c r="Y9" s="21" t="s">
        <v>50</v>
      </c>
      <c r="Z9" s="22" t="s">
        <v>51</v>
      </c>
      <c r="AA9" s="22" t="s">
        <v>52</v>
      </c>
      <c r="AB9" s="22" t="s">
        <v>53</v>
      </c>
      <c r="AC9" s="22" t="s">
        <v>49</v>
      </c>
      <c r="AD9" s="22" t="s">
        <v>50</v>
      </c>
      <c r="AE9" s="23" t="s">
        <v>54</v>
      </c>
      <c r="AF9" s="23" t="s">
        <v>55</v>
      </c>
      <c r="AH9" s="23" t="s">
        <v>3022</v>
      </c>
      <c r="AI9" s="23" t="s">
        <v>3023</v>
      </c>
      <c r="AJ9" s="23" t="s">
        <v>3024</v>
      </c>
      <c r="AK9" s="23" t="s">
        <v>37</v>
      </c>
      <c r="AL9" s="23" t="s">
        <v>38</v>
      </c>
      <c r="AM9" s="23" t="s">
        <v>39</v>
      </c>
      <c r="AP9" s="70"/>
      <c r="AQ9" s="24" t="s">
        <v>17</v>
      </c>
      <c r="AR9" s="24" t="s">
        <v>40</v>
      </c>
      <c r="AS9" s="24" t="s">
        <v>41</v>
      </c>
      <c r="AT9" s="70"/>
      <c r="AU9" s="24" t="s">
        <v>15</v>
      </c>
      <c r="AV9" s="24" t="s">
        <v>41</v>
      </c>
    </row>
    <row r="10" spans="1:48" x14ac:dyDescent="0.3">
      <c r="A10" s="1">
        <v>1</v>
      </c>
      <c r="B10" s="1" t="s">
        <v>114</v>
      </c>
      <c r="C10" s="1" t="s">
        <v>2347</v>
      </c>
      <c r="D10" s="1" t="s">
        <v>2344</v>
      </c>
      <c r="E10" s="1" t="s">
        <v>95</v>
      </c>
      <c r="F10" s="1" t="s">
        <v>2348</v>
      </c>
      <c r="H10" s="1">
        <v>5169</v>
      </c>
      <c r="I10" s="3" t="s">
        <v>2340</v>
      </c>
      <c r="J10" s="1" t="s">
        <v>2345</v>
      </c>
      <c r="K10" s="1" t="s">
        <v>2349</v>
      </c>
      <c r="L10" s="1" t="s">
        <v>2350</v>
      </c>
      <c r="M10" s="1" t="s">
        <v>2351</v>
      </c>
      <c r="N10" s="1" t="s">
        <v>2352</v>
      </c>
      <c r="O10" s="1" t="s">
        <v>42</v>
      </c>
      <c r="Q10" s="1" t="s">
        <v>2346</v>
      </c>
      <c r="R10" s="1" t="s">
        <v>2353</v>
      </c>
      <c r="S10" s="1" t="s">
        <v>2354</v>
      </c>
      <c r="T10" s="49">
        <v>30424489.800000001</v>
      </c>
      <c r="U10" s="20">
        <v>932824.49</v>
      </c>
      <c r="V10" s="20">
        <v>0</v>
      </c>
      <c r="W10" s="20">
        <v>753110.2</v>
      </c>
      <c r="X10" s="20">
        <v>14349028.57</v>
      </c>
      <c r="Y10" s="20">
        <v>10875648.98</v>
      </c>
      <c r="Z10" s="20">
        <v>0</v>
      </c>
      <c r="AA10" s="20">
        <v>0</v>
      </c>
      <c r="AB10" s="20">
        <v>0</v>
      </c>
      <c r="AC10" s="20">
        <v>0</v>
      </c>
      <c r="AD10" s="20">
        <v>0</v>
      </c>
      <c r="AE10" s="20">
        <v>0</v>
      </c>
      <c r="AF10" s="20">
        <v>0</v>
      </c>
      <c r="AG10" s="51">
        <f>T10-SUM(U10:AF10)</f>
        <v>3513877.5599999987</v>
      </c>
      <c r="AH10" s="20">
        <v>0</v>
      </c>
      <c r="AI10" s="20">
        <v>0</v>
      </c>
      <c r="AJ10" s="20">
        <v>0</v>
      </c>
      <c r="AK10" s="20">
        <f t="shared" ref="AK10:AK60" si="1">IFERROR(SUM(AH10:AJ10)/COUNTIFS(AH10:AJ10,"&lt;&gt;0"),0)</f>
        <v>0</v>
      </c>
      <c r="AL10" s="26">
        <f t="shared" ref="AL10:AL60" si="2">IFERROR((T10/AK10)-100%,0)</f>
        <v>0</v>
      </c>
    </row>
    <row r="11" spans="1:48" x14ac:dyDescent="0.3">
      <c r="A11" s="1">
        <v>2</v>
      </c>
      <c r="B11" s="1" t="s">
        <v>114</v>
      </c>
      <c r="C11" s="1" t="s">
        <v>2347</v>
      </c>
      <c r="D11" s="1" t="s">
        <v>2344</v>
      </c>
      <c r="E11" s="1" t="s">
        <v>95</v>
      </c>
      <c r="F11" s="1" t="s">
        <v>2348</v>
      </c>
      <c r="H11" s="1">
        <v>10140</v>
      </c>
      <c r="I11" s="3" t="s">
        <v>2340</v>
      </c>
      <c r="J11" s="1" t="s">
        <v>2345</v>
      </c>
      <c r="K11" s="1" t="s">
        <v>2355</v>
      </c>
      <c r="L11" s="1" t="s">
        <v>2350</v>
      </c>
      <c r="M11" s="1" t="s">
        <v>2351</v>
      </c>
      <c r="N11" s="1" t="s">
        <v>2352</v>
      </c>
      <c r="O11" s="1" t="s">
        <v>42</v>
      </c>
      <c r="Q11" s="1" t="s">
        <v>2346</v>
      </c>
      <c r="R11" s="1" t="s">
        <v>2353</v>
      </c>
      <c r="S11" s="1" t="s">
        <v>2354</v>
      </c>
      <c r="T11" s="49">
        <v>30424489.800000001</v>
      </c>
      <c r="U11" s="20">
        <v>932824.49</v>
      </c>
      <c r="V11" s="20">
        <v>0</v>
      </c>
      <c r="W11" s="20">
        <v>753110.2</v>
      </c>
      <c r="X11" s="20">
        <v>14349028.57</v>
      </c>
      <c r="Y11" s="20">
        <v>10875648.98</v>
      </c>
      <c r="Z11" s="20">
        <v>0</v>
      </c>
      <c r="AA11" s="20">
        <v>0</v>
      </c>
      <c r="AB11" s="20">
        <v>0</v>
      </c>
      <c r="AC11" s="20">
        <v>0</v>
      </c>
      <c r="AD11" s="20">
        <v>0</v>
      </c>
      <c r="AE11" s="20">
        <v>0</v>
      </c>
      <c r="AF11" s="20">
        <v>0</v>
      </c>
      <c r="AG11" s="51">
        <f t="shared" ref="AG11:AG74" si="3">T11-SUM(U11:AF11)</f>
        <v>3513877.5599999987</v>
      </c>
      <c r="AH11" s="20">
        <v>0</v>
      </c>
      <c r="AI11" s="20">
        <v>0</v>
      </c>
      <c r="AJ11" s="20">
        <v>0</v>
      </c>
      <c r="AK11" s="20">
        <f t="shared" si="1"/>
        <v>0</v>
      </c>
      <c r="AL11" s="26">
        <f t="shared" si="2"/>
        <v>0</v>
      </c>
    </row>
    <row r="12" spans="1:48" x14ac:dyDescent="0.3">
      <c r="A12" s="1">
        <v>3</v>
      </c>
      <c r="B12" s="1" t="s">
        <v>114</v>
      </c>
      <c r="C12" s="1" t="s">
        <v>2347</v>
      </c>
      <c r="D12" s="1" t="s">
        <v>2344</v>
      </c>
      <c r="E12" s="1" t="s">
        <v>95</v>
      </c>
      <c r="F12" s="1" t="s">
        <v>2348</v>
      </c>
      <c r="H12" s="1">
        <v>4967</v>
      </c>
      <c r="I12" s="3" t="s">
        <v>2340</v>
      </c>
      <c r="J12" s="1" t="s">
        <v>2345</v>
      </c>
      <c r="K12" s="1" t="s">
        <v>2356</v>
      </c>
      <c r="L12" s="1" t="s">
        <v>2350</v>
      </c>
      <c r="M12" s="1" t="s">
        <v>2351</v>
      </c>
      <c r="N12" s="1" t="s">
        <v>2352</v>
      </c>
      <c r="O12" s="1" t="s">
        <v>42</v>
      </c>
      <c r="Q12" s="1" t="s">
        <v>2346</v>
      </c>
      <c r="R12" s="1" t="s">
        <v>2353</v>
      </c>
      <c r="S12" s="1" t="s">
        <v>2354</v>
      </c>
      <c r="T12" s="49">
        <v>30424489.800000001</v>
      </c>
      <c r="U12" s="20">
        <v>932824.49</v>
      </c>
      <c r="V12" s="20">
        <v>0</v>
      </c>
      <c r="W12" s="20">
        <v>753110.2</v>
      </c>
      <c r="X12" s="20">
        <v>14349028.57</v>
      </c>
      <c r="Y12" s="20">
        <v>10875648.98</v>
      </c>
      <c r="Z12" s="20">
        <v>0</v>
      </c>
      <c r="AA12" s="20">
        <v>0</v>
      </c>
      <c r="AB12" s="20">
        <v>0</v>
      </c>
      <c r="AC12" s="20">
        <v>0</v>
      </c>
      <c r="AD12" s="20">
        <v>0</v>
      </c>
      <c r="AE12" s="20">
        <v>0</v>
      </c>
      <c r="AF12" s="20">
        <v>0</v>
      </c>
      <c r="AG12" s="51">
        <f t="shared" si="3"/>
        <v>3513877.5599999987</v>
      </c>
      <c r="AH12" s="20">
        <v>0</v>
      </c>
      <c r="AI12" s="20">
        <v>0</v>
      </c>
      <c r="AJ12" s="20">
        <v>0</v>
      </c>
      <c r="AK12" s="20">
        <f t="shared" si="1"/>
        <v>0</v>
      </c>
      <c r="AL12" s="26">
        <f t="shared" si="2"/>
        <v>0</v>
      </c>
    </row>
    <row r="13" spans="1:48" x14ac:dyDescent="0.3">
      <c r="A13" s="1">
        <v>4</v>
      </c>
      <c r="B13" s="1" t="s">
        <v>114</v>
      </c>
      <c r="C13" s="1" t="s">
        <v>2347</v>
      </c>
      <c r="D13" s="1" t="s">
        <v>2344</v>
      </c>
      <c r="E13" s="1" t="s">
        <v>95</v>
      </c>
      <c r="F13" s="1" t="s">
        <v>2348</v>
      </c>
      <c r="H13" s="1">
        <v>6632</v>
      </c>
      <c r="I13" s="3" t="s">
        <v>2340</v>
      </c>
      <c r="J13" s="1" t="s">
        <v>2345</v>
      </c>
      <c r="K13" s="1" t="s">
        <v>2357</v>
      </c>
      <c r="L13" s="1" t="s">
        <v>2350</v>
      </c>
      <c r="M13" s="1" t="s">
        <v>2351</v>
      </c>
      <c r="N13" s="1" t="s">
        <v>2352</v>
      </c>
      <c r="O13" s="1" t="s">
        <v>42</v>
      </c>
      <c r="Q13" s="1" t="s">
        <v>2346</v>
      </c>
      <c r="R13" s="1" t="s">
        <v>2353</v>
      </c>
      <c r="S13" s="1" t="s">
        <v>2354</v>
      </c>
      <c r="T13" s="49">
        <v>30424489.800000001</v>
      </c>
      <c r="U13" s="20">
        <v>932824.49</v>
      </c>
      <c r="V13" s="20">
        <v>0</v>
      </c>
      <c r="W13" s="20">
        <v>753110.2</v>
      </c>
      <c r="X13" s="20">
        <v>14349028.57</v>
      </c>
      <c r="Y13" s="20">
        <v>10875648.98</v>
      </c>
      <c r="Z13" s="20">
        <v>0</v>
      </c>
      <c r="AA13" s="20">
        <v>0</v>
      </c>
      <c r="AB13" s="20">
        <v>0</v>
      </c>
      <c r="AC13" s="20">
        <v>0</v>
      </c>
      <c r="AD13" s="20">
        <v>0</v>
      </c>
      <c r="AE13" s="20">
        <v>0</v>
      </c>
      <c r="AF13" s="20">
        <v>0</v>
      </c>
      <c r="AG13" s="51">
        <f t="shared" si="3"/>
        <v>3513877.5599999987</v>
      </c>
      <c r="AH13" s="20">
        <v>0</v>
      </c>
      <c r="AI13" s="20">
        <v>0</v>
      </c>
      <c r="AJ13" s="20">
        <v>0</v>
      </c>
      <c r="AK13" s="20">
        <f t="shared" si="1"/>
        <v>0</v>
      </c>
      <c r="AL13" s="26">
        <f t="shared" si="2"/>
        <v>0</v>
      </c>
    </row>
    <row r="14" spans="1:48" x14ac:dyDescent="0.3">
      <c r="A14" s="1">
        <v>5</v>
      </c>
      <c r="B14" s="1" t="s">
        <v>114</v>
      </c>
      <c r="C14" s="1" t="s">
        <v>2347</v>
      </c>
      <c r="D14" s="1" t="s">
        <v>2344</v>
      </c>
      <c r="E14" s="1" t="s">
        <v>95</v>
      </c>
      <c r="F14" s="1" t="s">
        <v>2348</v>
      </c>
      <c r="H14" s="1">
        <v>4691</v>
      </c>
      <c r="I14" s="3" t="s">
        <v>2340</v>
      </c>
      <c r="J14" s="1" t="s">
        <v>2345</v>
      </c>
      <c r="K14" s="1" t="s">
        <v>2358</v>
      </c>
      <c r="L14" s="1" t="s">
        <v>2350</v>
      </c>
      <c r="M14" s="1" t="s">
        <v>2351</v>
      </c>
      <c r="N14" s="1" t="s">
        <v>2352</v>
      </c>
      <c r="O14" s="1" t="s">
        <v>42</v>
      </c>
      <c r="Q14" s="1" t="s">
        <v>2346</v>
      </c>
      <c r="R14" s="1" t="s">
        <v>2353</v>
      </c>
      <c r="S14" s="1" t="s">
        <v>2354</v>
      </c>
      <c r="T14" s="49">
        <v>30424489.800000001</v>
      </c>
      <c r="U14" s="20">
        <v>932824.49</v>
      </c>
      <c r="V14" s="20">
        <v>0</v>
      </c>
      <c r="W14" s="20">
        <v>753110.2</v>
      </c>
      <c r="X14" s="20">
        <v>14349028.57</v>
      </c>
      <c r="Y14" s="20">
        <v>10875648.98</v>
      </c>
      <c r="Z14" s="20">
        <v>0</v>
      </c>
      <c r="AA14" s="20">
        <v>0</v>
      </c>
      <c r="AB14" s="20">
        <v>0</v>
      </c>
      <c r="AC14" s="20">
        <v>0</v>
      </c>
      <c r="AD14" s="20">
        <v>0</v>
      </c>
      <c r="AE14" s="20">
        <v>0</v>
      </c>
      <c r="AF14" s="20">
        <v>0</v>
      </c>
      <c r="AG14" s="51">
        <f t="shared" si="3"/>
        <v>3513877.5599999987</v>
      </c>
      <c r="AH14" s="20">
        <v>0</v>
      </c>
      <c r="AI14" s="20">
        <v>0</v>
      </c>
      <c r="AJ14" s="20">
        <v>0</v>
      </c>
      <c r="AK14" s="20">
        <f t="shared" si="1"/>
        <v>0</v>
      </c>
      <c r="AL14" s="26">
        <f t="shared" si="2"/>
        <v>0</v>
      </c>
    </row>
    <row r="15" spans="1:48" x14ac:dyDescent="0.3">
      <c r="A15" s="1">
        <v>6</v>
      </c>
      <c r="B15" s="1" t="s">
        <v>114</v>
      </c>
      <c r="C15" s="1" t="s">
        <v>2347</v>
      </c>
      <c r="D15" s="1" t="s">
        <v>2344</v>
      </c>
      <c r="E15" s="1" t="s">
        <v>95</v>
      </c>
      <c r="F15" s="1" t="s">
        <v>2348</v>
      </c>
      <c r="H15" s="1">
        <v>4652</v>
      </c>
      <c r="I15" s="3" t="s">
        <v>2340</v>
      </c>
      <c r="J15" s="1" t="s">
        <v>2345</v>
      </c>
      <c r="K15" s="1" t="s">
        <v>2359</v>
      </c>
      <c r="L15" s="1" t="s">
        <v>2350</v>
      </c>
      <c r="M15" s="1" t="s">
        <v>2351</v>
      </c>
      <c r="N15" s="1" t="s">
        <v>2352</v>
      </c>
      <c r="O15" s="1" t="s">
        <v>42</v>
      </c>
      <c r="Q15" s="1" t="s">
        <v>2346</v>
      </c>
      <c r="R15" s="1" t="s">
        <v>2353</v>
      </c>
      <c r="S15" s="1" t="s">
        <v>2354</v>
      </c>
      <c r="T15" s="49">
        <v>30424489.800000001</v>
      </c>
      <c r="U15" s="20">
        <v>932824.49</v>
      </c>
      <c r="V15" s="20">
        <v>0</v>
      </c>
      <c r="W15" s="20">
        <v>753110.2</v>
      </c>
      <c r="X15" s="20">
        <v>14349028.57</v>
      </c>
      <c r="Y15" s="20">
        <v>10875648.98</v>
      </c>
      <c r="Z15" s="20">
        <v>0</v>
      </c>
      <c r="AA15" s="20">
        <v>0</v>
      </c>
      <c r="AB15" s="20">
        <v>0</v>
      </c>
      <c r="AC15" s="20">
        <v>0</v>
      </c>
      <c r="AD15" s="20">
        <v>0</v>
      </c>
      <c r="AE15" s="20">
        <v>0</v>
      </c>
      <c r="AF15" s="20">
        <v>0</v>
      </c>
      <c r="AG15" s="51">
        <f t="shared" si="3"/>
        <v>3513877.5599999987</v>
      </c>
      <c r="AH15" s="20">
        <v>0</v>
      </c>
      <c r="AI15" s="20">
        <v>0</v>
      </c>
      <c r="AJ15" s="20">
        <v>0</v>
      </c>
      <c r="AK15" s="20">
        <f t="shared" si="1"/>
        <v>0</v>
      </c>
      <c r="AL15" s="26">
        <f t="shared" si="2"/>
        <v>0</v>
      </c>
    </row>
    <row r="16" spans="1:48" x14ac:dyDescent="0.3">
      <c r="A16" s="1">
        <v>7</v>
      </c>
      <c r="B16" s="1" t="s">
        <v>114</v>
      </c>
      <c r="C16" s="1" t="s">
        <v>2347</v>
      </c>
      <c r="D16" s="1" t="s">
        <v>2344</v>
      </c>
      <c r="E16" s="1" t="s">
        <v>95</v>
      </c>
      <c r="F16" s="1" t="s">
        <v>2348</v>
      </c>
      <c r="H16" s="1">
        <v>5181</v>
      </c>
      <c r="I16" s="3" t="s">
        <v>2340</v>
      </c>
      <c r="J16" s="1" t="s">
        <v>2345</v>
      </c>
      <c r="K16" s="1" t="s">
        <v>2360</v>
      </c>
      <c r="L16" s="1" t="s">
        <v>2350</v>
      </c>
      <c r="M16" s="1" t="s">
        <v>2351</v>
      </c>
      <c r="N16" s="1" t="s">
        <v>2352</v>
      </c>
      <c r="O16" s="1" t="s">
        <v>42</v>
      </c>
      <c r="Q16" s="1" t="s">
        <v>2346</v>
      </c>
      <c r="R16" s="1" t="s">
        <v>2353</v>
      </c>
      <c r="S16" s="1" t="s">
        <v>2354</v>
      </c>
      <c r="T16" s="49">
        <v>30424489.800000001</v>
      </c>
      <c r="U16" s="20">
        <v>932824.49</v>
      </c>
      <c r="V16" s="20">
        <v>0</v>
      </c>
      <c r="W16" s="20">
        <v>753110.2</v>
      </c>
      <c r="X16" s="20">
        <v>14349028.57</v>
      </c>
      <c r="Y16" s="20">
        <v>10875648.98</v>
      </c>
      <c r="Z16" s="20">
        <v>0</v>
      </c>
      <c r="AA16" s="20">
        <v>0</v>
      </c>
      <c r="AB16" s="20">
        <v>0</v>
      </c>
      <c r="AC16" s="20">
        <v>0</v>
      </c>
      <c r="AD16" s="20">
        <v>0</v>
      </c>
      <c r="AE16" s="20">
        <v>0</v>
      </c>
      <c r="AF16" s="20">
        <v>0</v>
      </c>
      <c r="AG16" s="51">
        <f t="shared" si="3"/>
        <v>3513877.5599999987</v>
      </c>
      <c r="AH16" s="20">
        <v>0</v>
      </c>
      <c r="AI16" s="20">
        <v>0</v>
      </c>
      <c r="AJ16" s="20">
        <v>0</v>
      </c>
      <c r="AK16" s="20">
        <f t="shared" si="1"/>
        <v>0</v>
      </c>
      <c r="AL16" s="26">
        <f t="shared" si="2"/>
        <v>0</v>
      </c>
    </row>
    <row r="17" spans="1:38" x14ac:dyDescent="0.3">
      <c r="A17" s="1">
        <v>8</v>
      </c>
      <c r="B17" s="1" t="s">
        <v>114</v>
      </c>
      <c r="C17" s="1" t="s">
        <v>2347</v>
      </c>
      <c r="D17" s="1" t="s">
        <v>2344</v>
      </c>
      <c r="E17" s="1" t="s">
        <v>95</v>
      </c>
      <c r="F17" s="1" t="s">
        <v>2348</v>
      </c>
      <c r="H17" s="1">
        <v>5176</v>
      </c>
      <c r="I17" s="3" t="s">
        <v>2340</v>
      </c>
      <c r="J17" s="1" t="s">
        <v>2345</v>
      </c>
      <c r="K17" s="1" t="s">
        <v>2361</v>
      </c>
      <c r="L17" s="1" t="s">
        <v>2350</v>
      </c>
      <c r="M17" s="1" t="s">
        <v>2351</v>
      </c>
      <c r="N17" s="1" t="s">
        <v>2352</v>
      </c>
      <c r="O17" s="1" t="s">
        <v>42</v>
      </c>
      <c r="Q17" s="1" t="s">
        <v>2346</v>
      </c>
      <c r="R17" s="1" t="s">
        <v>2353</v>
      </c>
      <c r="S17" s="1" t="s">
        <v>2354</v>
      </c>
      <c r="T17" s="49">
        <v>30424489.800000001</v>
      </c>
      <c r="U17" s="20">
        <v>932824.49</v>
      </c>
      <c r="V17" s="20">
        <v>0</v>
      </c>
      <c r="W17" s="20">
        <v>753110.2</v>
      </c>
      <c r="X17" s="20">
        <v>14349028.57</v>
      </c>
      <c r="Y17" s="20">
        <v>10875648.98</v>
      </c>
      <c r="Z17" s="20">
        <v>0</v>
      </c>
      <c r="AA17" s="20">
        <v>0</v>
      </c>
      <c r="AB17" s="20">
        <v>0</v>
      </c>
      <c r="AC17" s="20">
        <v>0</v>
      </c>
      <c r="AD17" s="20">
        <v>0</v>
      </c>
      <c r="AE17" s="20">
        <v>0</v>
      </c>
      <c r="AF17" s="20">
        <v>0</v>
      </c>
      <c r="AG17" s="51">
        <f t="shared" si="3"/>
        <v>3513877.5599999987</v>
      </c>
      <c r="AH17" s="20">
        <v>0</v>
      </c>
      <c r="AI17" s="20">
        <v>0</v>
      </c>
      <c r="AJ17" s="20">
        <v>0</v>
      </c>
      <c r="AK17" s="20">
        <f t="shared" si="1"/>
        <v>0</v>
      </c>
      <c r="AL17" s="26">
        <f t="shared" si="2"/>
        <v>0</v>
      </c>
    </row>
    <row r="18" spans="1:38" x14ac:dyDescent="0.3">
      <c r="A18" s="1">
        <v>9</v>
      </c>
      <c r="B18" s="1" t="s">
        <v>114</v>
      </c>
      <c r="C18" s="1" t="s">
        <v>2347</v>
      </c>
      <c r="D18" s="1" t="s">
        <v>2344</v>
      </c>
      <c r="E18" s="1" t="s">
        <v>95</v>
      </c>
      <c r="F18" s="1" t="s">
        <v>2348</v>
      </c>
      <c r="H18" s="1">
        <v>10378</v>
      </c>
      <c r="I18" s="3" t="s">
        <v>2340</v>
      </c>
      <c r="J18" s="1" t="s">
        <v>2345</v>
      </c>
      <c r="K18" s="1" t="s">
        <v>2362</v>
      </c>
      <c r="L18" s="1" t="s">
        <v>2350</v>
      </c>
      <c r="M18" s="1" t="s">
        <v>2351</v>
      </c>
      <c r="N18" s="1" t="s">
        <v>2352</v>
      </c>
      <c r="O18" s="1" t="s">
        <v>42</v>
      </c>
      <c r="Q18" s="1" t="s">
        <v>2346</v>
      </c>
      <c r="R18" s="1" t="s">
        <v>2353</v>
      </c>
      <c r="S18" s="1" t="s">
        <v>2354</v>
      </c>
      <c r="T18" s="49">
        <v>30424489.800000001</v>
      </c>
      <c r="U18" s="20">
        <v>932824.49</v>
      </c>
      <c r="V18" s="20">
        <v>0</v>
      </c>
      <c r="W18" s="20">
        <v>753110.2</v>
      </c>
      <c r="X18" s="20">
        <v>14349028.57</v>
      </c>
      <c r="Y18" s="20">
        <v>10875648.98</v>
      </c>
      <c r="Z18" s="20">
        <v>0</v>
      </c>
      <c r="AA18" s="20">
        <v>0</v>
      </c>
      <c r="AB18" s="20">
        <v>0</v>
      </c>
      <c r="AC18" s="20">
        <v>0</v>
      </c>
      <c r="AD18" s="20">
        <v>0</v>
      </c>
      <c r="AE18" s="20">
        <v>0</v>
      </c>
      <c r="AF18" s="20">
        <v>0</v>
      </c>
      <c r="AG18" s="51">
        <f t="shared" si="3"/>
        <v>3513877.5599999987</v>
      </c>
      <c r="AH18" s="20">
        <v>0</v>
      </c>
      <c r="AI18" s="20">
        <v>0</v>
      </c>
      <c r="AJ18" s="20">
        <v>0</v>
      </c>
      <c r="AK18" s="20">
        <f t="shared" si="1"/>
        <v>0</v>
      </c>
      <c r="AL18" s="26">
        <f t="shared" si="2"/>
        <v>0</v>
      </c>
    </row>
    <row r="19" spans="1:38" x14ac:dyDescent="0.3">
      <c r="A19" s="1">
        <v>10</v>
      </c>
      <c r="B19" s="1" t="s">
        <v>114</v>
      </c>
      <c r="C19" s="1" t="s">
        <v>2347</v>
      </c>
      <c r="D19" s="1" t="s">
        <v>2344</v>
      </c>
      <c r="E19" s="1" t="s">
        <v>95</v>
      </c>
      <c r="F19" s="1" t="s">
        <v>2348</v>
      </c>
      <c r="H19" s="1">
        <v>4901</v>
      </c>
      <c r="I19" s="3" t="s">
        <v>2340</v>
      </c>
      <c r="J19" s="1" t="s">
        <v>2345</v>
      </c>
      <c r="K19" s="1" t="s">
        <v>2363</v>
      </c>
      <c r="L19" s="1" t="s">
        <v>2350</v>
      </c>
      <c r="M19" s="1" t="s">
        <v>2351</v>
      </c>
      <c r="N19" s="1" t="s">
        <v>2352</v>
      </c>
      <c r="O19" s="1" t="s">
        <v>42</v>
      </c>
      <c r="Q19" s="1" t="s">
        <v>2346</v>
      </c>
      <c r="R19" s="1" t="s">
        <v>2353</v>
      </c>
      <c r="S19" s="1" t="s">
        <v>2354</v>
      </c>
      <c r="T19" s="49">
        <v>30424489.800000001</v>
      </c>
      <c r="U19" s="20">
        <v>932824.49</v>
      </c>
      <c r="V19" s="20">
        <v>0</v>
      </c>
      <c r="W19" s="20">
        <v>753110.2</v>
      </c>
      <c r="X19" s="20">
        <v>14349028.57</v>
      </c>
      <c r="Y19" s="20">
        <v>10875648.98</v>
      </c>
      <c r="Z19" s="20">
        <v>0</v>
      </c>
      <c r="AA19" s="20">
        <v>0</v>
      </c>
      <c r="AB19" s="20">
        <v>0</v>
      </c>
      <c r="AC19" s="20">
        <v>0</v>
      </c>
      <c r="AD19" s="20">
        <v>0</v>
      </c>
      <c r="AE19" s="20">
        <v>0</v>
      </c>
      <c r="AF19" s="20">
        <v>0</v>
      </c>
      <c r="AG19" s="51">
        <f t="shared" si="3"/>
        <v>3513877.5599999987</v>
      </c>
      <c r="AH19" s="20">
        <v>0</v>
      </c>
      <c r="AI19" s="20">
        <v>0</v>
      </c>
      <c r="AJ19" s="20">
        <v>0</v>
      </c>
      <c r="AK19" s="20">
        <f t="shared" si="1"/>
        <v>0</v>
      </c>
      <c r="AL19" s="26">
        <f t="shared" si="2"/>
        <v>0</v>
      </c>
    </row>
    <row r="20" spans="1:38" x14ac:dyDescent="0.3">
      <c r="A20" s="1">
        <v>11</v>
      </c>
      <c r="B20" s="1" t="s">
        <v>114</v>
      </c>
      <c r="C20" s="1" t="s">
        <v>2347</v>
      </c>
      <c r="D20" s="1" t="s">
        <v>2344</v>
      </c>
      <c r="E20" s="1" t="s">
        <v>95</v>
      </c>
      <c r="F20" s="1" t="s">
        <v>2348</v>
      </c>
      <c r="H20" s="1">
        <v>8364</v>
      </c>
      <c r="I20" s="3" t="s">
        <v>2340</v>
      </c>
      <c r="J20" s="1" t="s">
        <v>2345</v>
      </c>
      <c r="K20" s="1" t="s">
        <v>2364</v>
      </c>
      <c r="L20" s="1" t="s">
        <v>2350</v>
      </c>
      <c r="M20" s="1" t="s">
        <v>2351</v>
      </c>
      <c r="N20" s="1" t="s">
        <v>2352</v>
      </c>
      <c r="O20" s="1" t="s">
        <v>42</v>
      </c>
      <c r="Q20" s="1" t="s">
        <v>2346</v>
      </c>
      <c r="R20" s="1" t="s">
        <v>2353</v>
      </c>
      <c r="S20" s="1" t="s">
        <v>2354</v>
      </c>
      <c r="T20" s="49">
        <v>30424489.800000001</v>
      </c>
      <c r="U20" s="20">
        <v>932824.49</v>
      </c>
      <c r="V20" s="20">
        <v>0</v>
      </c>
      <c r="W20" s="20">
        <v>753110.2</v>
      </c>
      <c r="X20" s="20">
        <v>14349028.57</v>
      </c>
      <c r="Y20" s="20">
        <v>10875648.98</v>
      </c>
      <c r="Z20" s="20">
        <v>0</v>
      </c>
      <c r="AA20" s="20">
        <v>0</v>
      </c>
      <c r="AB20" s="20">
        <v>0</v>
      </c>
      <c r="AC20" s="20">
        <v>0</v>
      </c>
      <c r="AD20" s="20">
        <v>0</v>
      </c>
      <c r="AE20" s="20">
        <v>0</v>
      </c>
      <c r="AF20" s="20">
        <v>0</v>
      </c>
      <c r="AG20" s="51">
        <f t="shared" si="3"/>
        <v>3513877.5599999987</v>
      </c>
      <c r="AH20" s="20">
        <v>0</v>
      </c>
      <c r="AI20" s="20">
        <v>0</v>
      </c>
      <c r="AJ20" s="20">
        <v>0</v>
      </c>
      <c r="AK20" s="20">
        <f t="shared" si="1"/>
        <v>0</v>
      </c>
      <c r="AL20" s="26">
        <f t="shared" si="2"/>
        <v>0</v>
      </c>
    </row>
    <row r="21" spans="1:38" x14ac:dyDescent="0.3">
      <c r="A21" s="1">
        <v>12</v>
      </c>
      <c r="B21" s="1" t="s">
        <v>114</v>
      </c>
      <c r="C21" s="1" t="s">
        <v>2347</v>
      </c>
      <c r="D21" s="1" t="s">
        <v>2344</v>
      </c>
      <c r="E21" s="1" t="s">
        <v>95</v>
      </c>
      <c r="F21" s="1" t="s">
        <v>2348</v>
      </c>
      <c r="H21" s="1">
        <v>4788</v>
      </c>
      <c r="I21" s="3" t="s">
        <v>2340</v>
      </c>
      <c r="J21" s="1" t="s">
        <v>2345</v>
      </c>
      <c r="K21" s="1" t="s">
        <v>2365</v>
      </c>
      <c r="L21" s="1" t="s">
        <v>2350</v>
      </c>
      <c r="M21" s="1" t="s">
        <v>2351</v>
      </c>
      <c r="N21" s="1" t="s">
        <v>2352</v>
      </c>
      <c r="O21" s="1" t="s">
        <v>42</v>
      </c>
      <c r="Q21" s="1" t="s">
        <v>2346</v>
      </c>
      <c r="R21" s="1" t="s">
        <v>2353</v>
      </c>
      <c r="S21" s="1" t="s">
        <v>2354</v>
      </c>
      <c r="T21" s="49">
        <v>34424489.799999997</v>
      </c>
      <c r="U21" s="20">
        <v>932824.49</v>
      </c>
      <c r="V21" s="20">
        <v>0</v>
      </c>
      <c r="W21" s="20">
        <v>753110.2</v>
      </c>
      <c r="X21" s="20">
        <v>14349028.57</v>
      </c>
      <c r="Y21" s="20">
        <v>10875648.98</v>
      </c>
      <c r="Z21" s="20">
        <v>0</v>
      </c>
      <c r="AA21" s="20">
        <v>0</v>
      </c>
      <c r="AB21" s="20">
        <v>0</v>
      </c>
      <c r="AC21" s="20">
        <v>0</v>
      </c>
      <c r="AD21" s="20">
        <v>0</v>
      </c>
      <c r="AE21" s="20">
        <v>0</v>
      </c>
      <c r="AF21" s="20">
        <v>0</v>
      </c>
      <c r="AG21" s="51">
        <f t="shared" si="3"/>
        <v>7513877.5599999949</v>
      </c>
      <c r="AH21" s="20">
        <v>0</v>
      </c>
      <c r="AI21" s="20">
        <v>0</v>
      </c>
      <c r="AJ21" s="20">
        <v>0</v>
      </c>
      <c r="AK21" s="20">
        <f t="shared" si="1"/>
        <v>0</v>
      </c>
      <c r="AL21" s="26">
        <f t="shared" si="2"/>
        <v>0</v>
      </c>
    </row>
    <row r="22" spans="1:38" x14ac:dyDescent="0.3">
      <c r="A22" s="1">
        <v>13</v>
      </c>
      <c r="B22" s="1" t="s">
        <v>114</v>
      </c>
      <c r="C22" s="1" t="s">
        <v>2347</v>
      </c>
      <c r="D22" s="1" t="s">
        <v>2344</v>
      </c>
      <c r="E22" s="1" t="s">
        <v>95</v>
      </c>
      <c r="F22" s="1" t="s">
        <v>2348</v>
      </c>
      <c r="H22" s="1">
        <v>15775</v>
      </c>
      <c r="I22" s="3" t="s">
        <v>2340</v>
      </c>
      <c r="J22" s="1" t="s">
        <v>2345</v>
      </c>
      <c r="K22" s="1" t="s">
        <v>2366</v>
      </c>
      <c r="L22" s="1" t="s">
        <v>2350</v>
      </c>
      <c r="M22" s="1" t="s">
        <v>2351</v>
      </c>
      <c r="N22" s="1" t="s">
        <v>2352</v>
      </c>
      <c r="O22" s="1" t="s">
        <v>42</v>
      </c>
      <c r="Q22" s="1" t="s">
        <v>2346</v>
      </c>
      <c r="R22" s="1" t="s">
        <v>2353</v>
      </c>
      <c r="S22" s="1" t="s">
        <v>2354</v>
      </c>
      <c r="T22" s="49">
        <v>34424489.799999997</v>
      </c>
      <c r="U22" s="20">
        <v>932824.49</v>
      </c>
      <c r="V22" s="20">
        <v>0</v>
      </c>
      <c r="W22" s="20">
        <v>753110.2</v>
      </c>
      <c r="X22" s="20">
        <v>14349028.57</v>
      </c>
      <c r="Y22" s="20">
        <v>10875648.98</v>
      </c>
      <c r="Z22" s="20">
        <v>0</v>
      </c>
      <c r="AA22" s="20">
        <v>0</v>
      </c>
      <c r="AB22" s="20">
        <v>0</v>
      </c>
      <c r="AC22" s="20">
        <v>0</v>
      </c>
      <c r="AD22" s="20">
        <v>0</v>
      </c>
      <c r="AE22" s="20">
        <v>0</v>
      </c>
      <c r="AF22" s="20">
        <v>0</v>
      </c>
      <c r="AG22" s="51">
        <f t="shared" si="3"/>
        <v>7513877.5599999949</v>
      </c>
      <c r="AH22" s="20">
        <v>0</v>
      </c>
      <c r="AI22" s="20">
        <v>0</v>
      </c>
      <c r="AJ22" s="20">
        <v>0</v>
      </c>
      <c r="AK22" s="20">
        <f t="shared" si="1"/>
        <v>0</v>
      </c>
      <c r="AL22" s="26">
        <f t="shared" si="2"/>
        <v>0</v>
      </c>
    </row>
    <row r="23" spans="1:38" x14ac:dyDescent="0.3">
      <c r="A23" s="1">
        <v>14</v>
      </c>
      <c r="B23" s="1" t="s">
        <v>114</v>
      </c>
      <c r="C23" s="1" t="s">
        <v>2347</v>
      </c>
      <c r="D23" s="1" t="s">
        <v>2344</v>
      </c>
      <c r="E23" s="1" t="s">
        <v>95</v>
      </c>
      <c r="F23" s="1" t="s">
        <v>2348</v>
      </c>
      <c r="H23" s="1">
        <v>6866</v>
      </c>
      <c r="I23" s="3" t="s">
        <v>2340</v>
      </c>
      <c r="J23" s="1" t="s">
        <v>2345</v>
      </c>
      <c r="K23" s="1" t="s">
        <v>2367</v>
      </c>
      <c r="L23" s="1" t="s">
        <v>2350</v>
      </c>
      <c r="M23" s="1" t="s">
        <v>2351</v>
      </c>
      <c r="N23" s="1" t="s">
        <v>2352</v>
      </c>
      <c r="O23" s="1" t="s">
        <v>42</v>
      </c>
      <c r="Q23" s="1" t="s">
        <v>2346</v>
      </c>
      <c r="R23" s="1" t="s">
        <v>2353</v>
      </c>
      <c r="S23" s="1" t="s">
        <v>2354</v>
      </c>
      <c r="T23" s="49">
        <v>34424489.799999997</v>
      </c>
      <c r="U23" s="20">
        <v>932824.49</v>
      </c>
      <c r="V23" s="20">
        <v>0</v>
      </c>
      <c r="W23" s="20">
        <v>753110.2</v>
      </c>
      <c r="X23" s="20">
        <v>14349028.57</v>
      </c>
      <c r="Y23" s="20">
        <v>10875648.98</v>
      </c>
      <c r="Z23" s="20">
        <v>0</v>
      </c>
      <c r="AA23" s="20">
        <v>0</v>
      </c>
      <c r="AB23" s="20">
        <v>0</v>
      </c>
      <c r="AC23" s="20">
        <v>0</v>
      </c>
      <c r="AD23" s="20">
        <v>0</v>
      </c>
      <c r="AE23" s="20">
        <v>0</v>
      </c>
      <c r="AF23" s="20">
        <v>0</v>
      </c>
      <c r="AG23" s="51">
        <f t="shared" si="3"/>
        <v>7513877.5599999949</v>
      </c>
      <c r="AH23" s="20">
        <v>0</v>
      </c>
      <c r="AI23" s="20">
        <v>0</v>
      </c>
      <c r="AJ23" s="20">
        <v>0</v>
      </c>
      <c r="AK23" s="20">
        <f t="shared" si="1"/>
        <v>0</v>
      </c>
      <c r="AL23" s="26">
        <f t="shared" si="2"/>
        <v>0</v>
      </c>
    </row>
    <row r="24" spans="1:38" x14ac:dyDescent="0.3">
      <c r="A24" s="1">
        <v>15</v>
      </c>
      <c r="B24" s="1" t="s">
        <v>114</v>
      </c>
      <c r="C24" s="1" t="s">
        <v>2347</v>
      </c>
      <c r="D24" s="1" t="s">
        <v>2344</v>
      </c>
      <c r="E24" s="1" t="s">
        <v>95</v>
      </c>
      <c r="F24" s="1" t="s">
        <v>2348</v>
      </c>
      <c r="H24" s="1">
        <v>4995</v>
      </c>
      <c r="I24" s="3" t="s">
        <v>2340</v>
      </c>
      <c r="J24" s="1" t="s">
        <v>2345</v>
      </c>
      <c r="K24" s="1" t="s">
        <v>2368</v>
      </c>
      <c r="L24" s="1" t="s">
        <v>2350</v>
      </c>
      <c r="M24" s="1" t="s">
        <v>2351</v>
      </c>
      <c r="N24" s="1" t="s">
        <v>2352</v>
      </c>
      <c r="O24" s="1" t="s">
        <v>42</v>
      </c>
      <c r="Q24" s="1" t="s">
        <v>2346</v>
      </c>
      <c r="R24" s="1" t="s">
        <v>2353</v>
      </c>
      <c r="S24" s="1" t="s">
        <v>2354</v>
      </c>
      <c r="T24" s="49">
        <v>34424489.799999997</v>
      </c>
      <c r="U24" s="20">
        <v>932824.49</v>
      </c>
      <c r="V24" s="20">
        <v>0</v>
      </c>
      <c r="W24" s="20">
        <v>753110.2</v>
      </c>
      <c r="X24" s="20">
        <v>14349028.57</v>
      </c>
      <c r="Y24" s="20">
        <v>10875648.98</v>
      </c>
      <c r="Z24" s="20">
        <v>0</v>
      </c>
      <c r="AA24" s="20">
        <v>0</v>
      </c>
      <c r="AB24" s="20">
        <v>0</v>
      </c>
      <c r="AC24" s="20">
        <v>0</v>
      </c>
      <c r="AD24" s="20">
        <v>0</v>
      </c>
      <c r="AE24" s="20">
        <v>0</v>
      </c>
      <c r="AF24" s="20">
        <v>0</v>
      </c>
      <c r="AG24" s="51">
        <f t="shared" si="3"/>
        <v>7513877.5599999949</v>
      </c>
      <c r="AH24" s="20">
        <v>0</v>
      </c>
      <c r="AI24" s="20">
        <v>0</v>
      </c>
      <c r="AJ24" s="20">
        <v>0</v>
      </c>
      <c r="AK24" s="20">
        <f t="shared" si="1"/>
        <v>0</v>
      </c>
      <c r="AL24" s="26">
        <f t="shared" si="2"/>
        <v>0</v>
      </c>
    </row>
    <row r="25" spans="1:38" x14ac:dyDescent="0.3">
      <c r="A25" s="1">
        <v>16</v>
      </c>
      <c r="B25" s="1" t="s">
        <v>114</v>
      </c>
      <c r="C25" s="1" t="s">
        <v>2347</v>
      </c>
      <c r="D25" s="1" t="s">
        <v>2344</v>
      </c>
      <c r="E25" s="1" t="s">
        <v>95</v>
      </c>
      <c r="F25" s="1" t="s">
        <v>2348</v>
      </c>
      <c r="H25" s="1">
        <v>5101</v>
      </c>
      <c r="I25" s="3" t="s">
        <v>2340</v>
      </c>
      <c r="J25" s="1" t="s">
        <v>2345</v>
      </c>
      <c r="K25" s="1" t="s">
        <v>2369</v>
      </c>
      <c r="L25" s="1" t="s">
        <v>2350</v>
      </c>
      <c r="M25" s="1" t="s">
        <v>2351</v>
      </c>
      <c r="N25" s="1" t="s">
        <v>2352</v>
      </c>
      <c r="O25" s="1" t="s">
        <v>42</v>
      </c>
      <c r="Q25" s="1" t="s">
        <v>2346</v>
      </c>
      <c r="R25" s="1" t="s">
        <v>2353</v>
      </c>
      <c r="S25" s="1" t="s">
        <v>2354</v>
      </c>
      <c r="T25" s="49">
        <v>34424489.799999997</v>
      </c>
      <c r="U25" s="20">
        <v>932824.49</v>
      </c>
      <c r="V25" s="20">
        <v>0</v>
      </c>
      <c r="W25" s="20">
        <v>753110.2</v>
      </c>
      <c r="X25" s="20">
        <v>14349028.57</v>
      </c>
      <c r="Y25" s="20">
        <v>10875648.98</v>
      </c>
      <c r="Z25" s="20">
        <v>0</v>
      </c>
      <c r="AA25" s="20">
        <v>0</v>
      </c>
      <c r="AB25" s="20">
        <v>0</v>
      </c>
      <c r="AC25" s="20">
        <v>0</v>
      </c>
      <c r="AD25" s="20">
        <v>0</v>
      </c>
      <c r="AE25" s="20">
        <v>0</v>
      </c>
      <c r="AF25" s="20">
        <v>0</v>
      </c>
      <c r="AG25" s="51">
        <f t="shared" si="3"/>
        <v>7513877.5599999949</v>
      </c>
      <c r="AH25" s="20">
        <v>0</v>
      </c>
      <c r="AI25" s="20">
        <v>0</v>
      </c>
      <c r="AJ25" s="20">
        <v>0</v>
      </c>
      <c r="AK25" s="20">
        <f t="shared" si="1"/>
        <v>0</v>
      </c>
      <c r="AL25" s="26">
        <f t="shared" si="2"/>
        <v>0</v>
      </c>
    </row>
    <row r="26" spans="1:38" x14ac:dyDescent="0.3">
      <c r="A26" s="1">
        <v>17</v>
      </c>
      <c r="B26" s="1" t="s">
        <v>114</v>
      </c>
      <c r="C26" s="1" t="s">
        <v>2347</v>
      </c>
      <c r="D26" s="1" t="s">
        <v>2344</v>
      </c>
      <c r="E26" s="1" t="s">
        <v>95</v>
      </c>
      <c r="F26" s="1" t="s">
        <v>2348</v>
      </c>
      <c r="H26" s="1">
        <v>4993</v>
      </c>
      <c r="I26" s="3" t="s">
        <v>2340</v>
      </c>
      <c r="J26" s="1" t="s">
        <v>2345</v>
      </c>
      <c r="K26" s="1" t="s">
        <v>2370</v>
      </c>
      <c r="L26" s="1" t="s">
        <v>2350</v>
      </c>
      <c r="M26" s="1" t="s">
        <v>2351</v>
      </c>
      <c r="N26" s="1" t="s">
        <v>2352</v>
      </c>
      <c r="O26" s="1" t="s">
        <v>42</v>
      </c>
      <c r="Q26" s="1" t="s">
        <v>2346</v>
      </c>
      <c r="R26" s="1" t="s">
        <v>2353</v>
      </c>
      <c r="S26" s="1" t="s">
        <v>2354</v>
      </c>
      <c r="T26" s="49">
        <v>34424489.799999997</v>
      </c>
      <c r="U26" s="20">
        <v>932824.49</v>
      </c>
      <c r="V26" s="20">
        <v>0</v>
      </c>
      <c r="W26" s="20">
        <v>753110.2</v>
      </c>
      <c r="X26" s="20">
        <v>14349028.57</v>
      </c>
      <c r="Y26" s="20">
        <v>10875648.98</v>
      </c>
      <c r="Z26" s="20">
        <v>0</v>
      </c>
      <c r="AA26" s="20">
        <v>0</v>
      </c>
      <c r="AB26" s="20">
        <v>0</v>
      </c>
      <c r="AC26" s="20">
        <v>0</v>
      </c>
      <c r="AD26" s="20">
        <v>0</v>
      </c>
      <c r="AE26" s="20">
        <v>0</v>
      </c>
      <c r="AF26" s="20">
        <v>0</v>
      </c>
      <c r="AG26" s="51">
        <f t="shared" si="3"/>
        <v>7513877.5599999949</v>
      </c>
      <c r="AH26" s="20">
        <v>0</v>
      </c>
      <c r="AI26" s="20">
        <v>0</v>
      </c>
      <c r="AJ26" s="20">
        <v>0</v>
      </c>
      <c r="AK26" s="20">
        <f t="shared" si="1"/>
        <v>0</v>
      </c>
      <c r="AL26" s="26">
        <f t="shared" si="2"/>
        <v>0</v>
      </c>
    </row>
    <row r="27" spans="1:38" x14ac:dyDescent="0.3">
      <c r="A27" s="1">
        <v>18</v>
      </c>
      <c r="B27" s="1" t="s">
        <v>114</v>
      </c>
      <c r="C27" s="1" t="s">
        <v>2347</v>
      </c>
      <c r="D27" s="1" t="s">
        <v>2344</v>
      </c>
      <c r="E27" s="1" t="s">
        <v>95</v>
      </c>
      <c r="F27" s="1" t="s">
        <v>2348</v>
      </c>
      <c r="H27" s="1">
        <v>4537</v>
      </c>
      <c r="I27" s="3" t="s">
        <v>2340</v>
      </c>
      <c r="J27" s="1" t="s">
        <v>2345</v>
      </c>
      <c r="K27" s="1" t="s">
        <v>2371</v>
      </c>
      <c r="L27" s="1" t="s">
        <v>2350</v>
      </c>
      <c r="M27" s="1" t="s">
        <v>2351</v>
      </c>
      <c r="N27" s="1" t="s">
        <v>2352</v>
      </c>
      <c r="O27" s="1" t="s">
        <v>42</v>
      </c>
      <c r="Q27" s="1" t="s">
        <v>2346</v>
      </c>
      <c r="R27" s="1" t="s">
        <v>2353</v>
      </c>
      <c r="S27" s="1" t="s">
        <v>2354</v>
      </c>
      <c r="T27" s="49">
        <v>34424489.799999997</v>
      </c>
      <c r="U27" s="20">
        <v>932824.49</v>
      </c>
      <c r="V27" s="20">
        <v>0</v>
      </c>
      <c r="W27" s="20">
        <v>753110.2</v>
      </c>
      <c r="X27" s="20">
        <v>14349028.57</v>
      </c>
      <c r="Y27" s="20">
        <v>10875648.98</v>
      </c>
      <c r="Z27" s="20">
        <v>0</v>
      </c>
      <c r="AA27" s="20">
        <v>0</v>
      </c>
      <c r="AB27" s="20">
        <v>0</v>
      </c>
      <c r="AC27" s="20">
        <v>0</v>
      </c>
      <c r="AD27" s="20">
        <v>0</v>
      </c>
      <c r="AE27" s="20">
        <v>0</v>
      </c>
      <c r="AF27" s="20">
        <v>0</v>
      </c>
      <c r="AG27" s="51">
        <f t="shared" si="3"/>
        <v>7513877.5599999949</v>
      </c>
      <c r="AH27" s="20">
        <v>0</v>
      </c>
      <c r="AI27" s="20">
        <v>0</v>
      </c>
      <c r="AJ27" s="20">
        <v>0</v>
      </c>
      <c r="AK27" s="20">
        <f t="shared" si="1"/>
        <v>0</v>
      </c>
      <c r="AL27" s="26">
        <f t="shared" si="2"/>
        <v>0</v>
      </c>
    </row>
    <row r="28" spans="1:38" x14ac:dyDescent="0.3">
      <c r="A28" s="1">
        <v>19</v>
      </c>
      <c r="B28" s="1" t="s">
        <v>114</v>
      </c>
      <c r="C28" s="1" t="s">
        <v>2347</v>
      </c>
      <c r="D28" s="1" t="s">
        <v>2344</v>
      </c>
      <c r="E28" s="1" t="s">
        <v>95</v>
      </c>
      <c r="F28" s="1" t="s">
        <v>2348</v>
      </c>
      <c r="H28" s="1">
        <v>5242</v>
      </c>
      <c r="I28" s="3" t="s">
        <v>2340</v>
      </c>
      <c r="J28" s="1" t="s">
        <v>2345</v>
      </c>
      <c r="K28" s="1" t="s">
        <v>2372</v>
      </c>
      <c r="L28" s="1" t="s">
        <v>2350</v>
      </c>
      <c r="M28" s="1" t="s">
        <v>2351</v>
      </c>
      <c r="N28" s="1" t="s">
        <v>2352</v>
      </c>
      <c r="O28" s="1" t="s">
        <v>42</v>
      </c>
      <c r="Q28" s="1" t="s">
        <v>2346</v>
      </c>
      <c r="R28" s="1" t="s">
        <v>2353</v>
      </c>
      <c r="S28" s="1" t="s">
        <v>2354</v>
      </c>
      <c r="T28" s="49">
        <v>34424489.799999997</v>
      </c>
      <c r="U28" s="20">
        <v>932824.49</v>
      </c>
      <c r="V28" s="20">
        <v>0</v>
      </c>
      <c r="W28" s="20">
        <v>753110.2</v>
      </c>
      <c r="X28" s="20">
        <v>14349028.57</v>
      </c>
      <c r="Y28" s="20">
        <v>10875648.98</v>
      </c>
      <c r="Z28" s="20">
        <v>0</v>
      </c>
      <c r="AA28" s="20">
        <v>0</v>
      </c>
      <c r="AB28" s="20">
        <v>0</v>
      </c>
      <c r="AC28" s="20">
        <v>0</v>
      </c>
      <c r="AD28" s="20">
        <v>0</v>
      </c>
      <c r="AE28" s="20">
        <v>0</v>
      </c>
      <c r="AF28" s="20">
        <v>0</v>
      </c>
      <c r="AG28" s="51">
        <f t="shared" si="3"/>
        <v>7513877.5599999949</v>
      </c>
      <c r="AH28" s="20">
        <v>0</v>
      </c>
      <c r="AI28" s="20">
        <v>0</v>
      </c>
      <c r="AJ28" s="20">
        <v>0</v>
      </c>
      <c r="AK28" s="20">
        <f t="shared" si="1"/>
        <v>0</v>
      </c>
      <c r="AL28" s="26">
        <f t="shared" si="2"/>
        <v>0</v>
      </c>
    </row>
    <row r="29" spans="1:38" x14ac:dyDescent="0.3">
      <c r="A29" s="1">
        <v>20</v>
      </c>
      <c r="B29" s="1" t="s">
        <v>114</v>
      </c>
      <c r="C29" s="1" t="s">
        <v>2347</v>
      </c>
      <c r="D29" s="1" t="s">
        <v>2344</v>
      </c>
      <c r="E29" s="1" t="s">
        <v>95</v>
      </c>
      <c r="F29" s="1" t="s">
        <v>2348</v>
      </c>
      <c r="H29" s="1">
        <v>5415</v>
      </c>
      <c r="I29" s="3" t="s">
        <v>2340</v>
      </c>
      <c r="J29" s="1" t="s">
        <v>2345</v>
      </c>
      <c r="K29" s="1" t="s">
        <v>2373</v>
      </c>
      <c r="L29" s="1" t="s">
        <v>2350</v>
      </c>
      <c r="M29" s="1" t="s">
        <v>2351</v>
      </c>
      <c r="N29" s="1" t="s">
        <v>2352</v>
      </c>
      <c r="O29" s="1" t="s">
        <v>42</v>
      </c>
      <c r="Q29" s="1" t="s">
        <v>2346</v>
      </c>
      <c r="R29" s="1" t="s">
        <v>2353</v>
      </c>
      <c r="S29" s="1" t="s">
        <v>2354</v>
      </c>
      <c r="T29" s="49">
        <v>34424489.799999997</v>
      </c>
      <c r="U29" s="20">
        <v>932824.49</v>
      </c>
      <c r="V29" s="20">
        <v>0</v>
      </c>
      <c r="W29" s="20">
        <v>753110.2</v>
      </c>
      <c r="X29" s="20">
        <v>14349028.57</v>
      </c>
      <c r="Y29" s="20">
        <v>10875648.98</v>
      </c>
      <c r="Z29" s="20">
        <v>0</v>
      </c>
      <c r="AA29" s="20">
        <v>0</v>
      </c>
      <c r="AB29" s="20">
        <v>0</v>
      </c>
      <c r="AC29" s="20">
        <v>0</v>
      </c>
      <c r="AD29" s="20">
        <v>0</v>
      </c>
      <c r="AE29" s="20">
        <v>0</v>
      </c>
      <c r="AF29" s="20">
        <v>0</v>
      </c>
      <c r="AG29" s="51">
        <f t="shared" si="3"/>
        <v>7513877.5599999949</v>
      </c>
      <c r="AH29" s="20">
        <v>0</v>
      </c>
      <c r="AI29" s="20">
        <v>0</v>
      </c>
      <c r="AJ29" s="20">
        <v>0</v>
      </c>
      <c r="AK29" s="20">
        <f t="shared" si="1"/>
        <v>0</v>
      </c>
      <c r="AL29" s="26">
        <f t="shared" si="2"/>
        <v>0</v>
      </c>
    </row>
    <row r="30" spans="1:38" x14ac:dyDescent="0.3">
      <c r="A30" s="1">
        <v>21</v>
      </c>
      <c r="B30" s="1" t="s">
        <v>114</v>
      </c>
      <c r="C30" s="1" t="s">
        <v>2347</v>
      </c>
      <c r="D30" s="1" t="s">
        <v>2344</v>
      </c>
      <c r="E30" s="1" t="s">
        <v>95</v>
      </c>
      <c r="F30" s="1" t="s">
        <v>2348</v>
      </c>
      <c r="H30" s="1">
        <v>4903</v>
      </c>
      <c r="I30" s="3" t="s">
        <v>2340</v>
      </c>
      <c r="J30" s="1" t="s">
        <v>2345</v>
      </c>
      <c r="K30" s="1" t="s">
        <v>2374</v>
      </c>
      <c r="L30" s="1" t="s">
        <v>2350</v>
      </c>
      <c r="M30" s="1" t="s">
        <v>2351</v>
      </c>
      <c r="N30" s="1" t="s">
        <v>2352</v>
      </c>
      <c r="O30" s="1" t="s">
        <v>42</v>
      </c>
      <c r="Q30" s="1" t="s">
        <v>2346</v>
      </c>
      <c r="R30" s="1" t="s">
        <v>2353</v>
      </c>
      <c r="S30" s="1" t="s">
        <v>2354</v>
      </c>
      <c r="T30" s="49">
        <v>34424489.799999997</v>
      </c>
      <c r="U30" s="20">
        <v>932824.49</v>
      </c>
      <c r="V30" s="20">
        <v>0</v>
      </c>
      <c r="W30" s="20">
        <v>753110.2</v>
      </c>
      <c r="X30" s="20">
        <v>14349028.57</v>
      </c>
      <c r="Y30" s="20">
        <v>10875648.98</v>
      </c>
      <c r="Z30" s="20">
        <v>0</v>
      </c>
      <c r="AA30" s="20">
        <v>0</v>
      </c>
      <c r="AB30" s="20">
        <v>0</v>
      </c>
      <c r="AC30" s="20">
        <v>0</v>
      </c>
      <c r="AD30" s="20">
        <v>0</v>
      </c>
      <c r="AE30" s="20">
        <v>0</v>
      </c>
      <c r="AF30" s="20">
        <v>0</v>
      </c>
      <c r="AG30" s="51">
        <f t="shared" si="3"/>
        <v>7513877.5599999949</v>
      </c>
      <c r="AH30" s="20">
        <v>0</v>
      </c>
      <c r="AI30" s="20">
        <v>0</v>
      </c>
      <c r="AJ30" s="20">
        <v>0</v>
      </c>
      <c r="AK30" s="20">
        <f t="shared" si="1"/>
        <v>0</v>
      </c>
      <c r="AL30" s="26">
        <f t="shared" si="2"/>
        <v>0</v>
      </c>
    </row>
    <row r="31" spans="1:38" x14ac:dyDescent="0.3">
      <c r="A31" s="1">
        <v>22</v>
      </c>
      <c r="B31" s="1" t="s">
        <v>114</v>
      </c>
      <c r="C31" s="1" t="s">
        <v>2347</v>
      </c>
      <c r="D31" s="1" t="s">
        <v>2344</v>
      </c>
      <c r="F31" s="1" t="s">
        <v>2375</v>
      </c>
      <c r="H31" s="1" t="s">
        <v>2376</v>
      </c>
      <c r="I31" s="3" t="s">
        <v>30</v>
      </c>
      <c r="J31" s="1" t="s">
        <v>2345</v>
      </c>
      <c r="K31" s="1" t="s">
        <v>2377</v>
      </c>
      <c r="L31" s="1" t="s">
        <v>2378</v>
      </c>
      <c r="M31" s="1" t="s">
        <v>2351</v>
      </c>
      <c r="N31" s="1" t="s">
        <v>2352</v>
      </c>
      <c r="O31" s="1" t="s">
        <v>42</v>
      </c>
      <c r="Q31" s="1" t="s">
        <v>2346</v>
      </c>
      <c r="R31" s="1" t="s">
        <v>2353</v>
      </c>
      <c r="S31" s="1" t="s">
        <v>2354</v>
      </c>
      <c r="T31" s="49">
        <v>5870129.8700000001</v>
      </c>
      <c r="U31" s="20">
        <v>0</v>
      </c>
      <c r="V31" s="20">
        <v>0</v>
      </c>
      <c r="W31" s="20">
        <v>0</v>
      </c>
      <c r="X31" s="20">
        <v>0</v>
      </c>
      <c r="Y31" s="20">
        <v>0</v>
      </c>
      <c r="Z31" s="20">
        <v>923988.71723885101</v>
      </c>
      <c r="AA31" s="20">
        <v>1418628.6633000001</v>
      </c>
      <c r="AB31" s="20">
        <v>93801.72</v>
      </c>
      <c r="AC31" s="20">
        <v>1847140.45</v>
      </c>
      <c r="AD31" s="20">
        <v>1556451.81</v>
      </c>
      <c r="AE31" s="20">
        <v>0</v>
      </c>
      <c r="AF31" s="20">
        <v>0</v>
      </c>
      <c r="AG31" s="51">
        <f t="shared" si="3"/>
        <v>30118.509461148642</v>
      </c>
      <c r="AH31" s="20">
        <v>0</v>
      </c>
      <c r="AI31" s="20">
        <v>0</v>
      </c>
      <c r="AJ31" s="20">
        <v>0</v>
      </c>
      <c r="AK31" s="20">
        <f t="shared" si="1"/>
        <v>0</v>
      </c>
      <c r="AL31" s="26">
        <f t="shared" si="2"/>
        <v>0</v>
      </c>
    </row>
    <row r="32" spans="1:38" x14ac:dyDescent="0.3">
      <c r="A32" s="1">
        <v>23</v>
      </c>
      <c r="B32" s="1" t="s">
        <v>114</v>
      </c>
      <c r="C32" s="1" t="s">
        <v>2347</v>
      </c>
      <c r="D32" s="1" t="s">
        <v>2344</v>
      </c>
      <c r="F32" s="1" t="s">
        <v>2375</v>
      </c>
      <c r="H32" s="1" t="s">
        <v>2379</v>
      </c>
      <c r="I32" s="3" t="s">
        <v>30</v>
      </c>
      <c r="J32" s="1" t="s">
        <v>2345</v>
      </c>
      <c r="K32" s="1" t="s">
        <v>2380</v>
      </c>
      <c r="L32" s="1" t="s">
        <v>2381</v>
      </c>
      <c r="M32" s="1" t="s">
        <v>2351</v>
      </c>
      <c r="N32" s="1" t="s">
        <v>2352</v>
      </c>
      <c r="O32" s="1" t="s">
        <v>42</v>
      </c>
      <c r="Q32" s="1" t="s">
        <v>2346</v>
      </c>
      <c r="R32" s="1" t="s">
        <v>2353</v>
      </c>
      <c r="S32" s="1" t="s">
        <v>2354</v>
      </c>
      <c r="T32" s="49">
        <v>5870129.8700000001</v>
      </c>
      <c r="U32" s="20">
        <v>0</v>
      </c>
      <c r="V32" s="20">
        <v>0</v>
      </c>
      <c r="W32" s="20">
        <v>0</v>
      </c>
      <c r="X32" s="20">
        <v>0</v>
      </c>
      <c r="Y32" s="20">
        <v>0</v>
      </c>
      <c r="Z32" s="20">
        <v>703796.1872388511</v>
      </c>
      <c r="AA32" s="20">
        <v>1092628.51</v>
      </c>
      <c r="AB32" s="20">
        <v>93801.72</v>
      </c>
      <c r="AC32" s="20">
        <v>1847140.45</v>
      </c>
      <c r="AD32" s="20">
        <v>1806451.81</v>
      </c>
      <c r="AE32" s="20">
        <v>0</v>
      </c>
      <c r="AF32" s="20">
        <v>0</v>
      </c>
      <c r="AG32" s="51">
        <f t="shared" si="3"/>
        <v>326311.19276114833</v>
      </c>
      <c r="AH32" s="20">
        <v>0</v>
      </c>
      <c r="AI32" s="20">
        <v>0</v>
      </c>
      <c r="AJ32" s="20">
        <v>0</v>
      </c>
      <c r="AK32" s="20">
        <f t="shared" si="1"/>
        <v>0</v>
      </c>
      <c r="AL32" s="26">
        <f t="shared" si="2"/>
        <v>0</v>
      </c>
    </row>
    <row r="33" spans="1:38" x14ac:dyDescent="0.3">
      <c r="A33" s="1">
        <v>24</v>
      </c>
      <c r="B33" s="1" t="s">
        <v>114</v>
      </c>
      <c r="C33" s="1" t="s">
        <v>2347</v>
      </c>
      <c r="D33" s="1" t="s">
        <v>2344</v>
      </c>
      <c r="F33" s="1" t="s">
        <v>2375</v>
      </c>
      <c r="H33" s="1" t="s">
        <v>2382</v>
      </c>
      <c r="I33" s="3" t="s">
        <v>30</v>
      </c>
      <c r="J33" s="1" t="s">
        <v>2345</v>
      </c>
      <c r="K33" s="1" t="s">
        <v>2383</v>
      </c>
      <c r="L33" s="1" t="s">
        <v>2383</v>
      </c>
      <c r="M33" s="1" t="s">
        <v>2351</v>
      </c>
      <c r="N33" s="1" t="s">
        <v>2352</v>
      </c>
      <c r="O33" s="1" t="s">
        <v>42</v>
      </c>
      <c r="Q33" s="1" t="s">
        <v>2346</v>
      </c>
      <c r="R33" s="1" t="s">
        <v>2353</v>
      </c>
      <c r="S33" s="1" t="s">
        <v>2354</v>
      </c>
      <c r="T33" s="49">
        <v>5870129.8700000001</v>
      </c>
      <c r="U33" s="20">
        <v>0</v>
      </c>
      <c r="V33" s="20">
        <v>0</v>
      </c>
      <c r="W33" s="20">
        <v>0</v>
      </c>
      <c r="X33" s="20">
        <v>0</v>
      </c>
      <c r="Y33" s="20">
        <v>0</v>
      </c>
      <c r="Z33" s="20">
        <v>703796.1872388511</v>
      </c>
      <c r="AA33" s="20">
        <v>1092628.51</v>
      </c>
      <c r="AB33" s="20">
        <v>93801.72</v>
      </c>
      <c r="AC33" s="20">
        <v>1847140.45</v>
      </c>
      <c r="AD33" s="20">
        <v>1806451.81</v>
      </c>
      <c r="AE33" s="20">
        <v>0</v>
      </c>
      <c r="AF33" s="20">
        <v>0</v>
      </c>
      <c r="AG33" s="51">
        <f t="shared" si="3"/>
        <v>326311.19276114833</v>
      </c>
      <c r="AH33" s="20">
        <v>0</v>
      </c>
      <c r="AI33" s="20">
        <v>0</v>
      </c>
      <c r="AJ33" s="20">
        <v>0</v>
      </c>
      <c r="AK33" s="20">
        <f t="shared" si="1"/>
        <v>0</v>
      </c>
      <c r="AL33" s="26">
        <f t="shared" si="2"/>
        <v>0</v>
      </c>
    </row>
    <row r="34" spans="1:38" x14ac:dyDescent="0.3">
      <c r="A34" s="1">
        <v>25</v>
      </c>
      <c r="B34" s="1" t="s">
        <v>114</v>
      </c>
      <c r="C34" s="1" t="s">
        <v>2347</v>
      </c>
      <c r="D34" s="1" t="s">
        <v>2344</v>
      </c>
      <c r="F34" s="1" t="s">
        <v>2375</v>
      </c>
      <c r="H34" s="1" t="s">
        <v>2384</v>
      </c>
      <c r="I34" s="3" t="s">
        <v>30</v>
      </c>
      <c r="J34" s="1" t="s">
        <v>2345</v>
      </c>
      <c r="K34" s="1" t="s">
        <v>2385</v>
      </c>
      <c r="L34" s="1" t="s">
        <v>2385</v>
      </c>
      <c r="M34" s="1" t="s">
        <v>2351</v>
      </c>
      <c r="N34" s="1" t="s">
        <v>2352</v>
      </c>
      <c r="O34" s="1" t="s">
        <v>42</v>
      </c>
      <c r="Q34" s="1" t="s">
        <v>2346</v>
      </c>
      <c r="R34" s="1" t="s">
        <v>2353</v>
      </c>
      <c r="S34" s="1" t="s">
        <v>2354</v>
      </c>
      <c r="T34" s="49">
        <v>5870129.8700000001</v>
      </c>
      <c r="U34" s="20">
        <v>0</v>
      </c>
      <c r="V34" s="20">
        <v>0</v>
      </c>
      <c r="W34" s="20">
        <v>0</v>
      </c>
      <c r="X34" s="20">
        <v>0</v>
      </c>
      <c r="Y34" s="20">
        <v>0</v>
      </c>
      <c r="Z34" s="20">
        <v>703796.1872388511</v>
      </c>
      <c r="AA34" s="20">
        <v>1092628.51</v>
      </c>
      <c r="AB34" s="20">
        <v>93801.72</v>
      </c>
      <c r="AC34" s="20">
        <v>1847140.45</v>
      </c>
      <c r="AD34" s="20">
        <v>1806451.81</v>
      </c>
      <c r="AE34" s="20">
        <v>0</v>
      </c>
      <c r="AF34" s="20">
        <v>0</v>
      </c>
      <c r="AG34" s="51">
        <f t="shared" si="3"/>
        <v>326311.19276114833</v>
      </c>
      <c r="AH34" s="20">
        <v>0</v>
      </c>
      <c r="AI34" s="20">
        <v>0</v>
      </c>
      <c r="AJ34" s="20">
        <v>0</v>
      </c>
      <c r="AK34" s="20">
        <f t="shared" si="1"/>
        <v>0</v>
      </c>
      <c r="AL34" s="26">
        <f t="shared" si="2"/>
        <v>0</v>
      </c>
    </row>
    <row r="35" spans="1:38" x14ac:dyDescent="0.3">
      <c r="A35" s="1">
        <v>26</v>
      </c>
      <c r="B35" s="1" t="s">
        <v>114</v>
      </c>
      <c r="C35" s="1" t="s">
        <v>2347</v>
      </c>
      <c r="D35" s="1" t="s">
        <v>2344</v>
      </c>
      <c r="F35" s="1" t="s">
        <v>2375</v>
      </c>
      <c r="H35" s="1" t="s">
        <v>2386</v>
      </c>
      <c r="I35" s="3" t="s">
        <v>30</v>
      </c>
      <c r="J35" s="1" t="s">
        <v>2345</v>
      </c>
      <c r="K35" s="1" t="s">
        <v>2387</v>
      </c>
      <c r="L35" s="1" t="s">
        <v>2388</v>
      </c>
      <c r="M35" s="1" t="s">
        <v>2351</v>
      </c>
      <c r="N35" s="1" t="s">
        <v>2352</v>
      </c>
      <c r="O35" s="1" t="s">
        <v>42</v>
      </c>
      <c r="Q35" s="1" t="s">
        <v>2346</v>
      </c>
      <c r="R35" s="1" t="s">
        <v>2353</v>
      </c>
      <c r="S35" s="1" t="s">
        <v>2354</v>
      </c>
      <c r="T35" s="49">
        <v>5870129.8700000001</v>
      </c>
      <c r="U35" s="20">
        <v>0</v>
      </c>
      <c r="V35" s="20">
        <v>0</v>
      </c>
      <c r="W35" s="20">
        <v>0</v>
      </c>
      <c r="X35" s="20">
        <v>0</v>
      </c>
      <c r="Y35" s="20">
        <v>0</v>
      </c>
      <c r="Z35" s="20">
        <v>703796.1872388511</v>
      </c>
      <c r="AA35" s="20">
        <v>1092628.51</v>
      </c>
      <c r="AB35" s="20">
        <v>93801.72</v>
      </c>
      <c r="AC35" s="20">
        <v>1847140.45</v>
      </c>
      <c r="AD35" s="20">
        <v>1806451.81</v>
      </c>
      <c r="AE35" s="20">
        <v>0</v>
      </c>
      <c r="AF35" s="20">
        <v>0</v>
      </c>
      <c r="AG35" s="51">
        <f t="shared" si="3"/>
        <v>326311.19276114833</v>
      </c>
      <c r="AH35" s="20">
        <v>0</v>
      </c>
      <c r="AI35" s="20">
        <v>0</v>
      </c>
      <c r="AJ35" s="20">
        <v>0</v>
      </c>
      <c r="AK35" s="20">
        <f t="shared" si="1"/>
        <v>0</v>
      </c>
      <c r="AL35" s="26">
        <f t="shared" si="2"/>
        <v>0</v>
      </c>
    </row>
    <row r="36" spans="1:38" x14ac:dyDescent="0.3">
      <c r="A36" s="1">
        <v>27</v>
      </c>
      <c r="B36" s="1" t="s">
        <v>114</v>
      </c>
      <c r="C36" s="1" t="s">
        <v>2347</v>
      </c>
      <c r="D36" s="1" t="s">
        <v>2344</v>
      </c>
      <c r="F36" s="1" t="s">
        <v>2375</v>
      </c>
      <c r="H36" s="1" t="s">
        <v>2389</v>
      </c>
      <c r="I36" s="3" t="s">
        <v>30</v>
      </c>
      <c r="J36" s="1" t="s">
        <v>2345</v>
      </c>
      <c r="K36" s="1" t="s">
        <v>2390</v>
      </c>
      <c r="L36" s="1" t="s">
        <v>2391</v>
      </c>
      <c r="M36" s="1" t="s">
        <v>2351</v>
      </c>
      <c r="N36" s="1" t="s">
        <v>2352</v>
      </c>
      <c r="O36" s="1" t="s">
        <v>42</v>
      </c>
      <c r="Q36" s="1" t="s">
        <v>2346</v>
      </c>
      <c r="R36" s="1" t="s">
        <v>2353</v>
      </c>
      <c r="S36" s="1" t="s">
        <v>2354</v>
      </c>
      <c r="T36" s="49">
        <v>5870129.8700000001</v>
      </c>
      <c r="U36" s="20">
        <v>0</v>
      </c>
      <c r="V36" s="20">
        <v>0</v>
      </c>
      <c r="W36" s="20">
        <v>0</v>
      </c>
      <c r="X36" s="20">
        <v>0</v>
      </c>
      <c r="Y36" s="20">
        <v>0</v>
      </c>
      <c r="Z36" s="20">
        <v>703796.1872388511</v>
      </c>
      <c r="AA36" s="20">
        <v>1092628.51</v>
      </c>
      <c r="AB36" s="20">
        <v>93801.72</v>
      </c>
      <c r="AC36" s="20">
        <v>1847140.45</v>
      </c>
      <c r="AD36" s="20">
        <v>1806451.81</v>
      </c>
      <c r="AE36" s="20">
        <v>0</v>
      </c>
      <c r="AF36" s="20">
        <v>0</v>
      </c>
      <c r="AG36" s="51">
        <f t="shared" si="3"/>
        <v>326311.19276114833</v>
      </c>
      <c r="AH36" s="20">
        <v>0</v>
      </c>
      <c r="AI36" s="20">
        <v>0</v>
      </c>
      <c r="AJ36" s="20">
        <v>0</v>
      </c>
      <c r="AK36" s="20">
        <f t="shared" si="1"/>
        <v>0</v>
      </c>
      <c r="AL36" s="26">
        <f t="shared" si="2"/>
        <v>0</v>
      </c>
    </row>
    <row r="37" spans="1:38" x14ac:dyDescent="0.3">
      <c r="A37" s="1">
        <v>28</v>
      </c>
      <c r="B37" s="1" t="s">
        <v>114</v>
      </c>
      <c r="C37" s="1" t="s">
        <v>2347</v>
      </c>
      <c r="D37" s="1" t="s">
        <v>2344</v>
      </c>
      <c r="E37" s="1" t="s">
        <v>95</v>
      </c>
      <c r="F37" s="1" t="s">
        <v>2348</v>
      </c>
      <c r="H37" s="1">
        <v>4539</v>
      </c>
      <c r="I37" s="3" t="s">
        <v>2340</v>
      </c>
      <c r="J37" s="1" t="s">
        <v>2345</v>
      </c>
      <c r="K37" s="1" t="s">
        <v>2392</v>
      </c>
      <c r="L37" s="1" t="s">
        <v>2350</v>
      </c>
      <c r="M37" s="1" t="s">
        <v>2393</v>
      </c>
      <c r="N37" s="1" t="s">
        <v>2394</v>
      </c>
      <c r="O37" s="1" t="s">
        <v>42</v>
      </c>
      <c r="Q37" s="1" t="s">
        <v>2346</v>
      </c>
      <c r="R37" s="1" t="s">
        <v>2353</v>
      </c>
      <c r="S37" s="1" t="s">
        <v>2354</v>
      </c>
      <c r="T37" s="49">
        <v>34424489.799999997</v>
      </c>
      <c r="U37" s="20">
        <v>932824.49</v>
      </c>
      <c r="V37" s="20">
        <v>0</v>
      </c>
      <c r="W37" s="20">
        <v>753110.2</v>
      </c>
      <c r="X37" s="20">
        <v>14349028.57</v>
      </c>
      <c r="Y37" s="20">
        <v>10875648.98</v>
      </c>
      <c r="Z37" s="20">
        <v>0</v>
      </c>
      <c r="AA37" s="20">
        <v>0</v>
      </c>
      <c r="AB37" s="20">
        <v>0</v>
      </c>
      <c r="AC37" s="20">
        <v>0</v>
      </c>
      <c r="AD37" s="20">
        <v>0</v>
      </c>
      <c r="AE37" s="20">
        <v>0</v>
      </c>
      <c r="AF37" s="20">
        <v>0</v>
      </c>
      <c r="AG37" s="51">
        <f t="shared" si="3"/>
        <v>7513877.5599999949</v>
      </c>
      <c r="AH37" s="20">
        <v>0</v>
      </c>
      <c r="AI37" s="20">
        <v>0</v>
      </c>
      <c r="AJ37" s="20">
        <v>0</v>
      </c>
      <c r="AK37" s="20">
        <f t="shared" si="1"/>
        <v>0</v>
      </c>
      <c r="AL37" s="26">
        <f t="shared" si="2"/>
        <v>0</v>
      </c>
    </row>
    <row r="38" spans="1:38" x14ac:dyDescent="0.3">
      <c r="A38" s="1">
        <v>29</v>
      </c>
      <c r="B38" s="1" t="s">
        <v>114</v>
      </c>
      <c r="C38" s="1" t="s">
        <v>2347</v>
      </c>
      <c r="D38" s="1" t="s">
        <v>2344</v>
      </c>
      <c r="E38" s="1" t="s">
        <v>95</v>
      </c>
      <c r="F38" s="1" t="s">
        <v>2348</v>
      </c>
      <c r="H38" s="1">
        <v>4390</v>
      </c>
      <c r="I38" s="3" t="s">
        <v>2340</v>
      </c>
      <c r="J38" s="1" t="s">
        <v>2345</v>
      </c>
      <c r="K38" s="1" t="s">
        <v>2395</v>
      </c>
      <c r="L38" s="1" t="s">
        <v>2350</v>
      </c>
      <c r="M38" s="1" t="s">
        <v>2393</v>
      </c>
      <c r="N38" s="1" t="s">
        <v>2394</v>
      </c>
      <c r="O38" s="1" t="s">
        <v>42</v>
      </c>
      <c r="Q38" s="1" t="s">
        <v>2346</v>
      </c>
      <c r="R38" s="1" t="s">
        <v>2353</v>
      </c>
      <c r="S38" s="1" t="s">
        <v>2354</v>
      </c>
      <c r="T38" s="49">
        <v>34424489.799999997</v>
      </c>
      <c r="U38" s="20">
        <v>932824.49</v>
      </c>
      <c r="V38" s="20">
        <v>0</v>
      </c>
      <c r="W38" s="20">
        <v>753110.2</v>
      </c>
      <c r="X38" s="20">
        <v>14349028.57</v>
      </c>
      <c r="Y38" s="20">
        <v>10875648.98</v>
      </c>
      <c r="Z38" s="20">
        <v>0</v>
      </c>
      <c r="AA38" s="20">
        <v>0</v>
      </c>
      <c r="AB38" s="20">
        <v>0</v>
      </c>
      <c r="AC38" s="20">
        <v>0</v>
      </c>
      <c r="AD38" s="20">
        <v>0</v>
      </c>
      <c r="AE38" s="20">
        <v>0</v>
      </c>
      <c r="AF38" s="20">
        <v>0</v>
      </c>
      <c r="AG38" s="51">
        <f t="shared" si="3"/>
        <v>7513877.5599999949</v>
      </c>
      <c r="AH38" s="20">
        <v>0</v>
      </c>
      <c r="AI38" s="20">
        <v>0</v>
      </c>
      <c r="AJ38" s="20">
        <v>0</v>
      </c>
      <c r="AK38" s="20">
        <f t="shared" si="1"/>
        <v>0</v>
      </c>
      <c r="AL38" s="26">
        <f t="shared" si="2"/>
        <v>0</v>
      </c>
    </row>
    <row r="39" spans="1:38" x14ac:dyDescent="0.3">
      <c r="A39" s="1">
        <v>30</v>
      </c>
      <c r="B39" s="1" t="s">
        <v>114</v>
      </c>
      <c r="C39" s="1" t="s">
        <v>2347</v>
      </c>
      <c r="D39" s="1" t="s">
        <v>2344</v>
      </c>
      <c r="E39" s="1" t="s">
        <v>95</v>
      </c>
      <c r="F39" s="1" t="s">
        <v>2348</v>
      </c>
      <c r="H39" s="1">
        <v>4439</v>
      </c>
      <c r="I39" s="3" t="s">
        <v>2340</v>
      </c>
      <c r="J39" s="1" t="s">
        <v>2345</v>
      </c>
      <c r="K39" s="1" t="s">
        <v>2396</v>
      </c>
      <c r="L39" s="1" t="s">
        <v>2350</v>
      </c>
      <c r="M39" s="1" t="s">
        <v>2393</v>
      </c>
      <c r="N39" s="1" t="s">
        <v>2394</v>
      </c>
      <c r="O39" s="1" t="s">
        <v>42</v>
      </c>
      <c r="Q39" s="1" t="s">
        <v>2346</v>
      </c>
      <c r="R39" s="1" t="s">
        <v>2353</v>
      </c>
      <c r="S39" s="1" t="s">
        <v>2354</v>
      </c>
      <c r="T39" s="49">
        <v>34424489.799999997</v>
      </c>
      <c r="U39" s="20">
        <v>932824.49</v>
      </c>
      <c r="V39" s="20">
        <v>0</v>
      </c>
      <c r="W39" s="20">
        <v>753110.2</v>
      </c>
      <c r="X39" s="20">
        <v>14349028.57</v>
      </c>
      <c r="Y39" s="20">
        <v>10875648.98</v>
      </c>
      <c r="Z39" s="20">
        <v>0</v>
      </c>
      <c r="AA39" s="20">
        <v>0</v>
      </c>
      <c r="AB39" s="20">
        <v>0</v>
      </c>
      <c r="AC39" s="20">
        <v>0</v>
      </c>
      <c r="AD39" s="20">
        <v>0</v>
      </c>
      <c r="AE39" s="20">
        <v>0</v>
      </c>
      <c r="AF39" s="20">
        <v>0</v>
      </c>
      <c r="AG39" s="51">
        <f t="shared" si="3"/>
        <v>7513877.5599999949</v>
      </c>
      <c r="AH39" s="20">
        <v>0</v>
      </c>
      <c r="AI39" s="20">
        <v>0</v>
      </c>
      <c r="AJ39" s="20">
        <v>0</v>
      </c>
      <c r="AK39" s="20">
        <f t="shared" si="1"/>
        <v>0</v>
      </c>
      <c r="AL39" s="26">
        <f t="shared" si="2"/>
        <v>0</v>
      </c>
    </row>
    <row r="40" spans="1:38" x14ac:dyDescent="0.3">
      <c r="A40" s="1">
        <v>31</v>
      </c>
      <c r="B40" s="1" t="s">
        <v>114</v>
      </c>
      <c r="C40" s="1" t="s">
        <v>2347</v>
      </c>
      <c r="D40" s="1" t="s">
        <v>2344</v>
      </c>
      <c r="E40" s="1" t="s">
        <v>95</v>
      </c>
      <c r="F40" s="1" t="s">
        <v>2348</v>
      </c>
      <c r="H40" s="1">
        <v>4246</v>
      </c>
      <c r="I40" s="3" t="s">
        <v>2340</v>
      </c>
      <c r="J40" s="1" t="s">
        <v>2345</v>
      </c>
      <c r="K40" s="1" t="s">
        <v>2397</v>
      </c>
      <c r="L40" s="1" t="s">
        <v>2350</v>
      </c>
      <c r="M40" s="1" t="s">
        <v>2393</v>
      </c>
      <c r="N40" s="1" t="s">
        <v>2394</v>
      </c>
      <c r="O40" s="1" t="s">
        <v>42</v>
      </c>
      <c r="Q40" s="1" t="s">
        <v>2346</v>
      </c>
      <c r="R40" s="1" t="s">
        <v>2353</v>
      </c>
      <c r="S40" s="1" t="s">
        <v>2354</v>
      </c>
      <c r="T40" s="49">
        <v>34424489.799999997</v>
      </c>
      <c r="U40" s="20">
        <v>932824.49</v>
      </c>
      <c r="V40" s="20">
        <v>0</v>
      </c>
      <c r="W40" s="20">
        <v>753110.2</v>
      </c>
      <c r="X40" s="20">
        <v>14349028.57</v>
      </c>
      <c r="Y40" s="20">
        <v>10875648.98</v>
      </c>
      <c r="Z40" s="20">
        <v>0</v>
      </c>
      <c r="AA40" s="20">
        <v>0</v>
      </c>
      <c r="AB40" s="20">
        <v>0</v>
      </c>
      <c r="AC40" s="20">
        <v>0</v>
      </c>
      <c r="AD40" s="20">
        <v>0</v>
      </c>
      <c r="AE40" s="20">
        <v>0</v>
      </c>
      <c r="AF40" s="20">
        <v>0</v>
      </c>
      <c r="AG40" s="51">
        <f t="shared" si="3"/>
        <v>7513877.5599999949</v>
      </c>
      <c r="AH40" s="20">
        <v>0</v>
      </c>
      <c r="AI40" s="20">
        <v>0</v>
      </c>
      <c r="AJ40" s="20">
        <v>0</v>
      </c>
      <c r="AK40" s="20">
        <f t="shared" si="1"/>
        <v>0</v>
      </c>
      <c r="AL40" s="26">
        <f t="shared" si="2"/>
        <v>0</v>
      </c>
    </row>
    <row r="41" spans="1:38" x14ac:dyDescent="0.3">
      <c r="A41" s="1">
        <v>32</v>
      </c>
      <c r="B41" s="1" t="s">
        <v>114</v>
      </c>
      <c r="C41" s="1" t="s">
        <v>2347</v>
      </c>
      <c r="D41" s="1" t="s">
        <v>2344</v>
      </c>
      <c r="E41" s="1" t="s">
        <v>95</v>
      </c>
      <c r="F41" s="1" t="s">
        <v>2348</v>
      </c>
      <c r="H41" s="1">
        <v>4756</v>
      </c>
      <c r="I41" s="3" t="s">
        <v>2340</v>
      </c>
      <c r="J41" s="1" t="s">
        <v>2345</v>
      </c>
      <c r="K41" s="1" t="s">
        <v>2398</v>
      </c>
      <c r="L41" s="1" t="s">
        <v>2350</v>
      </c>
      <c r="M41" s="1" t="s">
        <v>2393</v>
      </c>
      <c r="N41" s="1" t="s">
        <v>2394</v>
      </c>
      <c r="O41" s="1" t="s">
        <v>42</v>
      </c>
      <c r="Q41" s="1" t="s">
        <v>2346</v>
      </c>
      <c r="R41" s="1" t="s">
        <v>2353</v>
      </c>
      <c r="S41" s="1" t="s">
        <v>2354</v>
      </c>
      <c r="T41" s="49">
        <v>34424489.799999997</v>
      </c>
      <c r="U41" s="20">
        <v>932824.49</v>
      </c>
      <c r="V41" s="20">
        <v>0</v>
      </c>
      <c r="W41" s="20">
        <v>753110.2</v>
      </c>
      <c r="X41" s="20">
        <v>14349028.57</v>
      </c>
      <c r="Y41" s="20">
        <v>10875648.98</v>
      </c>
      <c r="Z41" s="20">
        <v>0</v>
      </c>
      <c r="AA41" s="20">
        <v>0</v>
      </c>
      <c r="AB41" s="20">
        <v>0</v>
      </c>
      <c r="AC41" s="20">
        <v>0</v>
      </c>
      <c r="AD41" s="20">
        <v>0</v>
      </c>
      <c r="AE41" s="20">
        <v>0</v>
      </c>
      <c r="AF41" s="20">
        <v>0</v>
      </c>
      <c r="AG41" s="51">
        <f t="shared" si="3"/>
        <v>7513877.5599999949</v>
      </c>
      <c r="AH41" s="20">
        <v>0</v>
      </c>
      <c r="AI41" s="20">
        <v>0</v>
      </c>
      <c r="AJ41" s="20">
        <v>0</v>
      </c>
      <c r="AK41" s="20">
        <f t="shared" si="1"/>
        <v>0</v>
      </c>
      <c r="AL41" s="26">
        <f t="shared" si="2"/>
        <v>0</v>
      </c>
    </row>
    <row r="42" spans="1:38" x14ac:dyDescent="0.3">
      <c r="A42" s="1">
        <v>33</v>
      </c>
      <c r="B42" s="1" t="s">
        <v>114</v>
      </c>
      <c r="C42" s="1" t="s">
        <v>2347</v>
      </c>
      <c r="D42" s="1" t="s">
        <v>2344</v>
      </c>
      <c r="E42" s="1" t="s">
        <v>95</v>
      </c>
      <c r="F42" s="1" t="s">
        <v>2348</v>
      </c>
      <c r="H42" s="1">
        <v>4842</v>
      </c>
      <c r="I42" s="3" t="s">
        <v>2340</v>
      </c>
      <c r="J42" s="1" t="s">
        <v>2345</v>
      </c>
      <c r="K42" s="1" t="s">
        <v>2399</v>
      </c>
      <c r="L42" s="1" t="s">
        <v>2350</v>
      </c>
      <c r="M42" s="1" t="s">
        <v>2393</v>
      </c>
      <c r="N42" s="1" t="s">
        <v>2394</v>
      </c>
      <c r="O42" s="1" t="s">
        <v>42</v>
      </c>
      <c r="Q42" s="1" t="s">
        <v>2346</v>
      </c>
      <c r="R42" s="1" t="s">
        <v>2353</v>
      </c>
      <c r="S42" s="1" t="s">
        <v>2354</v>
      </c>
      <c r="T42" s="49">
        <v>34424489.799999997</v>
      </c>
      <c r="U42" s="20">
        <v>932824.49</v>
      </c>
      <c r="V42" s="20">
        <v>0</v>
      </c>
      <c r="W42" s="20">
        <v>753110.2</v>
      </c>
      <c r="X42" s="20">
        <v>14349028.57</v>
      </c>
      <c r="Y42" s="20">
        <v>10875648.98</v>
      </c>
      <c r="Z42" s="20">
        <v>0</v>
      </c>
      <c r="AA42" s="20">
        <v>0</v>
      </c>
      <c r="AB42" s="20">
        <v>0</v>
      </c>
      <c r="AC42" s="20">
        <v>0</v>
      </c>
      <c r="AD42" s="20">
        <v>0</v>
      </c>
      <c r="AE42" s="20">
        <v>0</v>
      </c>
      <c r="AF42" s="20">
        <v>0</v>
      </c>
      <c r="AG42" s="51">
        <f t="shared" si="3"/>
        <v>7513877.5599999949</v>
      </c>
      <c r="AH42" s="20">
        <v>0</v>
      </c>
      <c r="AI42" s="20">
        <v>0</v>
      </c>
      <c r="AJ42" s="20">
        <v>0</v>
      </c>
      <c r="AK42" s="20">
        <f t="shared" si="1"/>
        <v>0</v>
      </c>
      <c r="AL42" s="26">
        <f t="shared" si="2"/>
        <v>0</v>
      </c>
    </row>
    <row r="43" spans="1:38" x14ac:dyDescent="0.3">
      <c r="A43" s="1">
        <v>34</v>
      </c>
      <c r="B43" s="1" t="s">
        <v>114</v>
      </c>
      <c r="C43" s="1" t="s">
        <v>2347</v>
      </c>
      <c r="D43" s="1" t="s">
        <v>2344</v>
      </c>
      <c r="E43" s="1" t="s">
        <v>95</v>
      </c>
      <c r="F43" s="1" t="s">
        <v>2348</v>
      </c>
      <c r="H43" s="1">
        <v>13730</v>
      </c>
      <c r="I43" s="3" t="s">
        <v>2340</v>
      </c>
      <c r="J43" s="1" t="s">
        <v>2345</v>
      </c>
      <c r="K43" s="1" t="s">
        <v>2400</v>
      </c>
      <c r="L43" s="1" t="s">
        <v>2350</v>
      </c>
      <c r="M43" s="1" t="s">
        <v>2393</v>
      </c>
      <c r="N43" s="1" t="s">
        <v>2394</v>
      </c>
      <c r="O43" s="1" t="s">
        <v>42</v>
      </c>
      <c r="Q43" s="1" t="s">
        <v>2346</v>
      </c>
      <c r="R43" s="1" t="s">
        <v>2353</v>
      </c>
      <c r="S43" s="1" t="s">
        <v>2354</v>
      </c>
      <c r="T43" s="49">
        <v>34424489.799999997</v>
      </c>
      <c r="U43" s="20">
        <v>932824.49</v>
      </c>
      <c r="V43" s="20">
        <v>0</v>
      </c>
      <c r="W43" s="20">
        <v>753110.2</v>
      </c>
      <c r="X43" s="20">
        <v>14349028.57</v>
      </c>
      <c r="Y43" s="20">
        <v>10875648.98</v>
      </c>
      <c r="Z43" s="20">
        <v>0</v>
      </c>
      <c r="AA43" s="20">
        <v>0</v>
      </c>
      <c r="AB43" s="20">
        <v>0</v>
      </c>
      <c r="AC43" s="20">
        <v>0</v>
      </c>
      <c r="AD43" s="20">
        <v>0</v>
      </c>
      <c r="AE43" s="20">
        <v>0</v>
      </c>
      <c r="AF43" s="20">
        <v>0</v>
      </c>
      <c r="AG43" s="51">
        <f t="shared" si="3"/>
        <v>7513877.5599999949</v>
      </c>
      <c r="AH43" s="20">
        <v>0</v>
      </c>
      <c r="AI43" s="20">
        <v>0</v>
      </c>
      <c r="AJ43" s="20">
        <v>0</v>
      </c>
      <c r="AK43" s="20">
        <f t="shared" si="1"/>
        <v>0</v>
      </c>
      <c r="AL43" s="26">
        <f t="shared" si="2"/>
        <v>0</v>
      </c>
    </row>
    <row r="44" spans="1:38" x14ac:dyDescent="0.3">
      <c r="A44" s="1">
        <v>35</v>
      </c>
      <c r="B44" s="1" t="s">
        <v>114</v>
      </c>
      <c r="C44" s="1" t="s">
        <v>2347</v>
      </c>
      <c r="D44" s="1" t="s">
        <v>2344</v>
      </c>
      <c r="E44" s="1" t="s">
        <v>95</v>
      </c>
      <c r="F44" s="1" t="s">
        <v>2348</v>
      </c>
      <c r="H44" s="1">
        <v>3915</v>
      </c>
      <c r="I44" s="3" t="s">
        <v>2340</v>
      </c>
      <c r="J44" s="1" t="s">
        <v>2345</v>
      </c>
      <c r="K44" s="1" t="s">
        <v>2401</v>
      </c>
      <c r="L44" s="1" t="s">
        <v>2350</v>
      </c>
      <c r="M44" s="1" t="s">
        <v>2393</v>
      </c>
      <c r="N44" s="1" t="s">
        <v>2394</v>
      </c>
      <c r="O44" s="1" t="s">
        <v>42</v>
      </c>
      <c r="Q44" s="1" t="s">
        <v>2346</v>
      </c>
      <c r="R44" s="1" t="s">
        <v>2353</v>
      </c>
      <c r="S44" s="1" t="s">
        <v>2354</v>
      </c>
      <c r="T44" s="49">
        <v>34424489.799999997</v>
      </c>
      <c r="U44" s="20">
        <v>932824.49</v>
      </c>
      <c r="V44" s="20">
        <v>0</v>
      </c>
      <c r="W44" s="20">
        <v>753110.2</v>
      </c>
      <c r="X44" s="20">
        <v>14349028.57</v>
      </c>
      <c r="Y44" s="20">
        <v>10875648.98</v>
      </c>
      <c r="Z44" s="20">
        <v>0</v>
      </c>
      <c r="AA44" s="20">
        <v>0</v>
      </c>
      <c r="AB44" s="20">
        <v>0</v>
      </c>
      <c r="AC44" s="20">
        <v>0</v>
      </c>
      <c r="AD44" s="20">
        <v>0</v>
      </c>
      <c r="AE44" s="20">
        <v>0</v>
      </c>
      <c r="AF44" s="20">
        <v>0</v>
      </c>
      <c r="AG44" s="51">
        <f t="shared" si="3"/>
        <v>7513877.5599999949</v>
      </c>
      <c r="AH44" s="20">
        <v>0</v>
      </c>
      <c r="AI44" s="20">
        <v>0</v>
      </c>
      <c r="AJ44" s="20">
        <v>0</v>
      </c>
      <c r="AK44" s="20">
        <f t="shared" si="1"/>
        <v>0</v>
      </c>
      <c r="AL44" s="26">
        <f t="shared" si="2"/>
        <v>0</v>
      </c>
    </row>
    <row r="45" spans="1:38" x14ac:dyDescent="0.3">
      <c r="A45" s="1">
        <v>36</v>
      </c>
      <c r="B45" s="1" t="s">
        <v>114</v>
      </c>
      <c r="C45" s="1" t="s">
        <v>2347</v>
      </c>
      <c r="D45" s="1" t="s">
        <v>2344</v>
      </c>
      <c r="E45" s="1" t="s">
        <v>95</v>
      </c>
      <c r="F45" s="1" t="s">
        <v>2348</v>
      </c>
      <c r="H45" s="1">
        <v>4530</v>
      </c>
      <c r="I45" s="3" t="s">
        <v>2340</v>
      </c>
      <c r="J45" s="1" t="s">
        <v>2345</v>
      </c>
      <c r="K45" s="1" t="s">
        <v>2402</v>
      </c>
      <c r="L45" s="1" t="s">
        <v>2350</v>
      </c>
      <c r="M45" s="1" t="s">
        <v>2393</v>
      </c>
      <c r="N45" s="1" t="s">
        <v>2394</v>
      </c>
      <c r="O45" s="1" t="s">
        <v>42</v>
      </c>
      <c r="Q45" s="1" t="s">
        <v>2346</v>
      </c>
      <c r="R45" s="1" t="s">
        <v>2353</v>
      </c>
      <c r="S45" s="1" t="s">
        <v>2354</v>
      </c>
      <c r="T45" s="49">
        <v>34424489.799999997</v>
      </c>
      <c r="U45" s="20">
        <v>932824.49</v>
      </c>
      <c r="V45" s="20">
        <v>0</v>
      </c>
      <c r="W45" s="20">
        <v>753110.2</v>
      </c>
      <c r="X45" s="20">
        <v>14349028.57</v>
      </c>
      <c r="Y45" s="20">
        <v>10875648.98</v>
      </c>
      <c r="Z45" s="20">
        <v>0</v>
      </c>
      <c r="AA45" s="20">
        <v>0</v>
      </c>
      <c r="AB45" s="20">
        <v>0</v>
      </c>
      <c r="AC45" s="20">
        <v>0</v>
      </c>
      <c r="AD45" s="20">
        <v>0</v>
      </c>
      <c r="AE45" s="20">
        <v>0</v>
      </c>
      <c r="AF45" s="20">
        <v>0</v>
      </c>
      <c r="AG45" s="51">
        <f t="shared" si="3"/>
        <v>7513877.5599999949</v>
      </c>
      <c r="AH45" s="20">
        <v>0</v>
      </c>
      <c r="AI45" s="20">
        <v>0</v>
      </c>
      <c r="AJ45" s="20">
        <v>0</v>
      </c>
      <c r="AK45" s="20">
        <f t="shared" si="1"/>
        <v>0</v>
      </c>
      <c r="AL45" s="26">
        <f t="shared" si="2"/>
        <v>0</v>
      </c>
    </row>
    <row r="46" spans="1:38" x14ac:dyDescent="0.3">
      <c r="A46" s="1">
        <v>37</v>
      </c>
      <c r="B46" s="1" t="s">
        <v>114</v>
      </c>
      <c r="C46" s="1" t="s">
        <v>2347</v>
      </c>
      <c r="D46" s="1" t="s">
        <v>2344</v>
      </c>
      <c r="E46" s="1" t="s">
        <v>95</v>
      </c>
      <c r="F46" s="1" t="s">
        <v>2348</v>
      </c>
      <c r="H46" s="1">
        <v>4502</v>
      </c>
      <c r="I46" s="3" t="s">
        <v>2340</v>
      </c>
      <c r="J46" s="1" t="s">
        <v>2345</v>
      </c>
      <c r="K46" s="1" t="s">
        <v>2403</v>
      </c>
      <c r="L46" s="1" t="s">
        <v>2350</v>
      </c>
      <c r="M46" s="1" t="s">
        <v>2393</v>
      </c>
      <c r="N46" s="1" t="s">
        <v>2394</v>
      </c>
      <c r="O46" s="1" t="s">
        <v>42</v>
      </c>
      <c r="Q46" s="1" t="s">
        <v>2346</v>
      </c>
      <c r="R46" s="1" t="s">
        <v>2353</v>
      </c>
      <c r="S46" s="1" t="s">
        <v>2354</v>
      </c>
      <c r="T46" s="49">
        <v>34424489.799999997</v>
      </c>
      <c r="U46" s="20">
        <v>932824.49</v>
      </c>
      <c r="V46" s="20">
        <v>0</v>
      </c>
      <c r="W46" s="20">
        <v>753110.2</v>
      </c>
      <c r="X46" s="20">
        <v>14349028.57</v>
      </c>
      <c r="Y46" s="20">
        <v>10875648.98</v>
      </c>
      <c r="Z46" s="20">
        <v>0</v>
      </c>
      <c r="AA46" s="20">
        <v>0</v>
      </c>
      <c r="AB46" s="20">
        <v>0</v>
      </c>
      <c r="AC46" s="20">
        <v>0</v>
      </c>
      <c r="AD46" s="20">
        <v>0</v>
      </c>
      <c r="AE46" s="20">
        <v>0</v>
      </c>
      <c r="AF46" s="20">
        <v>0</v>
      </c>
      <c r="AG46" s="51">
        <f t="shared" si="3"/>
        <v>7513877.5599999949</v>
      </c>
      <c r="AH46" s="20">
        <v>0</v>
      </c>
      <c r="AI46" s="20">
        <v>0</v>
      </c>
      <c r="AJ46" s="20">
        <v>0</v>
      </c>
      <c r="AK46" s="20">
        <f t="shared" si="1"/>
        <v>0</v>
      </c>
      <c r="AL46" s="26">
        <f t="shared" si="2"/>
        <v>0</v>
      </c>
    </row>
    <row r="47" spans="1:38" x14ac:dyDescent="0.3">
      <c r="A47" s="1">
        <v>38</v>
      </c>
      <c r="B47" s="1" t="s">
        <v>114</v>
      </c>
      <c r="C47" s="1" t="s">
        <v>2347</v>
      </c>
      <c r="D47" s="1" t="s">
        <v>2344</v>
      </c>
      <c r="E47" s="1" t="s">
        <v>95</v>
      </c>
      <c r="F47" s="1" t="s">
        <v>2348</v>
      </c>
      <c r="H47" s="1" t="s">
        <v>2404</v>
      </c>
      <c r="I47" s="3" t="s">
        <v>2340</v>
      </c>
      <c r="J47" s="1" t="s">
        <v>2345</v>
      </c>
      <c r="K47" s="1" t="s">
        <v>2405</v>
      </c>
      <c r="L47" s="1" t="s">
        <v>2406</v>
      </c>
      <c r="M47" s="1" t="s">
        <v>2393</v>
      </c>
      <c r="N47" s="1" t="s">
        <v>2394</v>
      </c>
      <c r="O47" s="1" t="s">
        <v>42</v>
      </c>
      <c r="Q47" s="1" t="s">
        <v>2346</v>
      </c>
      <c r="R47" s="1" t="s">
        <v>2353</v>
      </c>
      <c r="S47" s="1" t="s">
        <v>2354</v>
      </c>
      <c r="T47" s="49">
        <v>34424489.799999997</v>
      </c>
      <c r="U47" s="20">
        <v>932824.49</v>
      </c>
      <c r="V47" s="20">
        <v>0</v>
      </c>
      <c r="W47" s="20">
        <v>753110.2</v>
      </c>
      <c r="X47" s="20">
        <v>14349028.57</v>
      </c>
      <c r="Y47" s="20">
        <v>10875648.98</v>
      </c>
      <c r="Z47" s="20">
        <v>0</v>
      </c>
      <c r="AA47" s="20">
        <v>0</v>
      </c>
      <c r="AB47" s="20">
        <v>0</v>
      </c>
      <c r="AC47" s="20">
        <v>0</v>
      </c>
      <c r="AD47" s="20">
        <v>0</v>
      </c>
      <c r="AE47" s="20">
        <v>0</v>
      </c>
      <c r="AF47" s="20">
        <v>0</v>
      </c>
      <c r="AG47" s="51">
        <f t="shared" si="3"/>
        <v>7513877.5599999949</v>
      </c>
      <c r="AH47" s="20">
        <v>0</v>
      </c>
      <c r="AI47" s="20">
        <v>0</v>
      </c>
      <c r="AJ47" s="20">
        <v>0</v>
      </c>
      <c r="AK47" s="20">
        <f t="shared" si="1"/>
        <v>0</v>
      </c>
      <c r="AL47" s="26">
        <f t="shared" si="2"/>
        <v>0</v>
      </c>
    </row>
    <row r="48" spans="1:38" x14ac:dyDescent="0.3">
      <c r="A48" s="1">
        <v>39</v>
      </c>
      <c r="B48" s="1" t="s">
        <v>114</v>
      </c>
      <c r="C48" s="1" t="s">
        <v>2347</v>
      </c>
      <c r="D48" s="1" t="s">
        <v>2344</v>
      </c>
      <c r="E48" s="1" t="s">
        <v>95</v>
      </c>
      <c r="F48" s="1" t="s">
        <v>2348</v>
      </c>
      <c r="H48" s="1" t="s">
        <v>2407</v>
      </c>
      <c r="I48" s="3" t="s">
        <v>2340</v>
      </c>
      <c r="J48" s="1" t="s">
        <v>2345</v>
      </c>
      <c r="K48" s="1" t="s">
        <v>2408</v>
      </c>
      <c r="L48" s="1" t="s">
        <v>2409</v>
      </c>
      <c r="M48" s="1" t="s">
        <v>2393</v>
      </c>
      <c r="N48" s="1" t="s">
        <v>2394</v>
      </c>
      <c r="O48" s="1" t="s">
        <v>42</v>
      </c>
      <c r="Q48" s="1" t="s">
        <v>2346</v>
      </c>
      <c r="R48" s="1" t="s">
        <v>2353</v>
      </c>
      <c r="S48" s="1" t="s">
        <v>2354</v>
      </c>
      <c r="T48" s="49">
        <v>34424489.799999997</v>
      </c>
      <c r="U48" s="20">
        <v>932824.49</v>
      </c>
      <c r="V48" s="20">
        <v>0</v>
      </c>
      <c r="W48" s="20">
        <v>753110.2</v>
      </c>
      <c r="X48" s="20">
        <v>14349028.57</v>
      </c>
      <c r="Y48" s="20">
        <v>10875648.98</v>
      </c>
      <c r="Z48" s="20">
        <v>0</v>
      </c>
      <c r="AA48" s="20">
        <v>0</v>
      </c>
      <c r="AB48" s="20">
        <v>0</v>
      </c>
      <c r="AC48" s="20">
        <v>0</v>
      </c>
      <c r="AD48" s="20">
        <v>0</v>
      </c>
      <c r="AE48" s="20">
        <v>0</v>
      </c>
      <c r="AF48" s="20">
        <v>0</v>
      </c>
      <c r="AG48" s="51">
        <f t="shared" si="3"/>
        <v>7513877.5599999949</v>
      </c>
      <c r="AH48" s="20">
        <v>0</v>
      </c>
      <c r="AI48" s="20">
        <v>0</v>
      </c>
      <c r="AJ48" s="20">
        <v>0</v>
      </c>
      <c r="AK48" s="20">
        <f t="shared" si="1"/>
        <v>0</v>
      </c>
      <c r="AL48" s="26">
        <f t="shared" si="2"/>
        <v>0</v>
      </c>
    </row>
    <row r="49" spans="1:38" x14ac:dyDescent="0.3">
      <c r="A49" s="1">
        <v>40</v>
      </c>
      <c r="B49" s="1" t="s">
        <v>114</v>
      </c>
      <c r="C49" s="1" t="s">
        <v>2347</v>
      </c>
      <c r="D49" s="1" t="s">
        <v>2344</v>
      </c>
      <c r="E49" s="1" t="s">
        <v>95</v>
      </c>
      <c r="F49" s="1" t="s">
        <v>2348</v>
      </c>
      <c r="I49" s="3" t="s">
        <v>2340</v>
      </c>
      <c r="J49" s="1" t="s">
        <v>2345</v>
      </c>
      <c r="K49" s="1" t="s">
        <v>2410</v>
      </c>
      <c r="L49" s="1" t="s">
        <v>2350</v>
      </c>
      <c r="M49" s="1" t="s">
        <v>2393</v>
      </c>
      <c r="N49" s="1" t="s">
        <v>2394</v>
      </c>
      <c r="O49" s="1" t="s">
        <v>42</v>
      </c>
      <c r="Q49" s="1" t="s">
        <v>2346</v>
      </c>
      <c r="R49" s="1" t="s">
        <v>2353</v>
      </c>
      <c r="S49" s="1" t="s">
        <v>2354</v>
      </c>
      <c r="T49" s="49">
        <v>34424489.799999997</v>
      </c>
      <c r="U49" s="20">
        <v>932824.49</v>
      </c>
      <c r="V49" s="20">
        <v>0</v>
      </c>
      <c r="W49" s="20">
        <v>753110.2</v>
      </c>
      <c r="X49" s="20">
        <v>14349028.57</v>
      </c>
      <c r="Y49" s="20">
        <v>10875648.98</v>
      </c>
      <c r="Z49" s="20">
        <v>0</v>
      </c>
      <c r="AA49" s="20">
        <v>0</v>
      </c>
      <c r="AB49" s="20">
        <v>0</v>
      </c>
      <c r="AC49" s="20">
        <v>0</v>
      </c>
      <c r="AD49" s="20">
        <v>0</v>
      </c>
      <c r="AE49" s="20">
        <v>0</v>
      </c>
      <c r="AF49" s="20">
        <v>0</v>
      </c>
      <c r="AG49" s="51">
        <f t="shared" si="3"/>
        <v>7513877.5599999949</v>
      </c>
      <c r="AH49" s="20">
        <v>0</v>
      </c>
      <c r="AI49" s="20">
        <v>0</v>
      </c>
      <c r="AJ49" s="20">
        <v>0</v>
      </c>
      <c r="AK49" s="20">
        <f t="shared" si="1"/>
        <v>0</v>
      </c>
      <c r="AL49" s="26">
        <f t="shared" si="2"/>
        <v>0</v>
      </c>
    </row>
    <row r="50" spans="1:38" x14ac:dyDescent="0.3">
      <c r="A50" s="1">
        <v>41</v>
      </c>
      <c r="B50" s="1" t="s">
        <v>114</v>
      </c>
      <c r="C50" s="1" t="s">
        <v>2347</v>
      </c>
      <c r="D50" s="1" t="s">
        <v>2344</v>
      </c>
      <c r="E50" s="1" t="s">
        <v>95</v>
      </c>
      <c r="F50" s="1" t="s">
        <v>2348</v>
      </c>
      <c r="H50" s="1">
        <v>3891</v>
      </c>
      <c r="I50" s="3" t="s">
        <v>2340</v>
      </c>
      <c r="J50" s="1" t="s">
        <v>2345</v>
      </c>
      <c r="K50" s="1" t="s">
        <v>2411</v>
      </c>
      <c r="L50" s="1" t="s">
        <v>2350</v>
      </c>
      <c r="M50" s="1" t="s">
        <v>2393</v>
      </c>
      <c r="N50" s="1" t="s">
        <v>2394</v>
      </c>
      <c r="O50" s="1" t="s">
        <v>42</v>
      </c>
      <c r="Q50" s="1" t="s">
        <v>2346</v>
      </c>
      <c r="R50" s="1" t="s">
        <v>2353</v>
      </c>
      <c r="S50" s="1" t="s">
        <v>2354</v>
      </c>
      <c r="T50" s="49">
        <v>34424489.799999997</v>
      </c>
      <c r="U50" s="20">
        <v>932824.49</v>
      </c>
      <c r="V50" s="20">
        <v>0</v>
      </c>
      <c r="W50" s="20">
        <v>753110.2</v>
      </c>
      <c r="X50" s="20">
        <v>14349028.57</v>
      </c>
      <c r="Y50" s="20">
        <v>10875648.98</v>
      </c>
      <c r="Z50" s="20">
        <v>0</v>
      </c>
      <c r="AA50" s="20">
        <v>0</v>
      </c>
      <c r="AB50" s="20">
        <v>0</v>
      </c>
      <c r="AC50" s="20">
        <v>0</v>
      </c>
      <c r="AD50" s="20">
        <v>0</v>
      </c>
      <c r="AE50" s="20">
        <v>0</v>
      </c>
      <c r="AF50" s="20">
        <v>0</v>
      </c>
      <c r="AG50" s="51">
        <f t="shared" si="3"/>
        <v>7513877.5599999949</v>
      </c>
      <c r="AH50" s="20">
        <v>0</v>
      </c>
      <c r="AI50" s="20">
        <v>0</v>
      </c>
      <c r="AJ50" s="20">
        <v>0</v>
      </c>
      <c r="AK50" s="20">
        <f t="shared" si="1"/>
        <v>0</v>
      </c>
      <c r="AL50" s="26">
        <f t="shared" si="2"/>
        <v>0</v>
      </c>
    </row>
    <row r="51" spans="1:38" x14ac:dyDescent="0.3">
      <c r="A51" s="1">
        <v>42</v>
      </c>
      <c r="B51" s="1" t="s">
        <v>114</v>
      </c>
      <c r="C51" s="1" t="s">
        <v>2347</v>
      </c>
      <c r="D51" s="1" t="s">
        <v>2344</v>
      </c>
      <c r="E51" s="1" t="s">
        <v>95</v>
      </c>
      <c r="F51" s="1" t="s">
        <v>2348</v>
      </c>
      <c r="H51" s="1">
        <v>8890</v>
      </c>
      <c r="I51" s="3" t="s">
        <v>2340</v>
      </c>
      <c r="J51" s="1" t="s">
        <v>2345</v>
      </c>
      <c r="K51" s="1" t="s">
        <v>2412</v>
      </c>
      <c r="L51" s="1" t="s">
        <v>2350</v>
      </c>
      <c r="M51" s="1" t="s">
        <v>2393</v>
      </c>
      <c r="N51" s="1" t="s">
        <v>2394</v>
      </c>
      <c r="O51" s="1" t="s">
        <v>42</v>
      </c>
      <c r="Q51" s="1" t="s">
        <v>2346</v>
      </c>
      <c r="R51" s="1" t="s">
        <v>2353</v>
      </c>
      <c r="S51" s="1" t="s">
        <v>2354</v>
      </c>
      <c r="T51" s="49">
        <v>34424489.799999997</v>
      </c>
      <c r="U51" s="20">
        <v>932824.49</v>
      </c>
      <c r="V51" s="20">
        <v>0</v>
      </c>
      <c r="W51" s="20">
        <v>753110.2</v>
      </c>
      <c r="X51" s="20">
        <v>14349028.57</v>
      </c>
      <c r="Y51" s="20">
        <v>10875648.98</v>
      </c>
      <c r="Z51" s="20">
        <v>0</v>
      </c>
      <c r="AA51" s="20">
        <v>0</v>
      </c>
      <c r="AB51" s="20">
        <v>0</v>
      </c>
      <c r="AC51" s="20">
        <v>0</v>
      </c>
      <c r="AD51" s="20">
        <v>0</v>
      </c>
      <c r="AE51" s="20">
        <v>0</v>
      </c>
      <c r="AF51" s="20">
        <v>0</v>
      </c>
      <c r="AG51" s="51">
        <f t="shared" si="3"/>
        <v>7513877.5599999949</v>
      </c>
      <c r="AH51" s="20">
        <v>0</v>
      </c>
      <c r="AI51" s="20">
        <v>0</v>
      </c>
      <c r="AJ51" s="20">
        <v>0</v>
      </c>
      <c r="AK51" s="20">
        <f t="shared" si="1"/>
        <v>0</v>
      </c>
      <c r="AL51" s="26">
        <f t="shared" si="2"/>
        <v>0</v>
      </c>
    </row>
    <row r="52" spans="1:38" x14ac:dyDescent="0.3">
      <c r="A52" s="1">
        <v>43</v>
      </c>
      <c r="B52" s="1" t="s">
        <v>114</v>
      </c>
      <c r="C52" s="1" t="s">
        <v>2347</v>
      </c>
      <c r="D52" s="1" t="s">
        <v>2344</v>
      </c>
      <c r="E52" s="1" t="s">
        <v>95</v>
      </c>
      <c r="F52" s="1" t="s">
        <v>2348</v>
      </c>
      <c r="H52" s="1">
        <v>4431</v>
      </c>
      <c r="I52" s="3" t="s">
        <v>2340</v>
      </c>
      <c r="J52" s="1" t="s">
        <v>2345</v>
      </c>
      <c r="K52" s="1" t="s">
        <v>2413</v>
      </c>
      <c r="L52" s="1" t="s">
        <v>2350</v>
      </c>
      <c r="M52" s="1" t="s">
        <v>2393</v>
      </c>
      <c r="N52" s="1" t="s">
        <v>2394</v>
      </c>
      <c r="O52" s="1" t="s">
        <v>42</v>
      </c>
      <c r="Q52" s="1" t="s">
        <v>2346</v>
      </c>
      <c r="R52" s="1" t="s">
        <v>2353</v>
      </c>
      <c r="S52" s="1" t="s">
        <v>2354</v>
      </c>
      <c r="T52" s="49">
        <v>34424489.799999997</v>
      </c>
      <c r="U52" s="20">
        <v>932824.49</v>
      </c>
      <c r="V52" s="20">
        <v>0</v>
      </c>
      <c r="W52" s="20">
        <v>753110.2</v>
      </c>
      <c r="X52" s="20">
        <v>14349028.57</v>
      </c>
      <c r="Y52" s="20">
        <v>10875648.98</v>
      </c>
      <c r="Z52" s="20">
        <v>0</v>
      </c>
      <c r="AA52" s="20">
        <v>0</v>
      </c>
      <c r="AB52" s="20">
        <v>0</v>
      </c>
      <c r="AC52" s="20">
        <v>0</v>
      </c>
      <c r="AD52" s="20">
        <v>0</v>
      </c>
      <c r="AE52" s="20">
        <v>0</v>
      </c>
      <c r="AF52" s="20">
        <v>0</v>
      </c>
      <c r="AG52" s="51">
        <f t="shared" si="3"/>
        <v>7513877.5599999949</v>
      </c>
      <c r="AH52" s="20">
        <v>0</v>
      </c>
      <c r="AI52" s="20">
        <v>0</v>
      </c>
      <c r="AJ52" s="20">
        <v>0</v>
      </c>
      <c r="AK52" s="20">
        <f t="shared" si="1"/>
        <v>0</v>
      </c>
      <c r="AL52" s="26">
        <f t="shared" si="2"/>
        <v>0</v>
      </c>
    </row>
    <row r="53" spans="1:38" x14ac:dyDescent="0.3">
      <c r="A53" s="1">
        <v>44</v>
      </c>
      <c r="B53" s="1" t="s">
        <v>114</v>
      </c>
      <c r="C53" s="1" t="s">
        <v>2347</v>
      </c>
      <c r="D53" s="1" t="s">
        <v>2344</v>
      </c>
      <c r="E53" s="1" t="s">
        <v>95</v>
      </c>
      <c r="F53" s="1" t="s">
        <v>2348</v>
      </c>
      <c r="H53" s="1" t="s">
        <v>2414</v>
      </c>
      <c r="I53" s="3" t="s">
        <v>2340</v>
      </c>
      <c r="J53" s="1" t="s">
        <v>2345</v>
      </c>
      <c r="K53" s="1" t="s">
        <v>2415</v>
      </c>
      <c r="L53" s="1" t="s">
        <v>2416</v>
      </c>
      <c r="M53" s="1" t="s">
        <v>2393</v>
      </c>
      <c r="N53" s="1" t="s">
        <v>2394</v>
      </c>
      <c r="O53" s="1" t="s">
        <v>42</v>
      </c>
      <c r="Q53" s="1" t="s">
        <v>2346</v>
      </c>
      <c r="R53" s="1" t="s">
        <v>2353</v>
      </c>
      <c r="S53" s="1" t="s">
        <v>2354</v>
      </c>
      <c r="T53" s="49">
        <v>34424489.799999997</v>
      </c>
      <c r="U53" s="20">
        <v>932824.49</v>
      </c>
      <c r="V53" s="20">
        <v>0</v>
      </c>
      <c r="W53" s="20">
        <v>753110.2</v>
      </c>
      <c r="X53" s="20">
        <v>14349028.57</v>
      </c>
      <c r="Y53" s="20">
        <v>10875648.98</v>
      </c>
      <c r="Z53" s="20">
        <v>0</v>
      </c>
      <c r="AA53" s="20">
        <v>0</v>
      </c>
      <c r="AB53" s="20">
        <v>0</v>
      </c>
      <c r="AC53" s="20">
        <v>0</v>
      </c>
      <c r="AD53" s="20">
        <v>0</v>
      </c>
      <c r="AE53" s="20">
        <v>0</v>
      </c>
      <c r="AF53" s="20">
        <v>0</v>
      </c>
      <c r="AG53" s="51">
        <f t="shared" si="3"/>
        <v>7513877.5599999949</v>
      </c>
      <c r="AH53" s="20">
        <v>0</v>
      </c>
      <c r="AI53" s="20">
        <v>0</v>
      </c>
      <c r="AJ53" s="20">
        <v>0</v>
      </c>
      <c r="AK53" s="20">
        <f t="shared" si="1"/>
        <v>0</v>
      </c>
      <c r="AL53" s="26">
        <f t="shared" si="2"/>
        <v>0</v>
      </c>
    </row>
    <row r="54" spans="1:38" x14ac:dyDescent="0.3">
      <c r="A54" s="1">
        <v>45</v>
      </c>
      <c r="B54" s="1" t="s">
        <v>114</v>
      </c>
      <c r="C54" s="1" t="s">
        <v>2347</v>
      </c>
      <c r="D54" s="1" t="s">
        <v>2344</v>
      </c>
      <c r="E54" s="1" t="s">
        <v>95</v>
      </c>
      <c r="F54" s="1" t="s">
        <v>2348</v>
      </c>
      <c r="H54" s="1">
        <v>30067</v>
      </c>
      <c r="I54" s="3" t="s">
        <v>2340</v>
      </c>
      <c r="J54" s="1" t="s">
        <v>2345</v>
      </c>
      <c r="K54" s="1" t="s">
        <v>2417</v>
      </c>
      <c r="L54" s="1" t="s">
        <v>2350</v>
      </c>
      <c r="M54" s="1" t="s">
        <v>2393</v>
      </c>
      <c r="N54" s="1" t="s">
        <v>2394</v>
      </c>
      <c r="O54" s="1" t="s">
        <v>42</v>
      </c>
      <c r="Q54" s="1" t="s">
        <v>2346</v>
      </c>
      <c r="R54" s="1" t="s">
        <v>2353</v>
      </c>
      <c r="S54" s="1" t="s">
        <v>2354</v>
      </c>
      <c r="T54" s="49">
        <v>34424489.799999997</v>
      </c>
      <c r="U54" s="20">
        <v>932824.49</v>
      </c>
      <c r="V54" s="20">
        <v>0</v>
      </c>
      <c r="W54" s="20">
        <v>753110.2</v>
      </c>
      <c r="X54" s="20">
        <v>14349028.57</v>
      </c>
      <c r="Y54" s="20">
        <v>10875648.98</v>
      </c>
      <c r="Z54" s="20">
        <v>0</v>
      </c>
      <c r="AA54" s="20">
        <v>0</v>
      </c>
      <c r="AB54" s="20">
        <v>0</v>
      </c>
      <c r="AC54" s="20">
        <v>0</v>
      </c>
      <c r="AD54" s="20">
        <v>0</v>
      </c>
      <c r="AE54" s="20">
        <v>0</v>
      </c>
      <c r="AF54" s="20">
        <v>0</v>
      </c>
      <c r="AG54" s="51">
        <f t="shared" si="3"/>
        <v>7513877.5599999949</v>
      </c>
      <c r="AH54" s="20">
        <v>0</v>
      </c>
      <c r="AI54" s="20">
        <v>0</v>
      </c>
      <c r="AJ54" s="20">
        <v>0</v>
      </c>
      <c r="AK54" s="20">
        <f t="shared" si="1"/>
        <v>0</v>
      </c>
      <c r="AL54" s="26">
        <f t="shared" si="2"/>
        <v>0</v>
      </c>
    </row>
    <row r="55" spans="1:38" x14ac:dyDescent="0.3">
      <c r="A55" s="1">
        <v>46</v>
      </c>
      <c r="B55" s="1" t="s">
        <v>114</v>
      </c>
      <c r="C55" s="1" t="s">
        <v>2347</v>
      </c>
      <c r="D55" s="1" t="s">
        <v>2344</v>
      </c>
      <c r="E55" s="1" t="s">
        <v>95</v>
      </c>
      <c r="F55" s="1" t="s">
        <v>2348</v>
      </c>
      <c r="H55" s="1">
        <v>10073</v>
      </c>
      <c r="I55" s="3" t="s">
        <v>2340</v>
      </c>
      <c r="J55" s="1" t="s">
        <v>2345</v>
      </c>
      <c r="K55" s="1" t="s">
        <v>2418</v>
      </c>
      <c r="L55" s="1" t="s">
        <v>2350</v>
      </c>
      <c r="M55" s="1" t="s">
        <v>2393</v>
      </c>
      <c r="N55" s="1" t="s">
        <v>2394</v>
      </c>
      <c r="O55" s="1" t="s">
        <v>42</v>
      </c>
      <c r="Q55" s="1" t="s">
        <v>2346</v>
      </c>
      <c r="R55" s="1" t="s">
        <v>2353</v>
      </c>
      <c r="S55" s="1" t="s">
        <v>2354</v>
      </c>
      <c r="T55" s="49">
        <v>34424489.799999997</v>
      </c>
      <c r="U55" s="20">
        <v>932824.49</v>
      </c>
      <c r="V55" s="20">
        <v>0</v>
      </c>
      <c r="W55" s="20">
        <v>753110.2</v>
      </c>
      <c r="X55" s="20">
        <v>14349028.57</v>
      </c>
      <c r="Y55" s="20">
        <v>10875648.98</v>
      </c>
      <c r="Z55" s="20">
        <v>0</v>
      </c>
      <c r="AA55" s="20">
        <v>0</v>
      </c>
      <c r="AB55" s="20">
        <v>0</v>
      </c>
      <c r="AC55" s="20">
        <v>0</v>
      </c>
      <c r="AD55" s="20">
        <v>0</v>
      </c>
      <c r="AE55" s="20">
        <v>0</v>
      </c>
      <c r="AF55" s="20">
        <v>0</v>
      </c>
      <c r="AG55" s="51">
        <f t="shared" si="3"/>
        <v>7513877.5599999949</v>
      </c>
      <c r="AH55" s="20">
        <v>0</v>
      </c>
      <c r="AI55" s="20">
        <v>0</v>
      </c>
      <c r="AJ55" s="20">
        <v>0</v>
      </c>
      <c r="AK55" s="20">
        <f t="shared" si="1"/>
        <v>0</v>
      </c>
      <c r="AL55" s="26">
        <f t="shared" si="2"/>
        <v>0</v>
      </c>
    </row>
    <row r="56" spans="1:38" x14ac:dyDescent="0.3">
      <c r="A56" s="1">
        <v>47</v>
      </c>
      <c r="B56" s="1" t="s">
        <v>114</v>
      </c>
      <c r="C56" s="1" t="s">
        <v>2347</v>
      </c>
      <c r="D56" s="1" t="s">
        <v>2344</v>
      </c>
      <c r="E56" s="1" t="s">
        <v>95</v>
      </c>
      <c r="F56" s="1" t="s">
        <v>2348</v>
      </c>
      <c r="H56" s="1">
        <v>4221</v>
      </c>
      <c r="I56" s="3" t="s">
        <v>2340</v>
      </c>
      <c r="J56" s="1" t="s">
        <v>2345</v>
      </c>
      <c r="K56" s="1" t="s">
        <v>2419</v>
      </c>
      <c r="L56" s="1" t="s">
        <v>2350</v>
      </c>
      <c r="M56" s="1" t="s">
        <v>2393</v>
      </c>
      <c r="N56" s="1" t="s">
        <v>2394</v>
      </c>
      <c r="O56" s="1" t="s">
        <v>42</v>
      </c>
      <c r="Q56" s="1" t="s">
        <v>2346</v>
      </c>
      <c r="R56" s="1" t="s">
        <v>2353</v>
      </c>
      <c r="S56" s="1" t="s">
        <v>2354</v>
      </c>
      <c r="T56" s="49">
        <v>34424489.799999997</v>
      </c>
      <c r="U56" s="20">
        <v>932824.49</v>
      </c>
      <c r="V56" s="20">
        <v>0</v>
      </c>
      <c r="W56" s="20">
        <v>753110.2</v>
      </c>
      <c r="X56" s="20">
        <v>14349028.57</v>
      </c>
      <c r="Y56" s="20">
        <v>10875648.98</v>
      </c>
      <c r="Z56" s="20">
        <v>0</v>
      </c>
      <c r="AA56" s="20">
        <v>0</v>
      </c>
      <c r="AB56" s="20">
        <v>0</v>
      </c>
      <c r="AC56" s="20">
        <v>0</v>
      </c>
      <c r="AD56" s="20">
        <v>0</v>
      </c>
      <c r="AE56" s="20">
        <v>0</v>
      </c>
      <c r="AF56" s="20">
        <v>0</v>
      </c>
      <c r="AG56" s="51">
        <f t="shared" si="3"/>
        <v>7513877.5599999949</v>
      </c>
      <c r="AH56" s="20">
        <v>0</v>
      </c>
      <c r="AI56" s="20">
        <v>0</v>
      </c>
      <c r="AJ56" s="20">
        <v>0</v>
      </c>
      <c r="AK56" s="20">
        <f t="shared" si="1"/>
        <v>0</v>
      </c>
      <c r="AL56" s="26">
        <f t="shared" si="2"/>
        <v>0</v>
      </c>
    </row>
    <row r="57" spans="1:38" x14ac:dyDescent="0.3">
      <c r="A57" s="1">
        <v>48</v>
      </c>
      <c r="B57" s="1" t="s">
        <v>114</v>
      </c>
      <c r="C57" s="1" t="s">
        <v>2347</v>
      </c>
      <c r="D57" s="1" t="s">
        <v>2344</v>
      </c>
      <c r="E57" s="1" t="s">
        <v>95</v>
      </c>
      <c r="F57" s="1" t="s">
        <v>2348</v>
      </c>
      <c r="H57" s="1" t="s">
        <v>2420</v>
      </c>
      <c r="I57" s="3" t="s">
        <v>2340</v>
      </c>
      <c r="J57" s="1" t="s">
        <v>2345</v>
      </c>
      <c r="K57" s="1" t="s">
        <v>2421</v>
      </c>
      <c r="L57" s="1" t="s">
        <v>2422</v>
      </c>
      <c r="M57" s="1" t="s">
        <v>2393</v>
      </c>
      <c r="N57" s="1" t="s">
        <v>2394</v>
      </c>
      <c r="O57" s="1" t="s">
        <v>42</v>
      </c>
      <c r="Q57" s="1" t="s">
        <v>2346</v>
      </c>
      <c r="R57" s="1" t="s">
        <v>2353</v>
      </c>
      <c r="S57" s="1" t="s">
        <v>2354</v>
      </c>
      <c r="T57" s="49">
        <v>34424489.799999997</v>
      </c>
      <c r="U57" s="20">
        <v>932824.49</v>
      </c>
      <c r="V57" s="20">
        <v>0</v>
      </c>
      <c r="W57" s="20">
        <v>753110.2</v>
      </c>
      <c r="X57" s="20">
        <v>14349028.57</v>
      </c>
      <c r="Y57" s="20">
        <v>10875648.98</v>
      </c>
      <c r="Z57" s="20">
        <v>0</v>
      </c>
      <c r="AA57" s="20">
        <v>0</v>
      </c>
      <c r="AB57" s="20">
        <v>0</v>
      </c>
      <c r="AC57" s="20">
        <v>0</v>
      </c>
      <c r="AD57" s="20">
        <v>0</v>
      </c>
      <c r="AE57" s="20">
        <v>0</v>
      </c>
      <c r="AF57" s="20">
        <v>0</v>
      </c>
      <c r="AG57" s="51">
        <f t="shared" si="3"/>
        <v>7513877.5599999949</v>
      </c>
      <c r="AH57" s="20">
        <v>0</v>
      </c>
      <c r="AI57" s="20">
        <v>0</v>
      </c>
      <c r="AJ57" s="20">
        <v>0</v>
      </c>
      <c r="AK57" s="20">
        <f t="shared" si="1"/>
        <v>0</v>
      </c>
      <c r="AL57" s="26">
        <f t="shared" si="2"/>
        <v>0</v>
      </c>
    </row>
    <row r="58" spans="1:38" x14ac:dyDescent="0.3">
      <c r="A58" s="1">
        <v>49</v>
      </c>
      <c r="B58" s="1" t="s">
        <v>114</v>
      </c>
      <c r="C58" s="1" t="s">
        <v>2347</v>
      </c>
      <c r="D58" s="1" t="s">
        <v>2344</v>
      </c>
      <c r="E58" s="1" t="s">
        <v>95</v>
      </c>
      <c r="F58" s="1" t="s">
        <v>2348</v>
      </c>
      <c r="H58" s="1">
        <v>5311</v>
      </c>
      <c r="I58" s="3" t="s">
        <v>2340</v>
      </c>
      <c r="J58" s="1" t="s">
        <v>2345</v>
      </c>
      <c r="K58" s="1" t="s">
        <v>2423</v>
      </c>
      <c r="L58" s="1" t="s">
        <v>2350</v>
      </c>
      <c r="M58" s="1" t="s">
        <v>2393</v>
      </c>
      <c r="N58" s="1" t="s">
        <v>2394</v>
      </c>
      <c r="O58" s="1" t="s">
        <v>42</v>
      </c>
      <c r="Q58" s="1" t="s">
        <v>2346</v>
      </c>
      <c r="R58" s="1" t="s">
        <v>2353</v>
      </c>
      <c r="S58" s="1" t="s">
        <v>2354</v>
      </c>
      <c r="T58" s="49">
        <v>34424489.799999997</v>
      </c>
      <c r="U58" s="20">
        <v>932824.49</v>
      </c>
      <c r="V58" s="20">
        <v>0</v>
      </c>
      <c r="W58" s="20">
        <v>753110.2</v>
      </c>
      <c r="X58" s="20">
        <v>14349028.57</v>
      </c>
      <c r="Y58" s="20">
        <v>10875648.98</v>
      </c>
      <c r="Z58" s="20">
        <v>0</v>
      </c>
      <c r="AA58" s="20">
        <v>0</v>
      </c>
      <c r="AB58" s="20">
        <v>0</v>
      </c>
      <c r="AC58" s="20">
        <v>0</v>
      </c>
      <c r="AD58" s="20">
        <v>0</v>
      </c>
      <c r="AE58" s="20">
        <v>0</v>
      </c>
      <c r="AF58" s="20">
        <v>0</v>
      </c>
      <c r="AG58" s="51">
        <f t="shared" si="3"/>
        <v>7513877.5599999949</v>
      </c>
      <c r="AH58" s="20">
        <v>0</v>
      </c>
      <c r="AI58" s="20">
        <v>0</v>
      </c>
      <c r="AJ58" s="20">
        <v>0</v>
      </c>
      <c r="AK58" s="20">
        <f t="shared" si="1"/>
        <v>0</v>
      </c>
      <c r="AL58" s="26">
        <f t="shared" si="2"/>
        <v>0</v>
      </c>
    </row>
    <row r="59" spans="1:38" x14ac:dyDescent="0.3">
      <c r="A59" s="1">
        <v>50</v>
      </c>
      <c r="B59" s="1" t="s">
        <v>114</v>
      </c>
      <c r="C59" s="1" t="s">
        <v>2347</v>
      </c>
      <c r="D59" s="1" t="s">
        <v>2344</v>
      </c>
      <c r="E59" s="1" t="s">
        <v>95</v>
      </c>
      <c r="F59" s="1" t="s">
        <v>2348</v>
      </c>
      <c r="H59" s="1" t="s">
        <v>2424</v>
      </c>
      <c r="I59" s="3" t="s">
        <v>2340</v>
      </c>
      <c r="J59" s="1" t="s">
        <v>2345</v>
      </c>
      <c r="K59" s="1" t="s">
        <v>2425</v>
      </c>
      <c r="L59" s="1" t="s">
        <v>2426</v>
      </c>
      <c r="M59" s="1" t="s">
        <v>2393</v>
      </c>
      <c r="N59" s="1" t="s">
        <v>2394</v>
      </c>
      <c r="O59" s="1" t="s">
        <v>42</v>
      </c>
      <c r="Q59" s="1" t="s">
        <v>2346</v>
      </c>
      <c r="R59" s="1" t="s">
        <v>2353</v>
      </c>
      <c r="S59" s="1" t="s">
        <v>2354</v>
      </c>
      <c r="T59" s="49">
        <v>34424489.799999997</v>
      </c>
      <c r="U59" s="20">
        <v>932824.49</v>
      </c>
      <c r="V59" s="20">
        <v>0</v>
      </c>
      <c r="W59" s="20">
        <v>753110.2</v>
      </c>
      <c r="X59" s="20">
        <v>14349028.57</v>
      </c>
      <c r="Y59" s="20">
        <v>10875648.98</v>
      </c>
      <c r="Z59" s="20">
        <v>0</v>
      </c>
      <c r="AA59" s="20">
        <v>0</v>
      </c>
      <c r="AB59" s="20">
        <v>0</v>
      </c>
      <c r="AC59" s="20">
        <v>0</v>
      </c>
      <c r="AD59" s="20">
        <v>0</v>
      </c>
      <c r="AE59" s="20">
        <v>0</v>
      </c>
      <c r="AF59" s="20">
        <v>0</v>
      </c>
      <c r="AG59" s="51">
        <f t="shared" si="3"/>
        <v>7513877.5599999949</v>
      </c>
      <c r="AH59" s="20">
        <v>0</v>
      </c>
      <c r="AI59" s="20">
        <v>0</v>
      </c>
      <c r="AJ59" s="20">
        <v>0</v>
      </c>
      <c r="AK59" s="20">
        <f t="shared" si="1"/>
        <v>0</v>
      </c>
      <c r="AL59" s="26">
        <f t="shared" si="2"/>
        <v>0</v>
      </c>
    </row>
    <row r="60" spans="1:38" x14ac:dyDescent="0.3">
      <c r="A60" s="1">
        <v>51</v>
      </c>
      <c r="B60" s="1" t="s">
        <v>114</v>
      </c>
      <c r="C60" s="1" t="s">
        <v>2347</v>
      </c>
      <c r="D60" s="1" t="s">
        <v>2344</v>
      </c>
      <c r="E60" s="1" t="s">
        <v>95</v>
      </c>
      <c r="F60" s="1" t="s">
        <v>2348</v>
      </c>
      <c r="H60" s="1" t="s">
        <v>2427</v>
      </c>
      <c r="I60" s="3" t="s">
        <v>2340</v>
      </c>
      <c r="J60" s="1" t="s">
        <v>2345</v>
      </c>
      <c r="K60" s="1" t="s">
        <v>2428</v>
      </c>
      <c r="L60" s="1" t="s">
        <v>2429</v>
      </c>
      <c r="M60" s="1" t="s">
        <v>2393</v>
      </c>
      <c r="N60" s="1" t="s">
        <v>2394</v>
      </c>
      <c r="O60" s="1" t="s">
        <v>42</v>
      </c>
      <c r="Q60" s="1" t="s">
        <v>2346</v>
      </c>
      <c r="R60" s="1" t="s">
        <v>2353</v>
      </c>
      <c r="S60" s="1" t="s">
        <v>2354</v>
      </c>
      <c r="T60" s="49">
        <v>34424489.799999997</v>
      </c>
      <c r="U60" s="20">
        <v>932824.49</v>
      </c>
      <c r="V60" s="20">
        <v>0</v>
      </c>
      <c r="W60" s="20">
        <v>753110.2</v>
      </c>
      <c r="X60" s="20">
        <v>14349028.57</v>
      </c>
      <c r="Y60" s="20">
        <v>10875648.98</v>
      </c>
      <c r="Z60" s="20">
        <v>0</v>
      </c>
      <c r="AA60" s="20">
        <v>0</v>
      </c>
      <c r="AB60" s="20">
        <v>0</v>
      </c>
      <c r="AC60" s="20">
        <v>0</v>
      </c>
      <c r="AD60" s="20">
        <v>0</v>
      </c>
      <c r="AE60" s="20">
        <v>0</v>
      </c>
      <c r="AF60" s="20">
        <v>0</v>
      </c>
      <c r="AG60" s="51">
        <f t="shared" si="3"/>
        <v>7513877.5599999949</v>
      </c>
      <c r="AH60" s="20">
        <v>0</v>
      </c>
      <c r="AI60" s="20">
        <v>0</v>
      </c>
      <c r="AJ60" s="20">
        <v>0</v>
      </c>
      <c r="AK60" s="20">
        <f t="shared" si="1"/>
        <v>0</v>
      </c>
      <c r="AL60" s="26">
        <f t="shared" si="2"/>
        <v>0</v>
      </c>
    </row>
    <row r="61" spans="1:38" x14ac:dyDescent="0.3">
      <c r="A61" s="1">
        <v>52</v>
      </c>
      <c r="B61" s="1" t="s">
        <v>114</v>
      </c>
      <c r="C61" s="1" t="s">
        <v>2347</v>
      </c>
      <c r="D61" s="1" t="s">
        <v>2344</v>
      </c>
      <c r="E61" s="1" t="s">
        <v>95</v>
      </c>
      <c r="F61" s="1" t="s">
        <v>2348</v>
      </c>
      <c r="H61" s="1">
        <v>5039</v>
      </c>
      <c r="I61" s="3" t="s">
        <v>2340</v>
      </c>
      <c r="J61" s="1" t="s">
        <v>2345</v>
      </c>
      <c r="K61" s="1" t="s">
        <v>2430</v>
      </c>
      <c r="L61" s="1" t="s">
        <v>2350</v>
      </c>
      <c r="M61" s="1" t="s">
        <v>2393</v>
      </c>
      <c r="N61" s="1" t="s">
        <v>2394</v>
      </c>
      <c r="O61" s="1" t="s">
        <v>42</v>
      </c>
      <c r="Q61" s="1" t="s">
        <v>2346</v>
      </c>
      <c r="R61" s="1" t="s">
        <v>2353</v>
      </c>
      <c r="S61" s="1" t="s">
        <v>2354</v>
      </c>
      <c r="T61" s="49">
        <v>34424489.799999997</v>
      </c>
      <c r="U61" s="20">
        <v>932824.49</v>
      </c>
      <c r="V61" s="20">
        <v>0</v>
      </c>
      <c r="W61" s="20">
        <v>753110.2</v>
      </c>
      <c r="X61" s="20">
        <v>14349028.57</v>
      </c>
      <c r="Y61" s="20">
        <v>10875648.98</v>
      </c>
      <c r="Z61" s="20">
        <v>0</v>
      </c>
      <c r="AA61" s="20">
        <v>0</v>
      </c>
      <c r="AB61" s="20">
        <v>0</v>
      </c>
      <c r="AC61" s="20">
        <v>0</v>
      </c>
      <c r="AD61" s="20">
        <v>0</v>
      </c>
      <c r="AE61" s="20">
        <v>0</v>
      </c>
      <c r="AF61" s="20">
        <v>0</v>
      </c>
      <c r="AG61" s="51">
        <f t="shared" si="3"/>
        <v>7513877.5599999949</v>
      </c>
      <c r="AH61" s="20">
        <v>0</v>
      </c>
      <c r="AI61" s="20">
        <v>0</v>
      </c>
      <c r="AJ61" s="20">
        <v>0</v>
      </c>
      <c r="AK61" s="20">
        <f t="shared" ref="AK61:AK124" si="4">IFERROR(SUM(AH61:AJ61)/COUNTIFS(AH61:AJ61,"&lt;&gt;0"),0)</f>
        <v>0</v>
      </c>
      <c r="AL61" s="26">
        <f t="shared" ref="AL61:AL124" si="5">IFERROR((T61/AK61)-100%,0)</f>
        <v>0</v>
      </c>
    </row>
    <row r="62" spans="1:38" x14ac:dyDescent="0.3">
      <c r="A62" s="1">
        <v>53</v>
      </c>
      <c r="B62" s="1" t="s">
        <v>114</v>
      </c>
      <c r="C62" s="1" t="s">
        <v>2347</v>
      </c>
      <c r="D62" s="1" t="s">
        <v>2344</v>
      </c>
      <c r="F62" s="1" t="s">
        <v>2375</v>
      </c>
      <c r="H62" s="1" t="s">
        <v>2431</v>
      </c>
      <c r="I62" s="3" t="s">
        <v>30</v>
      </c>
      <c r="J62" s="1" t="s">
        <v>2345</v>
      </c>
      <c r="K62" s="1" t="s">
        <v>2432</v>
      </c>
      <c r="L62" s="1" t="s">
        <v>2432</v>
      </c>
      <c r="M62" s="1" t="s">
        <v>2393</v>
      </c>
      <c r="N62" s="1" t="s">
        <v>2394</v>
      </c>
      <c r="O62" s="1" t="s">
        <v>42</v>
      </c>
      <c r="Q62" s="1" t="s">
        <v>2346</v>
      </c>
      <c r="R62" s="1" t="s">
        <v>2353</v>
      </c>
      <c r="S62" s="1" t="s">
        <v>2354</v>
      </c>
      <c r="T62" s="49">
        <v>5870129.8700000001</v>
      </c>
      <c r="U62" s="20">
        <v>0</v>
      </c>
      <c r="V62" s="20">
        <v>0</v>
      </c>
      <c r="W62" s="20">
        <v>0</v>
      </c>
      <c r="X62" s="20">
        <v>0</v>
      </c>
      <c r="Y62" s="20">
        <v>0</v>
      </c>
      <c r="Z62" s="20">
        <v>703796.1872388511</v>
      </c>
      <c r="AA62" s="20">
        <v>1092628.51</v>
      </c>
      <c r="AB62" s="20">
        <v>93801.72</v>
      </c>
      <c r="AC62" s="20">
        <v>1847140.45</v>
      </c>
      <c r="AD62" s="20">
        <v>1806451.81</v>
      </c>
      <c r="AE62" s="20">
        <v>0</v>
      </c>
      <c r="AF62" s="20">
        <v>0</v>
      </c>
      <c r="AG62" s="51">
        <f t="shared" si="3"/>
        <v>326311.19276114833</v>
      </c>
      <c r="AH62" s="20">
        <v>0</v>
      </c>
      <c r="AI62" s="20">
        <v>0</v>
      </c>
      <c r="AJ62" s="20">
        <v>0</v>
      </c>
      <c r="AK62" s="20">
        <f t="shared" si="4"/>
        <v>0</v>
      </c>
      <c r="AL62" s="26">
        <f t="shared" si="5"/>
        <v>0</v>
      </c>
    </row>
    <row r="63" spans="1:38" x14ac:dyDescent="0.3">
      <c r="A63" s="1">
        <v>54</v>
      </c>
      <c r="B63" s="1" t="s">
        <v>114</v>
      </c>
      <c r="C63" s="1" t="s">
        <v>2347</v>
      </c>
      <c r="D63" s="1" t="s">
        <v>2344</v>
      </c>
      <c r="E63" s="1" t="s">
        <v>95</v>
      </c>
      <c r="F63" s="1" t="s">
        <v>2348</v>
      </c>
      <c r="H63" s="1">
        <v>4757</v>
      </c>
      <c r="I63" s="3" t="s">
        <v>2340</v>
      </c>
      <c r="J63" s="1" t="s">
        <v>2345</v>
      </c>
      <c r="K63" s="1" t="s">
        <v>2433</v>
      </c>
      <c r="L63" s="1" t="s">
        <v>2350</v>
      </c>
      <c r="M63" s="1" t="s">
        <v>2434</v>
      </c>
      <c r="N63" s="1" t="s">
        <v>2435</v>
      </c>
      <c r="O63" s="1" t="s">
        <v>42</v>
      </c>
      <c r="Q63" s="1" t="s">
        <v>2346</v>
      </c>
      <c r="R63" s="1" t="s">
        <v>2353</v>
      </c>
      <c r="S63" s="1" t="s">
        <v>2354</v>
      </c>
      <c r="T63" s="49">
        <v>34424489.799999997</v>
      </c>
      <c r="U63" s="20">
        <v>932824.49</v>
      </c>
      <c r="V63" s="20">
        <v>0</v>
      </c>
      <c r="W63" s="20">
        <v>753110.2</v>
      </c>
      <c r="X63" s="20">
        <v>14349028.57</v>
      </c>
      <c r="Y63" s="20">
        <v>10875648.98</v>
      </c>
      <c r="Z63" s="20">
        <v>0</v>
      </c>
      <c r="AA63" s="20">
        <v>0</v>
      </c>
      <c r="AB63" s="20">
        <v>0</v>
      </c>
      <c r="AC63" s="20">
        <v>0</v>
      </c>
      <c r="AD63" s="20">
        <v>0</v>
      </c>
      <c r="AE63" s="20">
        <v>0</v>
      </c>
      <c r="AF63" s="20">
        <v>0</v>
      </c>
      <c r="AG63" s="51">
        <f t="shared" si="3"/>
        <v>7513877.5599999949</v>
      </c>
      <c r="AH63" s="20">
        <v>0</v>
      </c>
      <c r="AI63" s="20">
        <v>0</v>
      </c>
      <c r="AJ63" s="20">
        <v>0</v>
      </c>
      <c r="AK63" s="20">
        <f t="shared" si="4"/>
        <v>0</v>
      </c>
      <c r="AL63" s="26">
        <f t="shared" si="5"/>
        <v>0</v>
      </c>
    </row>
    <row r="64" spans="1:38" x14ac:dyDescent="0.3">
      <c r="A64" s="1">
        <v>55</v>
      </c>
      <c r="B64" s="1" t="s">
        <v>114</v>
      </c>
      <c r="C64" s="1" t="s">
        <v>2347</v>
      </c>
      <c r="D64" s="1" t="s">
        <v>2344</v>
      </c>
      <c r="E64" s="1" t="s">
        <v>95</v>
      </c>
      <c r="F64" s="1" t="s">
        <v>2348</v>
      </c>
      <c r="H64" s="1">
        <v>4375</v>
      </c>
      <c r="I64" s="3" t="s">
        <v>2340</v>
      </c>
      <c r="J64" s="1" t="s">
        <v>2345</v>
      </c>
      <c r="K64" s="1" t="s">
        <v>2436</v>
      </c>
      <c r="L64" s="1" t="s">
        <v>2350</v>
      </c>
      <c r="M64" s="1" t="s">
        <v>2434</v>
      </c>
      <c r="N64" s="1" t="s">
        <v>2435</v>
      </c>
      <c r="O64" s="1" t="s">
        <v>42</v>
      </c>
      <c r="Q64" s="1" t="s">
        <v>2346</v>
      </c>
      <c r="R64" s="1" t="s">
        <v>2353</v>
      </c>
      <c r="S64" s="1" t="s">
        <v>2354</v>
      </c>
      <c r="T64" s="49">
        <v>34424489.799999997</v>
      </c>
      <c r="U64" s="20">
        <v>932824.49</v>
      </c>
      <c r="V64" s="20">
        <v>0</v>
      </c>
      <c r="W64" s="20">
        <v>753110.2</v>
      </c>
      <c r="X64" s="20">
        <v>14349028.57</v>
      </c>
      <c r="Y64" s="20">
        <v>10875648.98</v>
      </c>
      <c r="Z64" s="20">
        <v>0</v>
      </c>
      <c r="AA64" s="20">
        <v>0</v>
      </c>
      <c r="AB64" s="20">
        <v>0</v>
      </c>
      <c r="AC64" s="20">
        <v>0</v>
      </c>
      <c r="AD64" s="20">
        <v>0</v>
      </c>
      <c r="AE64" s="20">
        <v>0</v>
      </c>
      <c r="AF64" s="20">
        <v>0</v>
      </c>
      <c r="AG64" s="51">
        <f t="shared" si="3"/>
        <v>7513877.5599999949</v>
      </c>
      <c r="AH64" s="20">
        <v>0</v>
      </c>
      <c r="AI64" s="20">
        <v>0</v>
      </c>
      <c r="AJ64" s="20">
        <v>0</v>
      </c>
      <c r="AK64" s="20">
        <f t="shared" si="4"/>
        <v>0</v>
      </c>
      <c r="AL64" s="26">
        <f t="shared" si="5"/>
        <v>0</v>
      </c>
    </row>
    <row r="65" spans="1:38" x14ac:dyDescent="0.3">
      <c r="A65" s="1">
        <v>56</v>
      </c>
      <c r="B65" s="1" t="s">
        <v>114</v>
      </c>
      <c r="C65" s="1" t="s">
        <v>2347</v>
      </c>
      <c r="D65" s="1" t="s">
        <v>2344</v>
      </c>
      <c r="E65" s="1" t="s">
        <v>95</v>
      </c>
      <c r="F65" s="1" t="s">
        <v>2348</v>
      </c>
      <c r="H65" s="1">
        <v>30106</v>
      </c>
      <c r="I65" s="3" t="s">
        <v>2340</v>
      </c>
      <c r="J65" s="1" t="s">
        <v>2345</v>
      </c>
      <c r="K65" s="1" t="s">
        <v>2437</v>
      </c>
      <c r="L65" s="1" t="s">
        <v>2350</v>
      </c>
      <c r="M65" s="1" t="s">
        <v>2434</v>
      </c>
      <c r="N65" s="1" t="s">
        <v>2435</v>
      </c>
      <c r="O65" s="1" t="s">
        <v>42</v>
      </c>
      <c r="Q65" s="1" t="s">
        <v>2346</v>
      </c>
      <c r="R65" s="1" t="s">
        <v>2353</v>
      </c>
      <c r="S65" s="1" t="s">
        <v>2354</v>
      </c>
      <c r="T65" s="49">
        <v>34424489.799999997</v>
      </c>
      <c r="U65" s="20">
        <v>932824.49</v>
      </c>
      <c r="V65" s="20">
        <v>0</v>
      </c>
      <c r="W65" s="20">
        <v>753110.2</v>
      </c>
      <c r="X65" s="20">
        <v>14349028.57</v>
      </c>
      <c r="Y65" s="20">
        <v>10875648.98</v>
      </c>
      <c r="Z65" s="20">
        <v>0</v>
      </c>
      <c r="AA65" s="20">
        <v>0</v>
      </c>
      <c r="AB65" s="20">
        <v>0</v>
      </c>
      <c r="AC65" s="20">
        <v>0</v>
      </c>
      <c r="AD65" s="20">
        <v>0</v>
      </c>
      <c r="AE65" s="20">
        <v>0</v>
      </c>
      <c r="AF65" s="20">
        <v>0</v>
      </c>
      <c r="AG65" s="51">
        <f t="shared" si="3"/>
        <v>7513877.5599999949</v>
      </c>
      <c r="AH65" s="20">
        <v>0</v>
      </c>
      <c r="AI65" s="20">
        <v>0</v>
      </c>
      <c r="AJ65" s="20">
        <v>0</v>
      </c>
      <c r="AK65" s="20">
        <f t="shared" si="4"/>
        <v>0</v>
      </c>
      <c r="AL65" s="26">
        <f t="shared" si="5"/>
        <v>0</v>
      </c>
    </row>
    <row r="66" spans="1:38" x14ac:dyDescent="0.3">
      <c r="A66" s="1">
        <v>57</v>
      </c>
      <c r="B66" s="1" t="s">
        <v>114</v>
      </c>
      <c r="C66" s="1" t="s">
        <v>2347</v>
      </c>
      <c r="D66" s="1" t="s">
        <v>2344</v>
      </c>
      <c r="E66" s="1" t="s">
        <v>95</v>
      </c>
      <c r="F66" s="1" t="s">
        <v>2348</v>
      </c>
      <c r="H66" s="1">
        <v>4985</v>
      </c>
      <c r="I66" s="3" t="s">
        <v>2340</v>
      </c>
      <c r="J66" s="1" t="s">
        <v>2345</v>
      </c>
      <c r="K66" s="1" t="s">
        <v>2438</v>
      </c>
      <c r="L66" s="1" t="s">
        <v>2350</v>
      </c>
      <c r="M66" s="1" t="s">
        <v>2434</v>
      </c>
      <c r="N66" s="1" t="s">
        <v>2435</v>
      </c>
      <c r="O66" s="1" t="s">
        <v>42</v>
      </c>
      <c r="Q66" s="1" t="s">
        <v>2346</v>
      </c>
      <c r="R66" s="1" t="s">
        <v>2353</v>
      </c>
      <c r="S66" s="1" t="s">
        <v>2354</v>
      </c>
      <c r="T66" s="49">
        <v>34424489.799999997</v>
      </c>
      <c r="U66" s="20">
        <v>932824.49</v>
      </c>
      <c r="V66" s="20">
        <v>0</v>
      </c>
      <c r="W66" s="20">
        <v>753110.2</v>
      </c>
      <c r="X66" s="20">
        <v>14349028.57</v>
      </c>
      <c r="Y66" s="20">
        <v>10875648.98</v>
      </c>
      <c r="Z66" s="20">
        <v>0</v>
      </c>
      <c r="AA66" s="20">
        <v>0</v>
      </c>
      <c r="AB66" s="20">
        <v>0</v>
      </c>
      <c r="AC66" s="20">
        <v>0</v>
      </c>
      <c r="AD66" s="20">
        <v>0</v>
      </c>
      <c r="AE66" s="20">
        <v>0</v>
      </c>
      <c r="AF66" s="20">
        <v>0</v>
      </c>
      <c r="AG66" s="51">
        <f t="shared" si="3"/>
        <v>7513877.5599999949</v>
      </c>
      <c r="AH66" s="20">
        <v>0</v>
      </c>
      <c r="AI66" s="20">
        <v>0</v>
      </c>
      <c r="AJ66" s="20">
        <v>0</v>
      </c>
      <c r="AK66" s="20">
        <f t="shared" si="4"/>
        <v>0</v>
      </c>
      <c r="AL66" s="26">
        <f t="shared" si="5"/>
        <v>0</v>
      </c>
    </row>
    <row r="67" spans="1:38" x14ac:dyDescent="0.3">
      <c r="A67" s="1">
        <v>58</v>
      </c>
      <c r="B67" s="1" t="s">
        <v>114</v>
      </c>
      <c r="C67" s="1" t="s">
        <v>2347</v>
      </c>
      <c r="D67" s="1" t="s">
        <v>2344</v>
      </c>
      <c r="E67" s="1" t="s">
        <v>95</v>
      </c>
      <c r="F67" s="1" t="s">
        <v>2348</v>
      </c>
      <c r="H67" s="1">
        <v>4610</v>
      </c>
      <c r="I67" s="3" t="s">
        <v>2340</v>
      </c>
      <c r="J67" s="1" t="s">
        <v>2345</v>
      </c>
      <c r="K67" s="1" t="s">
        <v>2439</v>
      </c>
      <c r="L67" s="1" t="s">
        <v>2350</v>
      </c>
      <c r="M67" s="1" t="s">
        <v>2434</v>
      </c>
      <c r="N67" s="1" t="s">
        <v>2435</v>
      </c>
      <c r="O67" s="1" t="s">
        <v>42</v>
      </c>
      <c r="Q67" s="1" t="s">
        <v>2346</v>
      </c>
      <c r="R67" s="1" t="s">
        <v>2353</v>
      </c>
      <c r="S67" s="1" t="s">
        <v>2354</v>
      </c>
      <c r="T67" s="49">
        <v>34424489.799999997</v>
      </c>
      <c r="U67" s="20">
        <v>932824.49</v>
      </c>
      <c r="V67" s="20">
        <v>0</v>
      </c>
      <c r="W67" s="20">
        <v>753110.2</v>
      </c>
      <c r="X67" s="20">
        <v>14349028.57</v>
      </c>
      <c r="Y67" s="20">
        <v>10875648.98</v>
      </c>
      <c r="Z67" s="20">
        <v>0</v>
      </c>
      <c r="AA67" s="20">
        <v>0</v>
      </c>
      <c r="AB67" s="20">
        <v>0</v>
      </c>
      <c r="AC67" s="20">
        <v>0</v>
      </c>
      <c r="AD67" s="20">
        <v>0</v>
      </c>
      <c r="AE67" s="20">
        <v>0</v>
      </c>
      <c r="AF67" s="20">
        <v>0</v>
      </c>
      <c r="AG67" s="51">
        <f t="shared" si="3"/>
        <v>7513877.5599999949</v>
      </c>
      <c r="AH67" s="20">
        <v>0</v>
      </c>
      <c r="AI67" s="20">
        <v>0</v>
      </c>
      <c r="AJ67" s="20">
        <v>0</v>
      </c>
      <c r="AK67" s="20">
        <f t="shared" si="4"/>
        <v>0</v>
      </c>
      <c r="AL67" s="26">
        <f t="shared" si="5"/>
        <v>0</v>
      </c>
    </row>
    <row r="68" spans="1:38" x14ac:dyDescent="0.3">
      <c r="A68" s="1">
        <v>59</v>
      </c>
      <c r="B68" s="1" t="s">
        <v>114</v>
      </c>
      <c r="C68" s="1" t="s">
        <v>2347</v>
      </c>
      <c r="D68" s="1" t="s">
        <v>2344</v>
      </c>
      <c r="E68" s="1" t="s">
        <v>95</v>
      </c>
      <c r="F68" s="1" t="s">
        <v>2348</v>
      </c>
      <c r="H68" s="1">
        <v>4582</v>
      </c>
      <c r="I68" s="3" t="s">
        <v>2340</v>
      </c>
      <c r="J68" s="1" t="s">
        <v>2345</v>
      </c>
      <c r="K68" s="1" t="s">
        <v>2440</v>
      </c>
      <c r="L68" s="1" t="s">
        <v>2350</v>
      </c>
      <c r="M68" s="1" t="s">
        <v>2434</v>
      </c>
      <c r="N68" s="1" t="s">
        <v>2435</v>
      </c>
      <c r="O68" s="1" t="s">
        <v>42</v>
      </c>
      <c r="Q68" s="1" t="s">
        <v>2346</v>
      </c>
      <c r="R68" s="1" t="s">
        <v>2353</v>
      </c>
      <c r="S68" s="1" t="s">
        <v>2354</v>
      </c>
      <c r="T68" s="49">
        <v>34424489.799999997</v>
      </c>
      <c r="U68" s="20">
        <v>932824.49</v>
      </c>
      <c r="V68" s="20">
        <v>0</v>
      </c>
      <c r="W68" s="20">
        <v>753110.2</v>
      </c>
      <c r="X68" s="20">
        <v>14349028.57</v>
      </c>
      <c r="Y68" s="20">
        <v>10875648.98</v>
      </c>
      <c r="Z68" s="20">
        <v>0</v>
      </c>
      <c r="AA68" s="20">
        <v>0</v>
      </c>
      <c r="AB68" s="20">
        <v>0</v>
      </c>
      <c r="AC68" s="20">
        <v>0</v>
      </c>
      <c r="AD68" s="20">
        <v>0</v>
      </c>
      <c r="AE68" s="20">
        <v>0</v>
      </c>
      <c r="AF68" s="20">
        <v>0</v>
      </c>
      <c r="AG68" s="51">
        <f t="shared" si="3"/>
        <v>7513877.5599999949</v>
      </c>
      <c r="AH68" s="20">
        <v>0</v>
      </c>
      <c r="AI68" s="20">
        <v>0</v>
      </c>
      <c r="AJ68" s="20">
        <v>0</v>
      </c>
      <c r="AK68" s="20">
        <f t="shared" si="4"/>
        <v>0</v>
      </c>
      <c r="AL68" s="26">
        <f t="shared" si="5"/>
        <v>0</v>
      </c>
    </row>
    <row r="69" spans="1:38" x14ac:dyDescent="0.3">
      <c r="A69" s="1">
        <v>60</v>
      </c>
      <c r="B69" s="1" t="s">
        <v>114</v>
      </c>
      <c r="C69" s="1" t="s">
        <v>2347</v>
      </c>
      <c r="D69" s="1" t="s">
        <v>2344</v>
      </c>
      <c r="E69" s="1" t="s">
        <v>95</v>
      </c>
      <c r="F69" s="1" t="s">
        <v>2348</v>
      </c>
      <c r="H69" s="1">
        <v>4479</v>
      </c>
      <c r="I69" s="3" t="s">
        <v>2340</v>
      </c>
      <c r="J69" s="1" t="s">
        <v>2345</v>
      </c>
      <c r="K69" s="1" t="s">
        <v>2441</v>
      </c>
      <c r="L69" s="1" t="s">
        <v>2350</v>
      </c>
      <c r="M69" s="1" t="s">
        <v>2434</v>
      </c>
      <c r="N69" s="1" t="s">
        <v>2435</v>
      </c>
      <c r="O69" s="1" t="s">
        <v>42</v>
      </c>
      <c r="Q69" s="1" t="s">
        <v>2346</v>
      </c>
      <c r="R69" s="1" t="s">
        <v>2353</v>
      </c>
      <c r="S69" s="1" t="s">
        <v>2354</v>
      </c>
      <c r="T69" s="49">
        <v>34424489.799999997</v>
      </c>
      <c r="U69" s="20">
        <v>932824.49</v>
      </c>
      <c r="V69" s="20">
        <v>0</v>
      </c>
      <c r="W69" s="20">
        <v>753110.2</v>
      </c>
      <c r="X69" s="20">
        <v>14349028.57</v>
      </c>
      <c r="Y69" s="20">
        <v>10875648.98</v>
      </c>
      <c r="Z69" s="20">
        <v>0</v>
      </c>
      <c r="AA69" s="20">
        <v>0</v>
      </c>
      <c r="AB69" s="20">
        <v>0</v>
      </c>
      <c r="AC69" s="20">
        <v>0</v>
      </c>
      <c r="AD69" s="20">
        <v>0</v>
      </c>
      <c r="AE69" s="20">
        <v>0</v>
      </c>
      <c r="AF69" s="20">
        <v>0</v>
      </c>
      <c r="AG69" s="51">
        <f t="shared" si="3"/>
        <v>7513877.5599999949</v>
      </c>
      <c r="AH69" s="20">
        <v>0</v>
      </c>
      <c r="AI69" s="20">
        <v>0</v>
      </c>
      <c r="AJ69" s="20">
        <v>0</v>
      </c>
      <c r="AK69" s="20">
        <f t="shared" si="4"/>
        <v>0</v>
      </c>
      <c r="AL69" s="26">
        <f t="shared" si="5"/>
        <v>0</v>
      </c>
    </row>
    <row r="70" spans="1:38" x14ac:dyDescent="0.3">
      <c r="A70" s="1">
        <v>61</v>
      </c>
      <c r="B70" s="1" t="s">
        <v>114</v>
      </c>
      <c r="C70" s="1" t="s">
        <v>2347</v>
      </c>
      <c r="D70" s="1" t="s">
        <v>2344</v>
      </c>
      <c r="E70" s="1" t="s">
        <v>95</v>
      </c>
      <c r="F70" s="1" t="s">
        <v>2348</v>
      </c>
      <c r="H70" s="1">
        <v>8220</v>
      </c>
      <c r="I70" s="3" t="s">
        <v>2340</v>
      </c>
      <c r="J70" s="1" t="s">
        <v>2345</v>
      </c>
      <c r="K70" s="1" t="s">
        <v>2442</v>
      </c>
      <c r="L70" s="1" t="s">
        <v>2350</v>
      </c>
      <c r="M70" s="1" t="s">
        <v>2434</v>
      </c>
      <c r="N70" s="1" t="s">
        <v>2435</v>
      </c>
      <c r="O70" s="1" t="s">
        <v>42</v>
      </c>
      <c r="Q70" s="1" t="s">
        <v>2346</v>
      </c>
      <c r="R70" s="1" t="s">
        <v>2353</v>
      </c>
      <c r="S70" s="1" t="s">
        <v>2354</v>
      </c>
      <c r="T70" s="49">
        <v>34424489.799999997</v>
      </c>
      <c r="U70" s="20">
        <v>932824.49</v>
      </c>
      <c r="V70" s="20">
        <v>0</v>
      </c>
      <c r="W70" s="20">
        <v>753110.2</v>
      </c>
      <c r="X70" s="20">
        <v>14349028.57</v>
      </c>
      <c r="Y70" s="20">
        <v>10875648.98</v>
      </c>
      <c r="Z70" s="20">
        <v>0</v>
      </c>
      <c r="AA70" s="20">
        <v>0</v>
      </c>
      <c r="AB70" s="20">
        <v>0</v>
      </c>
      <c r="AC70" s="20">
        <v>0</v>
      </c>
      <c r="AD70" s="20">
        <v>0</v>
      </c>
      <c r="AE70" s="20">
        <v>0</v>
      </c>
      <c r="AF70" s="20">
        <v>0</v>
      </c>
      <c r="AG70" s="51">
        <f t="shared" si="3"/>
        <v>7513877.5599999949</v>
      </c>
      <c r="AH70" s="20">
        <v>0</v>
      </c>
      <c r="AI70" s="20">
        <v>0</v>
      </c>
      <c r="AJ70" s="20">
        <v>0</v>
      </c>
      <c r="AK70" s="20">
        <f t="shared" si="4"/>
        <v>0</v>
      </c>
      <c r="AL70" s="26">
        <f t="shared" si="5"/>
        <v>0</v>
      </c>
    </row>
    <row r="71" spans="1:38" x14ac:dyDescent="0.3">
      <c r="A71" s="1">
        <v>62</v>
      </c>
      <c r="B71" s="1" t="s">
        <v>114</v>
      </c>
      <c r="C71" s="1" t="s">
        <v>2347</v>
      </c>
      <c r="D71" s="1" t="s">
        <v>2344</v>
      </c>
      <c r="E71" s="1" t="s">
        <v>95</v>
      </c>
      <c r="F71" s="1" t="s">
        <v>2348</v>
      </c>
      <c r="H71" s="1">
        <v>4272</v>
      </c>
      <c r="I71" s="3" t="s">
        <v>2340</v>
      </c>
      <c r="J71" s="1" t="s">
        <v>2345</v>
      </c>
      <c r="K71" s="1" t="s">
        <v>2443</v>
      </c>
      <c r="L71" s="1" t="s">
        <v>2350</v>
      </c>
      <c r="M71" s="1" t="s">
        <v>2434</v>
      </c>
      <c r="N71" s="1" t="s">
        <v>2435</v>
      </c>
      <c r="O71" s="1" t="s">
        <v>42</v>
      </c>
      <c r="Q71" s="1" t="s">
        <v>2346</v>
      </c>
      <c r="R71" s="1" t="s">
        <v>2353</v>
      </c>
      <c r="S71" s="1" t="s">
        <v>2354</v>
      </c>
      <c r="T71" s="49">
        <v>34424489.799999997</v>
      </c>
      <c r="U71" s="20">
        <v>932824.49</v>
      </c>
      <c r="V71" s="20">
        <v>0</v>
      </c>
      <c r="W71" s="20">
        <v>753110.2</v>
      </c>
      <c r="X71" s="20">
        <v>14349028.57</v>
      </c>
      <c r="Y71" s="20">
        <v>10875648.98</v>
      </c>
      <c r="Z71" s="20">
        <v>0</v>
      </c>
      <c r="AA71" s="20">
        <v>0</v>
      </c>
      <c r="AB71" s="20">
        <v>0</v>
      </c>
      <c r="AC71" s="20">
        <v>0</v>
      </c>
      <c r="AD71" s="20">
        <v>0</v>
      </c>
      <c r="AE71" s="20">
        <v>0</v>
      </c>
      <c r="AF71" s="20">
        <v>0</v>
      </c>
      <c r="AG71" s="51">
        <f t="shared" si="3"/>
        <v>7513877.5599999949</v>
      </c>
      <c r="AH71" s="20">
        <v>0</v>
      </c>
      <c r="AI71" s="20">
        <v>0</v>
      </c>
      <c r="AJ71" s="20">
        <v>0</v>
      </c>
      <c r="AK71" s="20">
        <f t="shared" si="4"/>
        <v>0</v>
      </c>
      <c r="AL71" s="26">
        <f t="shared" si="5"/>
        <v>0</v>
      </c>
    </row>
    <row r="72" spans="1:38" x14ac:dyDescent="0.3">
      <c r="A72" s="1">
        <v>63</v>
      </c>
      <c r="B72" s="1" t="s">
        <v>114</v>
      </c>
      <c r="C72" s="1" t="s">
        <v>2347</v>
      </c>
      <c r="D72" s="1" t="s">
        <v>2344</v>
      </c>
      <c r="E72" s="1" t="s">
        <v>95</v>
      </c>
      <c r="F72" s="1" t="s">
        <v>2348</v>
      </c>
      <c r="H72" s="1">
        <v>13776</v>
      </c>
      <c r="I72" s="3" t="s">
        <v>2340</v>
      </c>
      <c r="J72" s="1" t="s">
        <v>2345</v>
      </c>
      <c r="K72" s="1" t="s">
        <v>2444</v>
      </c>
      <c r="L72" s="1" t="s">
        <v>2350</v>
      </c>
      <c r="M72" s="1" t="s">
        <v>2434</v>
      </c>
      <c r="N72" s="1" t="s">
        <v>2435</v>
      </c>
      <c r="O72" s="1" t="s">
        <v>42</v>
      </c>
      <c r="Q72" s="1" t="s">
        <v>2346</v>
      </c>
      <c r="R72" s="1" t="s">
        <v>2353</v>
      </c>
      <c r="S72" s="1" t="s">
        <v>2354</v>
      </c>
      <c r="T72" s="49">
        <v>34424489.799999997</v>
      </c>
      <c r="U72" s="20">
        <v>932824.49</v>
      </c>
      <c r="V72" s="20">
        <v>0</v>
      </c>
      <c r="W72" s="20">
        <v>753110.2</v>
      </c>
      <c r="X72" s="20">
        <v>14349028.57</v>
      </c>
      <c r="Y72" s="20">
        <v>10875648.98</v>
      </c>
      <c r="Z72" s="20">
        <v>0</v>
      </c>
      <c r="AA72" s="20">
        <v>0</v>
      </c>
      <c r="AB72" s="20">
        <v>0</v>
      </c>
      <c r="AC72" s="20">
        <v>0</v>
      </c>
      <c r="AD72" s="20">
        <v>0</v>
      </c>
      <c r="AE72" s="20">
        <v>0</v>
      </c>
      <c r="AF72" s="20">
        <v>0</v>
      </c>
      <c r="AG72" s="51">
        <f t="shared" si="3"/>
        <v>7513877.5599999949</v>
      </c>
      <c r="AH72" s="20">
        <v>0</v>
      </c>
      <c r="AI72" s="20">
        <v>0</v>
      </c>
      <c r="AJ72" s="20">
        <v>0</v>
      </c>
      <c r="AK72" s="20">
        <f t="shared" si="4"/>
        <v>0</v>
      </c>
      <c r="AL72" s="26">
        <f t="shared" si="5"/>
        <v>0</v>
      </c>
    </row>
    <row r="73" spans="1:38" x14ac:dyDescent="0.3">
      <c r="A73" s="1">
        <v>64</v>
      </c>
      <c r="B73" s="1" t="s">
        <v>114</v>
      </c>
      <c r="C73" s="1" t="s">
        <v>2347</v>
      </c>
      <c r="D73" s="1" t="s">
        <v>2344</v>
      </c>
      <c r="E73" s="1" t="s">
        <v>95</v>
      </c>
      <c r="F73" s="1" t="s">
        <v>2348</v>
      </c>
      <c r="H73" s="1">
        <v>4072</v>
      </c>
      <c r="I73" s="3" t="s">
        <v>2340</v>
      </c>
      <c r="J73" s="1" t="s">
        <v>2345</v>
      </c>
      <c r="K73" s="1" t="s">
        <v>2445</v>
      </c>
      <c r="L73" s="1" t="s">
        <v>2350</v>
      </c>
      <c r="M73" s="1" t="s">
        <v>2434</v>
      </c>
      <c r="N73" s="1" t="s">
        <v>2435</v>
      </c>
      <c r="O73" s="1" t="s">
        <v>42</v>
      </c>
      <c r="Q73" s="1" t="s">
        <v>2346</v>
      </c>
      <c r="R73" s="1" t="s">
        <v>2353</v>
      </c>
      <c r="S73" s="1" t="s">
        <v>2354</v>
      </c>
      <c r="T73" s="49">
        <v>34424489.799999997</v>
      </c>
      <c r="U73" s="20">
        <v>932824.49</v>
      </c>
      <c r="V73" s="20">
        <v>0</v>
      </c>
      <c r="W73" s="20">
        <v>753110.2</v>
      </c>
      <c r="X73" s="20">
        <v>14349028.57</v>
      </c>
      <c r="Y73" s="20">
        <v>10875648.98</v>
      </c>
      <c r="Z73" s="20">
        <v>0</v>
      </c>
      <c r="AA73" s="20">
        <v>0</v>
      </c>
      <c r="AB73" s="20">
        <v>0</v>
      </c>
      <c r="AC73" s="20">
        <v>0</v>
      </c>
      <c r="AD73" s="20">
        <v>0</v>
      </c>
      <c r="AE73" s="20">
        <v>0</v>
      </c>
      <c r="AF73" s="20">
        <v>0</v>
      </c>
      <c r="AG73" s="51">
        <f t="shared" si="3"/>
        <v>7513877.5599999949</v>
      </c>
      <c r="AH73" s="20">
        <v>0</v>
      </c>
      <c r="AI73" s="20">
        <v>0</v>
      </c>
      <c r="AJ73" s="20">
        <v>0</v>
      </c>
      <c r="AK73" s="20">
        <f t="shared" si="4"/>
        <v>0</v>
      </c>
      <c r="AL73" s="26">
        <f t="shared" si="5"/>
        <v>0</v>
      </c>
    </row>
    <row r="74" spans="1:38" x14ac:dyDescent="0.3">
      <c r="A74" s="1">
        <v>65</v>
      </c>
      <c r="B74" s="1" t="s">
        <v>114</v>
      </c>
      <c r="C74" s="1" t="s">
        <v>2347</v>
      </c>
      <c r="D74" s="1" t="s">
        <v>2344</v>
      </c>
      <c r="E74" s="1" t="s">
        <v>95</v>
      </c>
      <c r="F74" s="1" t="s">
        <v>2348</v>
      </c>
      <c r="H74" s="1">
        <v>4595</v>
      </c>
      <c r="I74" s="3" t="s">
        <v>2340</v>
      </c>
      <c r="J74" s="1" t="s">
        <v>2345</v>
      </c>
      <c r="K74" s="1" t="s">
        <v>2446</v>
      </c>
      <c r="L74" s="1" t="s">
        <v>2350</v>
      </c>
      <c r="M74" s="1" t="s">
        <v>2434</v>
      </c>
      <c r="N74" s="1" t="s">
        <v>2435</v>
      </c>
      <c r="O74" s="1" t="s">
        <v>42</v>
      </c>
      <c r="Q74" s="1" t="s">
        <v>2346</v>
      </c>
      <c r="R74" s="1" t="s">
        <v>2353</v>
      </c>
      <c r="S74" s="1" t="s">
        <v>2354</v>
      </c>
      <c r="T74" s="49">
        <v>34424489.799999997</v>
      </c>
      <c r="U74" s="20">
        <v>932824.49</v>
      </c>
      <c r="V74" s="20">
        <v>0</v>
      </c>
      <c r="W74" s="20">
        <v>753110.2</v>
      </c>
      <c r="X74" s="20">
        <v>14349028.57</v>
      </c>
      <c r="Y74" s="20">
        <v>10875648.98</v>
      </c>
      <c r="Z74" s="20">
        <v>0</v>
      </c>
      <c r="AA74" s="20">
        <v>0</v>
      </c>
      <c r="AB74" s="20">
        <v>0</v>
      </c>
      <c r="AC74" s="20">
        <v>0</v>
      </c>
      <c r="AD74" s="20">
        <v>0</v>
      </c>
      <c r="AE74" s="20">
        <v>0</v>
      </c>
      <c r="AF74" s="20">
        <v>0</v>
      </c>
      <c r="AG74" s="51">
        <f t="shared" si="3"/>
        <v>7513877.5599999949</v>
      </c>
      <c r="AH74" s="20">
        <v>0</v>
      </c>
      <c r="AI74" s="20">
        <v>0</v>
      </c>
      <c r="AJ74" s="20">
        <v>0</v>
      </c>
      <c r="AK74" s="20">
        <f t="shared" si="4"/>
        <v>0</v>
      </c>
      <c r="AL74" s="26">
        <f t="shared" si="5"/>
        <v>0</v>
      </c>
    </row>
    <row r="75" spans="1:38" x14ac:dyDescent="0.3">
      <c r="A75" s="1">
        <v>66</v>
      </c>
      <c r="B75" s="1" t="s">
        <v>114</v>
      </c>
      <c r="C75" s="1" t="s">
        <v>2347</v>
      </c>
      <c r="D75" s="1" t="s">
        <v>2344</v>
      </c>
      <c r="E75" s="1" t="s">
        <v>95</v>
      </c>
      <c r="F75" s="1" t="s">
        <v>2348</v>
      </c>
      <c r="H75" s="1">
        <v>4971</v>
      </c>
      <c r="I75" s="3" t="s">
        <v>2340</v>
      </c>
      <c r="J75" s="1" t="s">
        <v>2345</v>
      </c>
      <c r="K75" s="1" t="s">
        <v>2447</v>
      </c>
      <c r="L75" s="1" t="s">
        <v>2350</v>
      </c>
      <c r="M75" s="1" t="s">
        <v>2434</v>
      </c>
      <c r="N75" s="1" t="s">
        <v>2435</v>
      </c>
      <c r="O75" s="1" t="s">
        <v>42</v>
      </c>
      <c r="Q75" s="1" t="s">
        <v>2346</v>
      </c>
      <c r="R75" s="1" t="s">
        <v>2353</v>
      </c>
      <c r="S75" s="1" t="s">
        <v>2354</v>
      </c>
      <c r="T75" s="49">
        <v>34424489.799999997</v>
      </c>
      <c r="U75" s="20">
        <v>932824.49</v>
      </c>
      <c r="V75" s="20">
        <v>0</v>
      </c>
      <c r="W75" s="20">
        <v>753110.2</v>
      </c>
      <c r="X75" s="20">
        <v>14349028.57</v>
      </c>
      <c r="Y75" s="20">
        <v>10875648.98</v>
      </c>
      <c r="Z75" s="20">
        <v>0</v>
      </c>
      <c r="AA75" s="20">
        <v>0</v>
      </c>
      <c r="AB75" s="20">
        <v>0</v>
      </c>
      <c r="AC75" s="20">
        <v>0</v>
      </c>
      <c r="AD75" s="20">
        <v>0</v>
      </c>
      <c r="AE75" s="20">
        <v>0</v>
      </c>
      <c r="AF75" s="20">
        <v>0</v>
      </c>
      <c r="AG75" s="51">
        <f t="shared" ref="AG75:AG138" si="6">T75-SUM(U75:AF75)</f>
        <v>7513877.5599999949</v>
      </c>
      <c r="AH75" s="20">
        <v>0</v>
      </c>
      <c r="AI75" s="20">
        <v>0</v>
      </c>
      <c r="AJ75" s="20">
        <v>0</v>
      </c>
      <c r="AK75" s="20">
        <f t="shared" si="4"/>
        <v>0</v>
      </c>
      <c r="AL75" s="26">
        <f t="shared" si="5"/>
        <v>0</v>
      </c>
    </row>
    <row r="76" spans="1:38" x14ac:dyDescent="0.3">
      <c r="A76" s="1">
        <v>67</v>
      </c>
      <c r="B76" s="1" t="s">
        <v>114</v>
      </c>
      <c r="C76" s="1" t="s">
        <v>2347</v>
      </c>
      <c r="D76" s="1" t="s">
        <v>2344</v>
      </c>
      <c r="E76" s="1" t="s">
        <v>95</v>
      </c>
      <c r="F76" s="1" t="s">
        <v>2348</v>
      </c>
      <c r="H76" s="1">
        <v>6073</v>
      </c>
      <c r="I76" s="3" t="s">
        <v>2340</v>
      </c>
      <c r="J76" s="1" t="s">
        <v>2345</v>
      </c>
      <c r="K76" s="1" t="s">
        <v>2448</v>
      </c>
      <c r="L76" s="1" t="s">
        <v>2350</v>
      </c>
      <c r="M76" s="1" t="s">
        <v>2434</v>
      </c>
      <c r="N76" s="1" t="s">
        <v>2435</v>
      </c>
      <c r="O76" s="1" t="s">
        <v>42</v>
      </c>
      <c r="Q76" s="1" t="s">
        <v>2346</v>
      </c>
      <c r="R76" s="1" t="s">
        <v>2353</v>
      </c>
      <c r="S76" s="1" t="s">
        <v>2354</v>
      </c>
      <c r="T76" s="49">
        <v>34424489.799999997</v>
      </c>
      <c r="U76" s="20">
        <v>932824.49</v>
      </c>
      <c r="V76" s="20">
        <v>0</v>
      </c>
      <c r="W76" s="20">
        <v>753110.2</v>
      </c>
      <c r="X76" s="20">
        <v>14349028.57</v>
      </c>
      <c r="Y76" s="20">
        <v>10875648.98</v>
      </c>
      <c r="Z76" s="20">
        <v>0</v>
      </c>
      <c r="AA76" s="20">
        <v>0</v>
      </c>
      <c r="AB76" s="20">
        <v>0</v>
      </c>
      <c r="AC76" s="20">
        <v>0</v>
      </c>
      <c r="AD76" s="20">
        <v>0</v>
      </c>
      <c r="AE76" s="20">
        <v>0</v>
      </c>
      <c r="AF76" s="20">
        <v>0</v>
      </c>
      <c r="AG76" s="51">
        <f t="shared" si="6"/>
        <v>7513877.5599999949</v>
      </c>
      <c r="AH76" s="20">
        <v>0</v>
      </c>
      <c r="AI76" s="20">
        <v>0</v>
      </c>
      <c r="AJ76" s="20">
        <v>0</v>
      </c>
      <c r="AK76" s="20">
        <f t="shared" si="4"/>
        <v>0</v>
      </c>
      <c r="AL76" s="26">
        <f t="shared" si="5"/>
        <v>0</v>
      </c>
    </row>
    <row r="77" spans="1:38" x14ac:dyDescent="0.3">
      <c r="A77" s="1">
        <v>68</v>
      </c>
      <c r="B77" s="1" t="s">
        <v>114</v>
      </c>
      <c r="C77" s="1" t="s">
        <v>2347</v>
      </c>
      <c r="D77" s="1" t="s">
        <v>2344</v>
      </c>
      <c r="E77" s="1" t="s">
        <v>95</v>
      </c>
      <c r="F77" s="1" t="s">
        <v>2348</v>
      </c>
      <c r="H77" s="1">
        <v>6557</v>
      </c>
      <c r="I77" s="3" t="s">
        <v>2340</v>
      </c>
      <c r="J77" s="1" t="s">
        <v>2345</v>
      </c>
      <c r="K77" s="1" t="s">
        <v>2449</v>
      </c>
      <c r="L77" s="1" t="s">
        <v>2350</v>
      </c>
      <c r="M77" s="1" t="s">
        <v>2434</v>
      </c>
      <c r="N77" s="1" t="s">
        <v>2435</v>
      </c>
      <c r="O77" s="1" t="s">
        <v>42</v>
      </c>
      <c r="Q77" s="1" t="s">
        <v>2346</v>
      </c>
      <c r="R77" s="1" t="s">
        <v>2353</v>
      </c>
      <c r="S77" s="1" t="s">
        <v>2354</v>
      </c>
      <c r="T77" s="49">
        <v>34424489.799999997</v>
      </c>
      <c r="U77" s="20">
        <v>932824.49</v>
      </c>
      <c r="V77" s="20">
        <v>0</v>
      </c>
      <c r="W77" s="20">
        <v>753110.2</v>
      </c>
      <c r="X77" s="20">
        <v>14349028.57</v>
      </c>
      <c r="Y77" s="20">
        <v>10875648.98</v>
      </c>
      <c r="Z77" s="20">
        <v>0</v>
      </c>
      <c r="AA77" s="20">
        <v>0</v>
      </c>
      <c r="AB77" s="20">
        <v>0</v>
      </c>
      <c r="AC77" s="20">
        <v>0</v>
      </c>
      <c r="AD77" s="20">
        <v>0</v>
      </c>
      <c r="AE77" s="20">
        <v>0</v>
      </c>
      <c r="AF77" s="20">
        <v>0</v>
      </c>
      <c r="AG77" s="51">
        <f t="shared" si="6"/>
        <v>7513877.5599999949</v>
      </c>
      <c r="AH77" s="20">
        <v>0</v>
      </c>
      <c r="AI77" s="20">
        <v>0</v>
      </c>
      <c r="AJ77" s="20">
        <v>0</v>
      </c>
      <c r="AK77" s="20">
        <f t="shared" si="4"/>
        <v>0</v>
      </c>
      <c r="AL77" s="26">
        <f t="shared" si="5"/>
        <v>0</v>
      </c>
    </row>
    <row r="78" spans="1:38" x14ac:dyDescent="0.3">
      <c r="A78" s="1">
        <v>69</v>
      </c>
      <c r="B78" s="1" t="s">
        <v>114</v>
      </c>
      <c r="C78" s="1" t="s">
        <v>2347</v>
      </c>
      <c r="D78" s="1" t="s">
        <v>2344</v>
      </c>
      <c r="E78" s="1" t="s">
        <v>95</v>
      </c>
      <c r="F78" s="1" t="s">
        <v>2348</v>
      </c>
      <c r="H78" s="1">
        <v>3856</v>
      </c>
      <c r="I78" s="3" t="s">
        <v>2340</v>
      </c>
      <c r="J78" s="1" t="s">
        <v>2345</v>
      </c>
      <c r="K78" s="1" t="s">
        <v>2450</v>
      </c>
      <c r="L78" s="1" t="s">
        <v>2350</v>
      </c>
      <c r="M78" s="1" t="s">
        <v>2434</v>
      </c>
      <c r="N78" s="1" t="s">
        <v>2435</v>
      </c>
      <c r="O78" s="1" t="s">
        <v>42</v>
      </c>
      <c r="Q78" s="1" t="s">
        <v>2346</v>
      </c>
      <c r="R78" s="1" t="s">
        <v>2353</v>
      </c>
      <c r="S78" s="1" t="s">
        <v>2354</v>
      </c>
      <c r="T78" s="49">
        <v>34424489.799999997</v>
      </c>
      <c r="U78" s="20">
        <v>932824.49</v>
      </c>
      <c r="V78" s="20">
        <v>0</v>
      </c>
      <c r="W78" s="20">
        <v>753110.2</v>
      </c>
      <c r="X78" s="20">
        <v>14349028.57</v>
      </c>
      <c r="Y78" s="20">
        <v>10875648.98</v>
      </c>
      <c r="Z78" s="20">
        <v>0</v>
      </c>
      <c r="AA78" s="20">
        <v>0</v>
      </c>
      <c r="AB78" s="20">
        <v>0</v>
      </c>
      <c r="AC78" s="20">
        <v>0</v>
      </c>
      <c r="AD78" s="20">
        <v>0</v>
      </c>
      <c r="AE78" s="20">
        <v>0</v>
      </c>
      <c r="AF78" s="20">
        <v>0</v>
      </c>
      <c r="AG78" s="51">
        <f t="shared" si="6"/>
        <v>7513877.5599999949</v>
      </c>
      <c r="AH78" s="20">
        <v>0</v>
      </c>
      <c r="AI78" s="20">
        <v>0</v>
      </c>
      <c r="AJ78" s="20">
        <v>0</v>
      </c>
      <c r="AK78" s="20">
        <f t="shared" si="4"/>
        <v>0</v>
      </c>
      <c r="AL78" s="26">
        <f t="shared" si="5"/>
        <v>0</v>
      </c>
    </row>
    <row r="79" spans="1:38" x14ac:dyDescent="0.3">
      <c r="A79" s="1">
        <v>70</v>
      </c>
      <c r="B79" s="1" t="s">
        <v>114</v>
      </c>
      <c r="C79" s="1" t="s">
        <v>2347</v>
      </c>
      <c r="D79" s="1" t="s">
        <v>2344</v>
      </c>
      <c r="E79" s="1" t="s">
        <v>95</v>
      </c>
      <c r="F79" s="1" t="s">
        <v>2348</v>
      </c>
      <c r="H79" s="1">
        <v>4073</v>
      </c>
      <c r="I79" s="3" t="s">
        <v>2340</v>
      </c>
      <c r="J79" s="1" t="s">
        <v>2345</v>
      </c>
      <c r="K79" s="1" t="s">
        <v>2451</v>
      </c>
      <c r="L79" s="1" t="s">
        <v>2350</v>
      </c>
      <c r="M79" s="1" t="s">
        <v>2434</v>
      </c>
      <c r="N79" s="1" t="s">
        <v>2435</v>
      </c>
      <c r="O79" s="1" t="s">
        <v>42</v>
      </c>
      <c r="Q79" s="1" t="s">
        <v>2346</v>
      </c>
      <c r="R79" s="1" t="s">
        <v>2353</v>
      </c>
      <c r="S79" s="1" t="s">
        <v>2354</v>
      </c>
      <c r="T79" s="49">
        <v>34424489.799999997</v>
      </c>
      <c r="U79" s="20">
        <v>932824.49</v>
      </c>
      <c r="V79" s="20">
        <v>0</v>
      </c>
      <c r="W79" s="20">
        <v>753110.2</v>
      </c>
      <c r="X79" s="20">
        <v>14349028.57</v>
      </c>
      <c r="Y79" s="20">
        <v>10875648.98</v>
      </c>
      <c r="Z79" s="20">
        <v>0</v>
      </c>
      <c r="AA79" s="20">
        <v>0</v>
      </c>
      <c r="AB79" s="20">
        <v>0</v>
      </c>
      <c r="AC79" s="20">
        <v>0</v>
      </c>
      <c r="AD79" s="20">
        <v>0</v>
      </c>
      <c r="AE79" s="20">
        <v>0</v>
      </c>
      <c r="AF79" s="20">
        <v>0</v>
      </c>
      <c r="AG79" s="51">
        <f t="shared" si="6"/>
        <v>7513877.5599999949</v>
      </c>
      <c r="AH79" s="20">
        <v>0</v>
      </c>
      <c r="AI79" s="20">
        <v>0</v>
      </c>
      <c r="AJ79" s="20">
        <v>0</v>
      </c>
      <c r="AK79" s="20">
        <f t="shared" si="4"/>
        <v>0</v>
      </c>
      <c r="AL79" s="26">
        <f t="shared" si="5"/>
        <v>0</v>
      </c>
    </row>
    <row r="80" spans="1:38" x14ac:dyDescent="0.3">
      <c r="A80" s="1">
        <v>71</v>
      </c>
      <c r="B80" s="1" t="s">
        <v>114</v>
      </c>
      <c r="C80" s="1" t="s">
        <v>2347</v>
      </c>
      <c r="D80" s="1" t="s">
        <v>2344</v>
      </c>
      <c r="E80" s="1" t="s">
        <v>95</v>
      </c>
      <c r="F80" s="1" t="s">
        <v>2348</v>
      </c>
      <c r="H80" s="1">
        <v>4895</v>
      </c>
      <c r="I80" s="3" t="s">
        <v>2340</v>
      </c>
      <c r="J80" s="1" t="s">
        <v>2345</v>
      </c>
      <c r="K80" s="1" t="s">
        <v>2452</v>
      </c>
      <c r="L80" s="1" t="s">
        <v>2350</v>
      </c>
      <c r="M80" s="1" t="s">
        <v>2434</v>
      </c>
      <c r="N80" s="1" t="s">
        <v>2435</v>
      </c>
      <c r="O80" s="1" t="s">
        <v>42</v>
      </c>
      <c r="Q80" s="1" t="s">
        <v>2346</v>
      </c>
      <c r="R80" s="1" t="s">
        <v>2353</v>
      </c>
      <c r="S80" s="1" t="s">
        <v>2354</v>
      </c>
      <c r="T80" s="49">
        <v>34424489.799999997</v>
      </c>
      <c r="U80" s="20">
        <v>932824.49</v>
      </c>
      <c r="V80" s="20">
        <v>0</v>
      </c>
      <c r="W80" s="20">
        <v>753110.2</v>
      </c>
      <c r="X80" s="20">
        <v>14349028.57</v>
      </c>
      <c r="Y80" s="20">
        <v>10875648.98</v>
      </c>
      <c r="Z80" s="20">
        <v>0</v>
      </c>
      <c r="AA80" s="20">
        <v>0</v>
      </c>
      <c r="AB80" s="20">
        <v>0</v>
      </c>
      <c r="AC80" s="20">
        <v>0</v>
      </c>
      <c r="AD80" s="20">
        <v>0</v>
      </c>
      <c r="AE80" s="20">
        <v>0</v>
      </c>
      <c r="AF80" s="20">
        <v>0</v>
      </c>
      <c r="AG80" s="51">
        <f t="shared" si="6"/>
        <v>7513877.5599999949</v>
      </c>
      <c r="AH80" s="20">
        <v>0</v>
      </c>
      <c r="AI80" s="20">
        <v>0</v>
      </c>
      <c r="AJ80" s="20">
        <v>0</v>
      </c>
      <c r="AK80" s="20">
        <f t="shared" si="4"/>
        <v>0</v>
      </c>
      <c r="AL80" s="26">
        <f t="shared" si="5"/>
        <v>0</v>
      </c>
    </row>
    <row r="81" spans="1:39" x14ac:dyDescent="0.3">
      <c r="A81" s="1">
        <v>72</v>
      </c>
      <c r="B81" s="1" t="s">
        <v>114</v>
      </c>
      <c r="C81" s="1" t="s">
        <v>2347</v>
      </c>
      <c r="D81" s="1" t="s">
        <v>2344</v>
      </c>
      <c r="E81" s="1" t="s">
        <v>95</v>
      </c>
      <c r="F81" s="1" t="s">
        <v>2348</v>
      </c>
      <c r="H81" s="1">
        <v>4596</v>
      </c>
      <c r="I81" s="3" t="s">
        <v>2340</v>
      </c>
      <c r="J81" s="1" t="s">
        <v>2345</v>
      </c>
      <c r="K81" s="1" t="s">
        <v>2453</v>
      </c>
      <c r="L81" s="1" t="s">
        <v>2350</v>
      </c>
      <c r="M81" s="1" t="s">
        <v>2434</v>
      </c>
      <c r="N81" s="1" t="s">
        <v>2435</v>
      </c>
      <c r="O81" s="1" t="s">
        <v>42</v>
      </c>
      <c r="Q81" s="1" t="s">
        <v>2346</v>
      </c>
      <c r="R81" s="1" t="s">
        <v>2353</v>
      </c>
      <c r="S81" s="1" t="s">
        <v>2354</v>
      </c>
      <c r="T81" s="49">
        <v>34424489.799999997</v>
      </c>
      <c r="U81" s="20">
        <v>932824.49</v>
      </c>
      <c r="V81" s="20">
        <v>0</v>
      </c>
      <c r="W81" s="20">
        <v>753110.2</v>
      </c>
      <c r="X81" s="20">
        <v>14349028.57</v>
      </c>
      <c r="Y81" s="20">
        <v>10875648.98</v>
      </c>
      <c r="Z81" s="20">
        <v>0</v>
      </c>
      <c r="AA81" s="20">
        <v>0</v>
      </c>
      <c r="AB81" s="20">
        <v>0</v>
      </c>
      <c r="AC81" s="20">
        <v>0</v>
      </c>
      <c r="AD81" s="20">
        <v>0</v>
      </c>
      <c r="AE81" s="20">
        <v>0</v>
      </c>
      <c r="AF81" s="20">
        <v>0</v>
      </c>
      <c r="AG81" s="51">
        <f t="shared" si="6"/>
        <v>7513877.5599999949</v>
      </c>
      <c r="AH81" s="20">
        <v>0</v>
      </c>
      <c r="AI81" s="20">
        <v>0</v>
      </c>
      <c r="AJ81" s="20">
        <v>0</v>
      </c>
      <c r="AK81" s="20">
        <f t="shared" si="4"/>
        <v>0</v>
      </c>
      <c r="AL81" s="26">
        <f t="shared" si="5"/>
        <v>0</v>
      </c>
    </row>
    <row r="82" spans="1:39" x14ac:dyDescent="0.3">
      <c r="A82" s="1">
        <v>73</v>
      </c>
      <c r="B82" s="1" t="s">
        <v>114</v>
      </c>
      <c r="C82" s="1" t="s">
        <v>2347</v>
      </c>
      <c r="D82" s="1" t="s">
        <v>2344</v>
      </c>
      <c r="E82" s="1" t="s">
        <v>95</v>
      </c>
      <c r="F82" s="1" t="s">
        <v>2348</v>
      </c>
      <c r="H82" s="1">
        <v>7548</v>
      </c>
      <c r="I82" s="3" t="s">
        <v>2340</v>
      </c>
      <c r="J82" s="1" t="s">
        <v>2345</v>
      </c>
      <c r="K82" s="1" t="s">
        <v>2454</v>
      </c>
      <c r="L82" s="1" t="s">
        <v>2350</v>
      </c>
      <c r="M82" s="1" t="s">
        <v>2434</v>
      </c>
      <c r="N82" s="1" t="s">
        <v>2435</v>
      </c>
      <c r="O82" s="1" t="s">
        <v>42</v>
      </c>
      <c r="Q82" s="1" t="s">
        <v>2346</v>
      </c>
      <c r="R82" s="1" t="s">
        <v>2353</v>
      </c>
      <c r="S82" s="1" t="s">
        <v>2354</v>
      </c>
      <c r="T82" s="49">
        <v>34424489.799999997</v>
      </c>
      <c r="U82" s="20">
        <v>932824.49</v>
      </c>
      <c r="V82" s="20">
        <v>0</v>
      </c>
      <c r="W82" s="20">
        <v>753110.2</v>
      </c>
      <c r="X82" s="20">
        <v>14349028.57</v>
      </c>
      <c r="Y82" s="20">
        <v>10875648.98</v>
      </c>
      <c r="Z82" s="20">
        <v>0</v>
      </c>
      <c r="AA82" s="20">
        <v>0</v>
      </c>
      <c r="AB82" s="20">
        <v>0</v>
      </c>
      <c r="AC82" s="20">
        <v>0</v>
      </c>
      <c r="AD82" s="20">
        <v>0</v>
      </c>
      <c r="AE82" s="20">
        <v>0</v>
      </c>
      <c r="AF82" s="20">
        <v>0</v>
      </c>
      <c r="AG82" s="51">
        <f t="shared" si="6"/>
        <v>7513877.5599999949</v>
      </c>
      <c r="AH82" s="20">
        <v>0</v>
      </c>
      <c r="AI82" s="20">
        <v>0</v>
      </c>
      <c r="AJ82" s="20">
        <v>0</v>
      </c>
      <c r="AK82" s="20">
        <f t="shared" si="4"/>
        <v>0</v>
      </c>
      <c r="AL82" s="26">
        <f t="shared" si="5"/>
        <v>0</v>
      </c>
    </row>
    <row r="83" spans="1:39" x14ac:dyDescent="0.3">
      <c r="A83" s="1">
        <v>74</v>
      </c>
      <c r="B83" s="1" t="s">
        <v>114</v>
      </c>
      <c r="C83" s="1" t="s">
        <v>2347</v>
      </c>
      <c r="D83" s="1" t="s">
        <v>2344</v>
      </c>
      <c r="E83" s="1" t="s">
        <v>95</v>
      </c>
      <c r="F83" s="1" t="s">
        <v>2348</v>
      </c>
      <c r="H83" s="1">
        <v>3857</v>
      </c>
      <c r="I83" s="3" t="s">
        <v>2340</v>
      </c>
      <c r="J83" s="1" t="s">
        <v>2345</v>
      </c>
      <c r="K83" s="1" t="s">
        <v>2455</v>
      </c>
      <c r="L83" s="1" t="s">
        <v>2350</v>
      </c>
      <c r="M83" s="1" t="s">
        <v>2434</v>
      </c>
      <c r="N83" s="1" t="s">
        <v>2435</v>
      </c>
      <c r="O83" s="1" t="s">
        <v>42</v>
      </c>
      <c r="Q83" s="1" t="s">
        <v>2346</v>
      </c>
      <c r="R83" s="1" t="s">
        <v>2353</v>
      </c>
      <c r="S83" s="1" t="s">
        <v>2354</v>
      </c>
      <c r="T83" s="49">
        <v>34424489.799999997</v>
      </c>
      <c r="U83" s="20">
        <v>932824.49</v>
      </c>
      <c r="V83" s="20">
        <v>0</v>
      </c>
      <c r="W83" s="20">
        <v>753110.2</v>
      </c>
      <c r="X83" s="20">
        <v>14349028.57</v>
      </c>
      <c r="Y83" s="20">
        <v>10875648.98</v>
      </c>
      <c r="Z83" s="20">
        <v>0</v>
      </c>
      <c r="AA83" s="20">
        <v>0</v>
      </c>
      <c r="AB83" s="20">
        <v>0</v>
      </c>
      <c r="AC83" s="20">
        <v>0</v>
      </c>
      <c r="AD83" s="20">
        <v>0</v>
      </c>
      <c r="AE83" s="20">
        <v>0</v>
      </c>
      <c r="AF83" s="20">
        <v>0</v>
      </c>
      <c r="AG83" s="51">
        <f t="shared" si="6"/>
        <v>7513877.5599999949</v>
      </c>
      <c r="AH83" s="20">
        <v>0</v>
      </c>
      <c r="AI83" s="20">
        <v>0</v>
      </c>
      <c r="AJ83" s="20">
        <v>0</v>
      </c>
      <c r="AK83" s="20">
        <f t="shared" si="4"/>
        <v>0</v>
      </c>
      <c r="AL83" s="26">
        <f t="shared" si="5"/>
        <v>0</v>
      </c>
    </row>
    <row r="84" spans="1:39" x14ac:dyDescent="0.3">
      <c r="A84" s="1">
        <v>75</v>
      </c>
      <c r="B84" s="1" t="s">
        <v>114</v>
      </c>
      <c r="C84" s="1" t="s">
        <v>2347</v>
      </c>
      <c r="D84" s="1" t="s">
        <v>2344</v>
      </c>
      <c r="E84" s="1" t="s">
        <v>95</v>
      </c>
      <c r="F84" s="1" t="s">
        <v>2348</v>
      </c>
      <c r="H84" s="1">
        <v>4333</v>
      </c>
      <c r="I84" s="3" t="s">
        <v>2340</v>
      </c>
      <c r="J84" s="1" t="s">
        <v>2345</v>
      </c>
      <c r="K84" s="1" t="s">
        <v>2456</v>
      </c>
      <c r="L84" s="1" t="s">
        <v>2350</v>
      </c>
      <c r="M84" s="1" t="s">
        <v>2434</v>
      </c>
      <c r="N84" s="1" t="s">
        <v>2435</v>
      </c>
      <c r="O84" s="1" t="s">
        <v>42</v>
      </c>
      <c r="Q84" s="1" t="s">
        <v>2346</v>
      </c>
      <c r="R84" s="1" t="s">
        <v>2353</v>
      </c>
      <c r="S84" s="1" t="s">
        <v>2354</v>
      </c>
      <c r="T84" s="49">
        <v>34424489.799999997</v>
      </c>
      <c r="U84" s="20">
        <v>932824.49</v>
      </c>
      <c r="V84" s="20">
        <v>0</v>
      </c>
      <c r="W84" s="20">
        <v>753110.2</v>
      </c>
      <c r="X84" s="20">
        <v>14349028.57</v>
      </c>
      <c r="Y84" s="20">
        <v>10875648.98</v>
      </c>
      <c r="Z84" s="20">
        <v>0</v>
      </c>
      <c r="AA84" s="20">
        <v>0</v>
      </c>
      <c r="AB84" s="20">
        <v>0</v>
      </c>
      <c r="AC84" s="20">
        <v>0</v>
      </c>
      <c r="AD84" s="20">
        <v>0</v>
      </c>
      <c r="AE84" s="20">
        <v>0</v>
      </c>
      <c r="AF84" s="20">
        <v>0</v>
      </c>
      <c r="AG84" s="51">
        <f t="shared" si="6"/>
        <v>7513877.5599999949</v>
      </c>
      <c r="AH84" s="20">
        <v>0</v>
      </c>
      <c r="AI84" s="20">
        <v>0</v>
      </c>
      <c r="AJ84" s="20">
        <v>0</v>
      </c>
      <c r="AK84" s="20">
        <f t="shared" si="4"/>
        <v>0</v>
      </c>
      <c r="AL84" s="26">
        <f t="shared" si="5"/>
        <v>0</v>
      </c>
    </row>
    <row r="85" spans="1:39" x14ac:dyDescent="0.3">
      <c r="A85" s="1">
        <v>76</v>
      </c>
      <c r="B85" s="1" t="s">
        <v>114</v>
      </c>
      <c r="C85" s="1" t="s">
        <v>2347</v>
      </c>
      <c r="D85" s="1" t="s">
        <v>2344</v>
      </c>
      <c r="E85" s="1" t="s">
        <v>95</v>
      </c>
      <c r="F85" s="1" t="s">
        <v>2348</v>
      </c>
      <c r="H85" s="1">
        <v>30138</v>
      </c>
      <c r="I85" s="3" t="s">
        <v>2340</v>
      </c>
      <c r="J85" s="1" t="s">
        <v>2345</v>
      </c>
      <c r="K85" s="1" t="s">
        <v>2457</v>
      </c>
      <c r="L85" s="1" t="s">
        <v>2350</v>
      </c>
      <c r="M85" s="1" t="s">
        <v>2434</v>
      </c>
      <c r="N85" s="1" t="s">
        <v>2435</v>
      </c>
      <c r="O85" s="1" t="s">
        <v>42</v>
      </c>
      <c r="Q85" s="1" t="s">
        <v>2346</v>
      </c>
      <c r="R85" s="1" t="s">
        <v>2353</v>
      </c>
      <c r="S85" s="1" t="s">
        <v>2354</v>
      </c>
      <c r="T85" s="49">
        <v>34424489.799999997</v>
      </c>
      <c r="U85" s="20">
        <v>932824.49</v>
      </c>
      <c r="V85" s="20">
        <v>0</v>
      </c>
      <c r="W85" s="20">
        <v>753110.2</v>
      </c>
      <c r="X85" s="20">
        <v>14349028.57</v>
      </c>
      <c r="Y85" s="20">
        <v>10875648.98</v>
      </c>
      <c r="Z85" s="20">
        <v>0</v>
      </c>
      <c r="AA85" s="20">
        <v>0</v>
      </c>
      <c r="AB85" s="20">
        <v>0</v>
      </c>
      <c r="AC85" s="20">
        <v>0</v>
      </c>
      <c r="AD85" s="20">
        <v>0</v>
      </c>
      <c r="AE85" s="20">
        <v>0</v>
      </c>
      <c r="AF85" s="20">
        <v>0</v>
      </c>
      <c r="AG85" s="51">
        <f t="shared" si="6"/>
        <v>7513877.5599999949</v>
      </c>
      <c r="AH85" s="20">
        <v>0</v>
      </c>
      <c r="AI85" s="20">
        <v>0</v>
      </c>
      <c r="AJ85" s="20">
        <v>0</v>
      </c>
      <c r="AK85" s="20">
        <f t="shared" si="4"/>
        <v>0</v>
      </c>
      <c r="AL85" s="26">
        <f t="shared" si="5"/>
        <v>0</v>
      </c>
    </row>
    <row r="86" spans="1:39" x14ac:dyDescent="0.3">
      <c r="A86" s="1">
        <v>77</v>
      </c>
      <c r="B86" s="1" t="s">
        <v>114</v>
      </c>
      <c r="C86" s="1" t="s">
        <v>2347</v>
      </c>
      <c r="D86" s="1" t="s">
        <v>2344</v>
      </c>
      <c r="E86" s="1" t="s">
        <v>95</v>
      </c>
      <c r="F86" s="1" t="s">
        <v>2348</v>
      </c>
      <c r="I86" s="3" t="s">
        <v>2340</v>
      </c>
      <c r="J86" s="1" t="s">
        <v>2345</v>
      </c>
      <c r="K86" s="1" t="s">
        <v>2458</v>
      </c>
      <c r="L86" s="1" t="s">
        <v>2350</v>
      </c>
      <c r="M86" s="1" t="s">
        <v>2434</v>
      </c>
      <c r="N86" s="1" t="s">
        <v>2435</v>
      </c>
      <c r="O86" s="1" t="s">
        <v>42</v>
      </c>
      <c r="Q86" s="1" t="s">
        <v>2346</v>
      </c>
      <c r="R86" s="1" t="s">
        <v>2353</v>
      </c>
      <c r="S86" s="1" t="s">
        <v>2354</v>
      </c>
      <c r="T86" s="49">
        <v>34424489.799999997</v>
      </c>
      <c r="U86" s="20">
        <v>932824.49</v>
      </c>
      <c r="V86" s="20">
        <v>0</v>
      </c>
      <c r="W86" s="20">
        <v>753110.2</v>
      </c>
      <c r="X86" s="20">
        <v>14349028.57</v>
      </c>
      <c r="Y86" s="20">
        <v>10875648.98</v>
      </c>
      <c r="Z86" s="20">
        <v>0</v>
      </c>
      <c r="AA86" s="20">
        <v>0</v>
      </c>
      <c r="AB86" s="20">
        <v>0</v>
      </c>
      <c r="AC86" s="20">
        <v>0</v>
      </c>
      <c r="AD86" s="20">
        <v>0</v>
      </c>
      <c r="AE86" s="20">
        <v>0</v>
      </c>
      <c r="AF86" s="20">
        <v>0</v>
      </c>
      <c r="AG86" s="51">
        <f t="shared" si="6"/>
        <v>7513877.5599999949</v>
      </c>
      <c r="AH86" s="20">
        <v>0</v>
      </c>
      <c r="AI86" s="20">
        <v>0</v>
      </c>
      <c r="AJ86" s="20">
        <v>0</v>
      </c>
      <c r="AK86" s="20">
        <f t="shared" si="4"/>
        <v>0</v>
      </c>
      <c r="AL86" s="26">
        <f t="shared" si="5"/>
        <v>0</v>
      </c>
    </row>
    <row r="87" spans="1:39" x14ac:dyDescent="0.3">
      <c r="A87" s="1">
        <v>78</v>
      </c>
      <c r="B87" s="1" t="s">
        <v>114</v>
      </c>
      <c r="C87" s="1" t="s">
        <v>2347</v>
      </c>
      <c r="D87" s="1" t="s">
        <v>2344</v>
      </c>
      <c r="E87" s="1" t="s">
        <v>95</v>
      </c>
      <c r="F87" s="1" t="s">
        <v>2348</v>
      </c>
      <c r="H87" s="1">
        <v>7158</v>
      </c>
      <c r="I87" s="3" t="s">
        <v>2340</v>
      </c>
      <c r="J87" s="1" t="s">
        <v>2345</v>
      </c>
      <c r="K87" s="1" t="s">
        <v>2459</v>
      </c>
      <c r="L87" s="1" t="s">
        <v>2350</v>
      </c>
      <c r="M87" s="1" t="s">
        <v>2434</v>
      </c>
      <c r="N87" s="1" t="s">
        <v>2435</v>
      </c>
      <c r="O87" s="1" t="s">
        <v>42</v>
      </c>
      <c r="Q87" s="1" t="s">
        <v>2346</v>
      </c>
      <c r="R87" s="1" t="s">
        <v>2353</v>
      </c>
      <c r="S87" s="1" t="s">
        <v>2354</v>
      </c>
      <c r="T87" s="49">
        <v>34424489.799999997</v>
      </c>
      <c r="U87" s="20">
        <v>932824.49</v>
      </c>
      <c r="V87" s="20">
        <v>0</v>
      </c>
      <c r="W87" s="20">
        <v>753110.2</v>
      </c>
      <c r="X87" s="20">
        <v>14349028.57</v>
      </c>
      <c r="Y87" s="20">
        <v>10875648.98</v>
      </c>
      <c r="Z87" s="20">
        <v>0</v>
      </c>
      <c r="AA87" s="20">
        <v>0</v>
      </c>
      <c r="AB87" s="20">
        <v>0</v>
      </c>
      <c r="AC87" s="20">
        <v>0</v>
      </c>
      <c r="AD87" s="20">
        <v>0</v>
      </c>
      <c r="AE87" s="20">
        <v>0</v>
      </c>
      <c r="AF87" s="20">
        <v>0</v>
      </c>
      <c r="AG87" s="51">
        <f t="shared" si="6"/>
        <v>7513877.5599999949</v>
      </c>
      <c r="AH87" s="20">
        <v>0</v>
      </c>
      <c r="AI87" s="20">
        <v>0</v>
      </c>
      <c r="AJ87" s="20">
        <v>0</v>
      </c>
      <c r="AK87" s="20">
        <f t="shared" si="4"/>
        <v>0</v>
      </c>
      <c r="AL87" s="26">
        <f t="shared" si="5"/>
        <v>0</v>
      </c>
    </row>
    <row r="88" spans="1:39" x14ac:dyDescent="0.3">
      <c r="A88" s="1">
        <v>79</v>
      </c>
      <c r="B88" s="1" t="s">
        <v>114</v>
      </c>
      <c r="C88" s="1" t="s">
        <v>2347</v>
      </c>
      <c r="D88" s="1" t="s">
        <v>2344</v>
      </c>
      <c r="E88" s="1" t="s">
        <v>560</v>
      </c>
      <c r="F88" s="1" t="s">
        <v>573</v>
      </c>
      <c r="G88" s="1" t="s">
        <v>560</v>
      </c>
      <c r="H88" s="1" t="s">
        <v>2460</v>
      </c>
      <c r="I88" s="3" t="s">
        <v>30</v>
      </c>
      <c r="J88" s="1" t="s">
        <v>2345</v>
      </c>
      <c r="K88" s="1" t="s">
        <v>562</v>
      </c>
      <c r="L88" s="1" t="s">
        <v>548</v>
      </c>
      <c r="M88" s="1" t="s">
        <v>2434</v>
      </c>
      <c r="N88" s="1" t="s">
        <v>2435</v>
      </c>
      <c r="O88" s="1" t="s">
        <v>42</v>
      </c>
      <c r="Q88" s="1" t="s">
        <v>2346</v>
      </c>
      <c r="R88" s="1" t="s">
        <v>2353</v>
      </c>
      <c r="S88" s="1" t="s">
        <v>2354</v>
      </c>
      <c r="T88" s="49">
        <v>2558224.37</v>
      </c>
      <c r="U88" s="20">
        <v>0</v>
      </c>
      <c r="V88" s="20">
        <v>0</v>
      </c>
      <c r="W88" s="20">
        <v>0</v>
      </c>
      <c r="X88" s="20">
        <v>0</v>
      </c>
      <c r="Y88" s="20">
        <v>0</v>
      </c>
      <c r="Z88" s="20">
        <v>1031986.9</v>
      </c>
      <c r="AA88" s="20">
        <v>900367.85</v>
      </c>
      <c r="AB88" s="20">
        <v>40879.14</v>
      </c>
      <c r="AC88" s="20">
        <v>369186.95</v>
      </c>
      <c r="AD88" s="20">
        <v>151454.70000000001</v>
      </c>
      <c r="AE88" s="20">
        <v>0</v>
      </c>
      <c r="AF88" s="20">
        <v>0</v>
      </c>
      <c r="AG88" s="51">
        <f t="shared" si="6"/>
        <v>64348.830000000075</v>
      </c>
      <c r="AH88" s="20">
        <v>2953250</v>
      </c>
      <c r="AI88" s="20">
        <v>3548850</v>
      </c>
      <c r="AJ88" s="20">
        <v>4677650</v>
      </c>
      <c r="AK88" s="20">
        <f t="shared" si="4"/>
        <v>3726583.3333333335</v>
      </c>
      <c r="AL88" s="26">
        <f t="shared" si="5"/>
        <v>-0.31352014937722217</v>
      </c>
      <c r="AM88" s="1" t="s">
        <v>3019</v>
      </c>
    </row>
    <row r="89" spans="1:39" x14ac:dyDescent="0.3">
      <c r="A89" s="1">
        <v>80</v>
      </c>
      <c r="B89" s="1" t="s">
        <v>114</v>
      </c>
      <c r="C89" s="1" t="s">
        <v>2347</v>
      </c>
      <c r="D89" s="1" t="s">
        <v>2344</v>
      </c>
      <c r="F89" s="1" t="s">
        <v>2375</v>
      </c>
      <c r="H89" s="1" t="s">
        <v>2461</v>
      </c>
      <c r="I89" s="3" t="s">
        <v>30</v>
      </c>
      <c r="J89" s="1" t="s">
        <v>2345</v>
      </c>
      <c r="K89" s="1" t="s">
        <v>2462</v>
      </c>
      <c r="L89" s="1" t="s">
        <v>2463</v>
      </c>
      <c r="M89" s="1" t="s">
        <v>2434</v>
      </c>
      <c r="N89" s="1" t="s">
        <v>2435</v>
      </c>
      <c r="O89" s="1" t="s">
        <v>42</v>
      </c>
      <c r="Q89" s="1" t="s">
        <v>2346</v>
      </c>
      <c r="R89" s="1" t="s">
        <v>2353</v>
      </c>
      <c r="S89" s="1" t="s">
        <v>2354</v>
      </c>
      <c r="T89" s="49">
        <v>5870129.8700000001</v>
      </c>
      <c r="U89" s="20">
        <v>0</v>
      </c>
      <c r="V89" s="20">
        <v>0</v>
      </c>
      <c r="W89" s="20">
        <v>0</v>
      </c>
      <c r="X89" s="20">
        <v>0</v>
      </c>
      <c r="Y89" s="20">
        <v>0</v>
      </c>
      <c r="Z89" s="20">
        <v>703796.1872388511</v>
      </c>
      <c r="AA89" s="20">
        <v>1092628.51</v>
      </c>
      <c r="AB89" s="20">
        <v>93801.72</v>
      </c>
      <c r="AC89" s="20">
        <v>1847140.45</v>
      </c>
      <c r="AD89" s="20">
        <v>1806451.81</v>
      </c>
      <c r="AE89" s="20">
        <v>0</v>
      </c>
      <c r="AF89" s="20">
        <v>0</v>
      </c>
      <c r="AG89" s="51">
        <f t="shared" si="6"/>
        <v>326311.19276114833</v>
      </c>
      <c r="AH89" s="20">
        <v>0</v>
      </c>
      <c r="AI89" s="20">
        <v>0</v>
      </c>
      <c r="AJ89" s="20">
        <v>0</v>
      </c>
      <c r="AK89" s="20">
        <f t="shared" si="4"/>
        <v>0</v>
      </c>
      <c r="AL89" s="26">
        <f t="shared" si="5"/>
        <v>0</v>
      </c>
    </row>
    <row r="90" spans="1:39" x14ac:dyDescent="0.3">
      <c r="A90" s="1">
        <v>81</v>
      </c>
      <c r="B90" s="1" t="s">
        <v>114</v>
      </c>
      <c r="C90" s="1" t="s">
        <v>2347</v>
      </c>
      <c r="D90" s="1" t="s">
        <v>2344</v>
      </c>
      <c r="F90" s="1" t="s">
        <v>2375</v>
      </c>
      <c r="H90" s="1" t="s">
        <v>2464</v>
      </c>
      <c r="I90" s="3" t="s">
        <v>30</v>
      </c>
      <c r="J90" s="1" t="s">
        <v>2345</v>
      </c>
      <c r="K90" s="1" t="s">
        <v>2465</v>
      </c>
      <c r="L90" s="1" t="s">
        <v>2466</v>
      </c>
      <c r="M90" s="1" t="s">
        <v>2434</v>
      </c>
      <c r="N90" s="1" t="s">
        <v>2435</v>
      </c>
      <c r="O90" s="1" t="s">
        <v>42</v>
      </c>
      <c r="Q90" s="1" t="s">
        <v>2346</v>
      </c>
      <c r="R90" s="1" t="s">
        <v>2353</v>
      </c>
      <c r="S90" s="1" t="s">
        <v>2354</v>
      </c>
      <c r="T90" s="49">
        <v>5870129.8700000001</v>
      </c>
      <c r="U90" s="20">
        <v>0</v>
      </c>
      <c r="V90" s="20">
        <v>0</v>
      </c>
      <c r="W90" s="20">
        <v>0</v>
      </c>
      <c r="X90" s="20">
        <v>0</v>
      </c>
      <c r="Y90" s="20">
        <v>0</v>
      </c>
      <c r="Z90" s="20">
        <v>703796.1872388511</v>
      </c>
      <c r="AA90" s="20">
        <v>1092628.51</v>
      </c>
      <c r="AB90" s="20">
        <v>93801.72</v>
      </c>
      <c r="AC90" s="20">
        <v>1847140.45</v>
      </c>
      <c r="AD90" s="20">
        <v>1806451.81</v>
      </c>
      <c r="AE90" s="20">
        <v>0</v>
      </c>
      <c r="AF90" s="20">
        <v>0</v>
      </c>
      <c r="AG90" s="51">
        <f t="shared" si="6"/>
        <v>326311.19276114833</v>
      </c>
      <c r="AH90" s="20">
        <v>0</v>
      </c>
      <c r="AI90" s="20">
        <v>0</v>
      </c>
      <c r="AJ90" s="20">
        <v>0</v>
      </c>
      <c r="AK90" s="20">
        <f t="shared" si="4"/>
        <v>0</v>
      </c>
      <c r="AL90" s="26">
        <f t="shared" si="5"/>
        <v>0</v>
      </c>
    </row>
    <row r="91" spans="1:39" x14ac:dyDescent="0.3">
      <c r="A91" s="1">
        <v>82</v>
      </c>
      <c r="B91" s="1" t="s">
        <v>114</v>
      </c>
      <c r="C91" s="1" t="s">
        <v>2347</v>
      </c>
      <c r="D91" s="1" t="s">
        <v>2344</v>
      </c>
      <c r="F91" s="1" t="s">
        <v>2375</v>
      </c>
      <c r="H91" s="1" t="s">
        <v>2467</v>
      </c>
      <c r="I91" s="3" t="s">
        <v>30</v>
      </c>
      <c r="J91" s="1" t="s">
        <v>2345</v>
      </c>
      <c r="K91" s="1" t="s">
        <v>2468</v>
      </c>
      <c r="L91" s="1" t="s">
        <v>2469</v>
      </c>
      <c r="M91" s="1" t="s">
        <v>2434</v>
      </c>
      <c r="N91" s="1" t="s">
        <v>2435</v>
      </c>
      <c r="O91" s="1" t="s">
        <v>42</v>
      </c>
      <c r="Q91" s="1" t="s">
        <v>2346</v>
      </c>
      <c r="R91" s="1" t="s">
        <v>2353</v>
      </c>
      <c r="S91" s="1" t="s">
        <v>2354</v>
      </c>
      <c r="T91" s="49">
        <v>5870129.8700000001</v>
      </c>
      <c r="U91" s="20">
        <v>0</v>
      </c>
      <c r="V91" s="20">
        <v>0</v>
      </c>
      <c r="W91" s="20">
        <v>0</v>
      </c>
      <c r="X91" s="20">
        <v>0</v>
      </c>
      <c r="Y91" s="20">
        <v>0</v>
      </c>
      <c r="Z91" s="20">
        <v>703796.1872388511</v>
      </c>
      <c r="AA91" s="20">
        <v>1092628.51</v>
      </c>
      <c r="AB91" s="20">
        <v>93801.72</v>
      </c>
      <c r="AC91" s="20">
        <v>1847140.45</v>
      </c>
      <c r="AD91" s="20">
        <v>1806451.81</v>
      </c>
      <c r="AE91" s="20">
        <v>0</v>
      </c>
      <c r="AF91" s="20">
        <v>0</v>
      </c>
      <c r="AG91" s="51">
        <f t="shared" si="6"/>
        <v>326311.19276114833</v>
      </c>
      <c r="AH91" s="20">
        <v>0</v>
      </c>
      <c r="AI91" s="20">
        <v>0</v>
      </c>
      <c r="AJ91" s="20">
        <v>0</v>
      </c>
      <c r="AK91" s="20">
        <f t="shared" si="4"/>
        <v>0</v>
      </c>
      <c r="AL91" s="26">
        <f t="shared" si="5"/>
        <v>0</v>
      </c>
    </row>
    <row r="92" spans="1:39" x14ac:dyDescent="0.3">
      <c r="A92" s="1">
        <v>83</v>
      </c>
      <c r="B92" s="1" t="s">
        <v>114</v>
      </c>
      <c r="C92" s="1" t="s">
        <v>2347</v>
      </c>
      <c r="D92" s="1" t="s">
        <v>2344</v>
      </c>
      <c r="F92" s="1" t="s">
        <v>2375</v>
      </c>
      <c r="H92" s="1" t="s">
        <v>2470</v>
      </c>
      <c r="I92" s="3" t="s">
        <v>30</v>
      </c>
      <c r="J92" s="1" t="s">
        <v>2345</v>
      </c>
      <c r="K92" s="1" t="s">
        <v>2471</v>
      </c>
      <c r="L92" s="1" t="s">
        <v>2471</v>
      </c>
      <c r="M92" s="1" t="s">
        <v>2434</v>
      </c>
      <c r="N92" s="1" t="s">
        <v>2435</v>
      </c>
      <c r="O92" s="1" t="s">
        <v>42</v>
      </c>
      <c r="Q92" s="1" t="s">
        <v>2346</v>
      </c>
      <c r="R92" s="1" t="s">
        <v>2353</v>
      </c>
      <c r="S92" s="1" t="s">
        <v>2354</v>
      </c>
      <c r="T92" s="49">
        <v>5870129.8700000001</v>
      </c>
      <c r="U92" s="20">
        <v>0</v>
      </c>
      <c r="V92" s="20">
        <v>0</v>
      </c>
      <c r="W92" s="20">
        <v>0</v>
      </c>
      <c r="X92" s="20">
        <v>0</v>
      </c>
      <c r="Y92" s="20">
        <v>0</v>
      </c>
      <c r="Z92" s="20">
        <v>703796.1872388511</v>
      </c>
      <c r="AA92" s="20">
        <v>1092628.51</v>
      </c>
      <c r="AB92" s="20">
        <v>93801.72</v>
      </c>
      <c r="AC92" s="20">
        <v>1847140.45</v>
      </c>
      <c r="AD92" s="20">
        <v>1806451.81</v>
      </c>
      <c r="AE92" s="20">
        <v>0</v>
      </c>
      <c r="AF92" s="20">
        <v>0</v>
      </c>
      <c r="AG92" s="51">
        <f t="shared" si="6"/>
        <v>326311.19276114833</v>
      </c>
      <c r="AH92" s="20">
        <v>0</v>
      </c>
      <c r="AI92" s="20">
        <v>0</v>
      </c>
      <c r="AJ92" s="20">
        <v>0</v>
      </c>
      <c r="AK92" s="20">
        <f t="shared" si="4"/>
        <v>0</v>
      </c>
      <c r="AL92" s="26">
        <f t="shared" si="5"/>
        <v>0</v>
      </c>
    </row>
    <row r="93" spans="1:39" x14ac:dyDescent="0.3">
      <c r="A93" s="1">
        <v>84</v>
      </c>
      <c r="B93" s="1" t="s">
        <v>114</v>
      </c>
      <c r="C93" s="1" t="s">
        <v>2347</v>
      </c>
      <c r="D93" s="1" t="s">
        <v>2344</v>
      </c>
      <c r="F93" s="1" t="s">
        <v>2375</v>
      </c>
      <c r="H93" s="1" t="s">
        <v>2472</v>
      </c>
      <c r="I93" s="3" t="s">
        <v>30</v>
      </c>
      <c r="J93" s="1" t="s">
        <v>2345</v>
      </c>
      <c r="K93" s="1" t="s">
        <v>2473</v>
      </c>
      <c r="L93" s="1" t="s">
        <v>2473</v>
      </c>
      <c r="M93" s="1" t="s">
        <v>2434</v>
      </c>
      <c r="N93" s="1" t="s">
        <v>2435</v>
      </c>
      <c r="O93" s="1" t="s">
        <v>42</v>
      </c>
      <c r="Q93" s="1" t="s">
        <v>2346</v>
      </c>
      <c r="R93" s="1" t="s">
        <v>2353</v>
      </c>
      <c r="S93" s="1" t="s">
        <v>2354</v>
      </c>
      <c r="T93" s="49">
        <v>5870129.8700000001</v>
      </c>
      <c r="U93" s="20">
        <v>0</v>
      </c>
      <c r="V93" s="20">
        <v>0</v>
      </c>
      <c r="W93" s="20">
        <v>0</v>
      </c>
      <c r="X93" s="20">
        <v>0</v>
      </c>
      <c r="Y93" s="20">
        <v>0</v>
      </c>
      <c r="Z93" s="20">
        <v>703796.1872388511</v>
      </c>
      <c r="AA93" s="20">
        <v>1092628.51</v>
      </c>
      <c r="AB93" s="20">
        <v>93801.72</v>
      </c>
      <c r="AC93" s="20">
        <v>1847140.45</v>
      </c>
      <c r="AD93" s="20">
        <v>1806451.81</v>
      </c>
      <c r="AE93" s="20">
        <v>0</v>
      </c>
      <c r="AF93" s="20">
        <v>0</v>
      </c>
      <c r="AG93" s="51">
        <f t="shared" si="6"/>
        <v>326311.19276114833</v>
      </c>
      <c r="AH93" s="20">
        <v>0</v>
      </c>
      <c r="AI93" s="20">
        <v>0</v>
      </c>
      <c r="AJ93" s="20">
        <v>0</v>
      </c>
      <c r="AK93" s="20">
        <f t="shared" si="4"/>
        <v>0</v>
      </c>
      <c r="AL93" s="26">
        <f t="shared" si="5"/>
        <v>0</v>
      </c>
    </row>
    <row r="94" spans="1:39" x14ac:dyDescent="0.3">
      <c r="A94" s="1">
        <v>85</v>
      </c>
      <c r="B94" s="1" t="s">
        <v>114</v>
      </c>
      <c r="C94" s="1" t="s">
        <v>2347</v>
      </c>
      <c r="D94" s="1" t="s">
        <v>2344</v>
      </c>
      <c r="F94" s="1" t="s">
        <v>2375</v>
      </c>
      <c r="H94" s="1" t="s">
        <v>2474</v>
      </c>
      <c r="I94" s="3" t="s">
        <v>30</v>
      </c>
      <c r="J94" s="1" t="s">
        <v>2345</v>
      </c>
      <c r="K94" s="1" t="s">
        <v>2475</v>
      </c>
      <c r="L94" s="1" t="s">
        <v>2475</v>
      </c>
      <c r="M94" s="1" t="s">
        <v>2434</v>
      </c>
      <c r="N94" s="1" t="s">
        <v>2435</v>
      </c>
      <c r="O94" s="1" t="s">
        <v>42</v>
      </c>
      <c r="Q94" s="1" t="s">
        <v>2346</v>
      </c>
      <c r="R94" s="1" t="s">
        <v>2353</v>
      </c>
      <c r="S94" s="1" t="s">
        <v>2354</v>
      </c>
      <c r="T94" s="49">
        <v>5870129.8700000001</v>
      </c>
      <c r="U94" s="20">
        <v>0</v>
      </c>
      <c r="V94" s="20">
        <v>0</v>
      </c>
      <c r="W94" s="20">
        <v>0</v>
      </c>
      <c r="X94" s="20">
        <v>0</v>
      </c>
      <c r="Y94" s="20">
        <v>0</v>
      </c>
      <c r="Z94" s="20">
        <v>703796.1872388511</v>
      </c>
      <c r="AA94" s="20">
        <v>1092628.51</v>
      </c>
      <c r="AB94" s="20">
        <v>93801.72</v>
      </c>
      <c r="AC94" s="20">
        <v>1847140.45</v>
      </c>
      <c r="AD94" s="20">
        <v>1806451.81</v>
      </c>
      <c r="AE94" s="20">
        <v>0</v>
      </c>
      <c r="AF94" s="20">
        <v>0</v>
      </c>
      <c r="AG94" s="51">
        <f t="shared" si="6"/>
        <v>326311.19276114833</v>
      </c>
      <c r="AH94" s="20">
        <v>0</v>
      </c>
      <c r="AI94" s="20">
        <v>0</v>
      </c>
      <c r="AJ94" s="20">
        <v>0</v>
      </c>
      <c r="AK94" s="20">
        <f t="shared" si="4"/>
        <v>0</v>
      </c>
      <c r="AL94" s="26">
        <f t="shared" si="5"/>
        <v>0</v>
      </c>
    </row>
    <row r="95" spans="1:39" x14ac:dyDescent="0.3">
      <c r="A95" s="1">
        <v>86</v>
      </c>
      <c r="B95" s="1" t="s">
        <v>114</v>
      </c>
      <c r="C95" s="1" t="s">
        <v>2347</v>
      </c>
      <c r="D95" s="1" t="s">
        <v>2344</v>
      </c>
      <c r="E95" s="1" t="s">
        <v>95</v>
      </c>
      <c r="F95" s="1" t="s">
        <v>2348</v>
      </c>
      <c r="H95" s="1" t="s">
        <v>2476</v>
      </c>
      <c r="I95" s="3" t="s">
        <v>2340</v>
      </c>
      <c r="J95" s="1" t="s">
        <v>2345</v>
      </c>
      <c r="K95" s="1" t="s">
        <v>2477</v>
      </c>
      <c r="L95" s="1" t="s">
        <v>2478</v>
      </c>
      <c r="M95" s="1" t="s">
        <v>2479</v>
      </c>
      <c r="N95" s="1" t="s">
        <v>2480</v>
      </c>
      <c r="O95" s="1" t="s">
        <v>42</v>
      </c>
      <c r="Q95" s="1" t="s">
        <v>2346</v>
      </c>
      <c r="R95" s="1" t="s">
        <v>2353</v>
      </c>
      <c r="S95" s="1" t="s">
        <v>2354</v>
      </c>
      <c r="T95" s="49">
        <v>30424489.800000001</v>
      </c>
      <c r="U95" s="20">
        <v>932824.49</v>
      </c>
      <c r="V95" s="20">
        <v>0</v>
      </c>
      <c r="W95" s="20">
        <v>753110.2</v>
      </c>
      <c r="X95" s="20">
        <v>14349028.57</v>
      </c>
      <c r="Y95" s="20">
        <v>10875648.98</v>
      </c>
      <c r="Z95" s="20">
        <v>0</v>
      </c>
      <c r="AA95" s="20">
        <v>0</v>
      </c>
      <c r="AB95" s="20">
        <v>0</v>
      </c>
      <c r="AC95" s="20">
        <v>0</v>
      </c>
      <c r="AD95" s="20">
        <v>0</v>
      </c>
      <c r="AE95" s="20">
        <v>0</v>
      </c>
      <c r="AF95" s="20">
        <v>0</v>
      </c>
      <c r="AG95" s="51">
        <f t="shared" si="6"/>
        <v>3513877.5599999987</v>
      </c>
      <c r="AH95" s="20">
        <v>0</v>
      </c>
      <c r="AI95" s="20">
        <v>0</v>
      </c>
      <c r="AJ95" s="20">
        <v>0</v>
      </c>
      <c r="AK95" s="20">
        <f t="shared" si="4"/>
        <v>0</v>
      </c>
      <c r="AL95" s="26">
        <f t="shared" si="5"/>
        <v>0</v>
      </c>
    </row>
    <row r="96" spans="1:39" x14ac:dyDescent="0.3">
      <c r="A96" s="1">
        <v>87</v>
      </c>
      <c r="B96" s="1" t="s">
        <v>114</v>
      </c>
      <c r="C96" s="1" t="s">
        <v>2347</v>
      </c>
      <c r="D96" s="1" t="s">
        <v>2344</v>
      </c>
      <c r="E96" s="1" t="s">
        <v>95</v>
      </c>
      <c r="F96" s="1" t="s">
        <v>2348</v>
      </c>
      <c r="H96" s="1" t="s">
        <v>2481</v>
      </c>
      <c r="I96" s="3" t="s">
        <v>2340</v>
      </c>
      <c r="J96" s="1" t="s">
        <v>2345</v>
      </c>
      <c r="K96" s="1" t="s">
        <v>2482</v>
      </c>
      <c r="L96" s="1" t="s">
        <v>2483</v>
      </c>
      <c r="M96" s="1" t="s">
        <v>2479</v>
      </c>
      <c r="N96" s="1" t="s">
        <v>2480</v>
      </c>
      <c r="O96" s="1" t="s">
        <v>42</v>
      </c>
      <c r="Q96" s="1" t="s">
        <v>2346</v>
      </c>
      <c r="R96" s="1" t="s">
        <v>2353</v>
      </c>
      <c r="S96" s="1" t="s">
        <v>2354</v>
      </c>
      <c r="T96" s="49">
        <v>30424489.800000001</v>
      </c>
      <c r="U96" s="20">
        <v>932824.49</v>
      </c>
      <c r="V96" s="20">
        <v>0</v>
      </c>
      <c r="W96" s="20">
        <v>753110.2</v>
      </c>
      <c r="X96" s="20">
        <v>14349028.57</v>
      </c>
      <c r="Y96" s="20">
        <v>10875648.98</v>
      </c>
      <c r="Z96" s="20">
        <v>0</v>
      </c>
      <c r="AA96" s="20">
        <v>0</v>
      </c>
      <c r="AB96" s="20">
        <v>0</v>
      </c>
      <c r="AC96" s="20">
        <v>0</v>
      </c>
      <c r="AD96" s="20">
        <v>0</v>
      </c>
      <c r="AE96" s="20">
        <v>0</v>
      </c>
      <c r="AF96" s="20">
        <v>0</v>
      </c>
      <c r="AG96" s="51">
        <f t="shared" si="6"/>
        <v>3513877.5599999987</v>
      </c>
      <c r="AH96" s="20">
        <v>0</v>
      </c>
      <c r="AI96" s="20">
        <v>0</v>
      </c>
      <c r="AJ96" s="20">
        <v>0</v>
      </c>
      <c r="AK96" s="20">
        <f t="shared" si="4"/>
        <v>0</v>
      </c>
      <c r="AL96" s="26">
        <f t="shared" si="5"/>
        <v>0</v>
      </c>
    </row>
    <row r="97" spans="1:38" x14ac:dyDescent="0.3">
      <c r="A97" s="1">
        <v>88</v>
      </c>
      <c r="B97" s="1" t="s">
        <v>114</v>
      </c>
      <c r="C97" s="1" t="s">
        <v>2347</v>
      </c>
      <c r="D97" s="1" t="s">
        <v>2344</v>
      </c>
      <c r="E97" s="1" t="s">
        <v>95</v>
      </c>
      <c r="F97" s="1" t="s">
        <v>2348</v>
      </c>
      <c r="H97" s="1" t="s">
        <v>2484</v>
      </c>
      <c r="I97" s="3" t="s">
        <v>2340</v>
      </c>
      <c r="J97" s="1" t="s">
        <v>2345</v>
      </c>
      <c r="K97" s="1" t="s">
        <v>2485</v>
      </c>
      <c r="L97" s="1" t="s">
        <v>2486</v>
      </c>
      <c r="M97" s="1" t="s">
        <v>2479</v>
      </c>
      <c r="N97" s="1" t="s">
        <v>2480</v>
      </c>
      <c r="O97" s="1" t="s">
        <v>42</v>
      </c>
      <c r="Q97" s="1" t="s">
        <v>2346</v>
      </c>
      <c r="R97" s="1" t="s">
        <v>2353</v>
      </c>
      <c r="S97" s="1" t="s">
        <v>2354</v>
      </c>
      <c r="T97" s="49">
        <v>30424489.800000001</v>
      </c>
      <c r="U97" s="20">
        <v>932824.49</v>
      </c>
      <c r="V97" s="20">
        <v>0</v>
      </c>
      <c r="W97" s="20">
        <v>753110.2</v>
      </c>
      <c r="X97" s="20">
        <v>14349028.57</v>
      </c>
      <c r="Y97" s="20">
        <v>10875648.98</v>
      </c>
      <c r="Z97" s="20">
        <v>0</v>
      </c>
      <c r="AA97" s="20">
        <v>0</v>
      </c>
      <c r="AB97" s="20">
        <v>0</v>
      </c>
      <c r="AC97" s="20">
        <v>0</v>
      </c>
      <c r="AD97" s="20">
        <v>0</v>
      </c>
      <c r="AE97" s="20">
        <v>0</v>
      </c>
      <c r="AF97" s="20">
        <v>0</v>
      </c>
      <c r="AG97" s="51">
        <f t="shared" si="6"/>
        <v>3513877.5599999987</v>
      </c>
      <c r="AH97" s="20">
        <v>0</v>
      </c>
      <c r="AI97" s="20">
        <v>0</v>
      </c>
      <c r="AJ97" s="20">
        <v>0</v>
      </c>
      <c r="AK97" s="20">
        <f t="shared" si="4"/>
        <v>0</v>
      </c>
      <c r="AL97" s="26">
        <f t="shared" si="5"/>
        <v>0</v>
      </c>
    </row>
    <row r="98" spans="1:38" x14ac:dyDescent="0.3">
      <c r="A98" s="1">
        <v>89</v>
      </c>
      <c r="B98" s="1" t="s">
        <v>114</v>
      </c>
      <c r="C98" s="1" t="s">
        <v>2347</v>
      </c>
      <c r="D98" s="1" t="s">
        <v>2344</v>
      </c>
      <c r="E98" s="1" t="s">
        <v>95</v>
      </c>
      <c r="F98" s="1" t="s">
        <v>2348</v>
      </c>
      <c r="H98" s="1" t="s">
        <v>2487</v>
      </c>
      <c r="I98" s="3" t="s">
        <v>2340</v>
      </c>
      <c r="J98" s="1" t="s">
        <v>2345</v>
      </c>
      <c r="K98" s="1" t="s">
        <v>2488</v>
      </c>
      <c r="L98" s="1" t="s">
        <v>2489</v>
      </c>
      <c r="M98" s="1" t="s">
        <v>2479</v>
      </c>
      <c r="N98" s="1" t="s">
        <v>2480</v>
      </c>
      <c r="O98" s="1" t="s">
        <v>42</v>
      </c>
      <c r="Q98" s="1" t="s">
        <v>2346</v>
      </c>
      <c r="R98" s="1" t="s">
        <v>2353</v>
      </c>
      <c r="S98" s="1" t="s">
        <v>2354</v>
      </c>
      <c r="T98" s="49">
        <v>30424489.800000001</v>
      </c>
      <c r="U98" s="20">
        <v>932824.49</v>
      </c>
      <c r="V98" s="20">
        <v>0</v>
      </c>
      <c r="W98" s="20">
        <v>753110.2</v>
      </c>
      <c r="X98" s="20">
        <v>14349028.57</v>
      </c>
      <c r="Y98" s="20">
        <v>10875648.98</v>
      </c>
      <c r="Z98" s="20">
        <v>0</v>
      </c>
      <c r="AA98" s="20">
        <v>0</v>
      </c>
      <c r="AB98" s="20">
        <v>0</v>
      </c>
      <c r="AC98" s="20">
        <v>0</v>
      </c>
      <c r="AD98" s="20">
        <v>0</v>
      </c>
      <c r="AE98" s="20">
        <v>0</v>
      </c>
      <c r="AF98" s="20">
        <v>0</v>
      </c>
      <c r="AG98" s="51">
        <f t="shared" si="6"/>
        <v>3513877.5599999987</v>
      </c>
      <c r="AH98" s="20">
        <v>0</v>
      </c>
      <c r="AI98" s="20">
        <v>0</v>
      </c>
      <c r="AJ98" s="20">
        <v>0</v>
      </c>
      <c r="AK98" s="20">
        <f t="shared" si="4"/>
        <v>0</v>
      </c>
      <c r="AL98" s="26">
        <f t="shared" si="5"/>
        <v>0</v>
      </c>
    </row>
    <row r="99" spans="1:38" x14ac:dyDescent="0.3">
      <c r="A99" s="1">
        <v>90</v>
      </c>
      <c r="B99" s="1" t="s">
        <v>114</v>
      </c>
      <c r="C99" s="1" t="s">
        <v>2347</v>
      </c>
      <c r="D99" s="1" t="s">
        <v>2344</v>
      </c>
      <c r="E99" s="1" t="s">
        <v>95</v>
      </c>
      <c r="F99" s="1" t="s">
        <v>2348</v>
      </c>
      <c r="H99" s="1" t="s">
        <v>2490</v>
      </c>
      <c r="I99" s="3" t="s">
        <v>2340</v>
      </c>
      <c r="J99" s="1" t="s">
        <v>2345</v>
      </c>
      <c r="K99" s="1" t="s">
        <v>2491</v>
      </c>
      <c r="L99" s="1" t="s">
        <v>2492</v>
      </c>
      <c r="M99" s="1" t="s">
        <v>2479</v>
      </c>
      <c r="N99" s="1" t="s">
        <v>2480</v>
      </c>
      <c r="O99" s="1" t="s">
        <v>42</v>
      </c>
      <c r="Q99" s="1" t="s">
        <v>2346</v>
      </c>
      <c r="R99" s="1" t="s">
        <v>2353</v>
      </c>
      <c r="S99" s="1" t="s">
        <v>2354</v>
      </c>
      <c r="T99" s="49">
        <v>30424489.800000001</v>
      </c>
      <c r="U99" s="20">
        <v>932824.49</v>
      </c>
      <c r="V99" s="20">
        <v>0</v>
      </c>
      <c r="W99" s="20">
        <v>753110.2</v>
      </c>
      <c r="X99" s="20">
        <v>14349028.57</v>
      </c>
      <c r="Y99" s="20">
        <v>10875648.98</v>
      </c>
      <c r="Z99" s="20">
        <v>0</v>
      </c>
      <c r="AA99" s="20">
        <v>0</v>
      </c>
      <c r="AB99" s="20">
        <v>0</v>
      </c>
      <c r="AC99" s="20">
        <v>0</v>
      </c>
      <c r="AD99" s="20">
        <v>0</v>
      </c>
      <c r="AE99" s="20">
        <v>0</v>
      </c>
      <c r="AF99" s="20">
        <v>0</v>
      </c>
      <c r="AG99" s="51">
        <f t="shared" si="6"/>
        <v>3513877.5599999987</v>
      </c>
      <c r="AH99" s="20">
        <v>0</v>
      </c>
      <c r="AI99" s="20">
        <v>0</v>
      </c>
      <c r="AJ99" s="20">
        <v>0</v>
      </c>
      <c r="AK99" s="20">
        <f t="shared" si="4"/>
        <v>0</v>
      </c>
      <c r="AL99" s="26">
        <f t="shared" si="5"/>
        <v>0</v>
      </c>
    </row>
    <row r="100" spans="1:38" x14ac:dyDescent="0.3">
      <c r="A100" s="1">
        <v>91</v>
      </c>
      <c r="B100" s="1" t="s">
        <v>114</v>
      </c>
      <c r="C100" s="1" t="s">
        <v>2347</v>
      </c>
      <c r="D100" s="1" t="s">
        <v>2344</v>
      </c>
      <c r="E100" s="1" t="s">
        <v>95</v>
      </c>
      <c r="F100" s="1" t="s">
        <v>2348</v>
      </c>
      <c r="I100" s="3" t="s">
        <v>2340</v>
      </c>
      <c r="J100" s="1" t="s">
        <v>2345</v>
      </c>
      <c r="K100" s="1" t="s">
        <v>2493</v>
      </c>
      <c r="L100" s="1" t="s">
        <v>2350</v>
      </c>
      <c r="M100" s="1" t="s">
        <v>2479</v>
      </c>
      <c r="N100" s="1" t="s">
        <v>2480</v>
      </c>
      <c r="O100" s="1" t="s">
        <v>42</v>
      </c>
      <c r="Q100" s="1" t="s">
        <v>2346</v>
      </c>
      <c r="R100" s="1" t="s">
        <v>2353</v>
      </c>
      <c r="S100" s="1" t="s">
        <v>2354</v>
      </c>
      <c r="T100" s="49">
        <v>30424489.800000001</v>
      </c>
      <c r="U100" s="20">
        <v>932824.49</v>
      </c>
      <c r="V100" s="20">
        <v>0</v>
      </c>
      <c r="W100" s="20">
        <v>753110.2</v>
      </c>
      <c r="X100" s="20">
        <v>14349028.57</v>
      </c>
      <c r="Y100" s="20">
        <v>10875648.98</v>
      </c>
      <c r="Z100" s="20">
        <v>0</v>
      </c>
      <c r="AA100" s="20">
        <v>0</v>
      </c>
      <c r="AB100" s="20">
        <v>0</v>
      </c>
      <c r="AC100" s="20">
        <v>0</v>
      </c>
      <c r="AD100" s="20">
        <v>0</v>
      </c>
      <c r="AE100" s="20">
        <v>0</v>
      </c>
      <c r="AF100" s="20">
        <v>0</v>
      </c>
      <c r="AG100" s="51">
        <f t="shared" si="6"/>
        <v>3513877.5599999987</v>
      </c>
      <c r="AH100" s="20">
        <v>0</v>
      </c>
      <c r="AI100" s="20">
        <v>0</v>
      </c>
      <c r="AJ100" s="20">
        <v>0</v>
      </c>
      <c r="AK100" s="20">
        <f t="shared" si="4"/>
        <v>0</v>
      </c>
      <c r="AL100" s="26">
        <f t="shared" si="5"/>
        <v>0</v>
      </c>
    </row>
    <row r="101" spans="1:38" x14ac:dyDescent="0.3">
      <c r="A101" s="1">
        <v>92</v>
      </c>
      <c r="B101" s="1" t="s">
        <v>114</v>
      </c>
      <c r="C101" s="1" t="s">
        <v>2347</v>
      </c>
      <c r="D101" s="1" t="s">
        <v>2344</v>
      </c>
      <c r="E101" s="1" t="s">
        <v>95</v>
      </c>
      <c r="F101" s="1" t="s">
        <v>2348</v>
      </c>
      <c r="H101" s="1" t="s">
        <v>2494</v>
      </c>
      <c r="I101" s="3" t="s">
        <v>2340</v>
      </c>
      <c r="J101" s="1" t="s">
        <v>2345</v>
      </c>
      <c r="K101" s="1" t="s">
        <v>2495</v>
      </c>
      <c r="L101" s="1" t="s">
        <v>2496</v>
      </c>
      <c r="M101" s="1" t="s">
        <v>2479</v>
      </c>
      <c r="N101" s="1" t="s">
        <v>2480</v>
      </c>
      <c r="O101" s="1" t="s">
        <v>42</v>
      </c>
      <c r="Q101" s="1" t="s">
        <v>2346</v>
      </c>
      <c r="R101" s="1" t="s">
        <v>2353</v>
      </c>
      <c r="S101" s="1" t="s">
        <v>2354</v>
      </c>
      <c r="T101" s="49">
        <v>30424489.800000001</v>
      </c>
      <c r="U101" s="20">
        <v>932824.49</v>
      </c>
      <c r="V101" s="20">
        <v>0</v>
      </c>
      <c r="W101" s="20">
        <v>753110.2</v>
      </c>
      <c r="X101" s="20">
        <v>14349028.57</v>
      </c>
      <c r="Y101" s="20">
        <v>10875648.98</v>
      </c>
      <c r="Z101" s="20">
        <v>0</v>
      </c>
      <c r="AA101" s="20">
        <v>0</v>
      </c>
      <c r="AB101" s="20">
        <v>0</v>
      </c>
      <c r="AC101" s="20">
        <v>0</v>
      </c>
      <c r="AD101" s="20">
        <v>0</v>
      </c>
      <c r="AE101" s="20">
        <v>0</v>
      </c>
      <c r="AF101" s="20">
        <v>0</v>
      </c>
      <c r="AG101" s="51">
        <f t="shared" si="6"/>
        <v>3513877.5599999987</v>
      </c>
      <c r="AH101" s="20">
        <v>0</v>
      </c>
      <c r="AI101" s="20">
        <v>0</v>
      </c>
      <c r="AJ101" s="20">
        <v>0</v>
      </c>
      <c r="AK101" s="20">
        <f t="shared" si="4"/>
        <v>0</v>
      </c>
      <c r="AL101" s="26">
        <f t="shared" si="5"/>
        <v>0</v>
      </c>
    </row>
    <row r="102" spans="1:38" x14ac:dyDescent="0.3">
      <c r="A102" s="1">
        <v>93</v>
      </c>
      <c r="B102" s="1" t="s">
        <v>114</v>
      </c>
      <c r="C102" s="1" t="s">
        <v>2347</v>
      </c>
      <c r="D102" s="1" t="s">
        <v>2344</v>
      </c>
      <c r="E102" s="1" t="s">
        <v>95</v>
      </c>
      <c r="F102" s="1" t="s">
        <v>2348</v>
      </c>
      <c r="H102" s="1" t="s">
        <v>2497</v>
      </c>
      <c r="I102" s="3" t="s">
        <v>2340</v>
      </c>
      <c r="J102" s="1" t="s">
        <v>2345</v>
      </c>
      <c r="K102" s="1" t="s">
        <v>2498</v>
      </c>
      <c r="L102" s="1" t="s">
        <v>2499</v>
      </c>
      <c r="M102" s="1" t="s">
        <v>2479</v>
      </c>
      <c r="N102" s="1" t="s">
        <v>2480</v>
      </c>
      <c r="O102" s="1" t="s">
        <v>42</v>
      </c>
      <c r="Q102" s="1" t="s">
        <v>2346</v>
      </c>
      <c r="R102" s="1" t="s">
        <v>2353</v>
      </c>
      <c r="S102" s="1" t="s">
        <v>2354</v>
      </c>
      <c r="T102" s="49">
        <v>30424489.800000001</v>
      </c>
      <c r="U102" s="20">
        <v>932824.49</v>
      </c>
      <c r="V102" s="20">
        <v>0</v>
      </c>
      <c r="W102" s="20">
        <v>753110.2</v>
      </c>
      <c r="X102" s="20">
        <v>14349028.57</v>
      </c>
      <c r="Y102" s="20">
        <v>10875648.98</v>
      </c>
      <c r="Z102" s="20">
        <v>0</v>
      </c>
      <c r="AA102" s="20">
        <v>0</v>
      </c>
      <c r="AB102" s="20">
        <v>0</v>
      </c>
      <c r="AC102" s="20">
        <v>0</v>
      </c>
      <c r="AD102" s="20">
        <v>0</v>
      </c>
      <c r="AE102" s="20">
        <v>0</v>
      </c>
      <c r="AF102" s="20">
        <v>0</v>
      </c>
      <c r="AG102" s="51">
        <f t="shared" si="6"/>
        <v>3513877.5599999987</v>
      </c>
      <c r="AH102" s="20">
        <v>0</v>
      </c>
      <c r="AI102" s="20">
        <v>0</v>
      </c>
      <c r="AJ102" s="20">
        <v>0</v>
      </c>
      <c r="AK102" s="20">
        <f t="shared" si="4"/>
        <v>0</v>
      </c>
      <c r="AL102" s="26">
        <f t="shared" si="5"/>
        <v>0</v>
      </c>
    </row>
    <row r="103" spans="1:38" x14ac:dyDescent="0.3">
      <c r="A103" s="1">
        <v>94</v>
      </c>
      <c r="B103" s="1" t="s">
        <v>114</v>
      </c>
      <c r="C103" s="1" t="s">
        <v>2347</v>
      </c>
      <c r="D103" s="1" t="s">
        <v>2344</v>
      </c>
      <c r="E103" s="1" t="s">
        <v>95</v>
      </c>
      <c r="F103" s="1" t="s">
        <v>2348</v>
      </c>
      <c r="H103" s="1" t="s">
        <v>2500</v>
      </c>
      <c r="I103" s="3" t="s">
        <v>2340</v>
      </c>
      <c r="J103" s="1" t="s">
        <v>2345</v>
      </c>
      <c r="K103" s="1" t="s">
        <v>2501</v>
      </c>
      <c r="L103" s="1" t="s">
        <v>2502</v>
      </c>
      <c r="M103" s="1" t="s">
        <v>2479</v>
      </c>
      <c r="N103" s="1" t="s">
        <v>2480</v>
      </c>
      <c r="O103" s="1" t="s">
        <v>42</v>
      </c>
      <c r="Q103" s="1" t="s">
        <v>2346</v>
      </c>
      <c r="R103" s="1" t="s">
        <v>2353</v>
      </c>
      <c r="S103" s="1" t="s">
        <v>2354</v>
      </c>
      <c r="T103" s="49">
        <v>30424489.800000001</v>
      </c>
      <c r="U103" s="20">
        <v>932824.49</v>
      </c>
      <c r="V103" s="20">
        <v>0</v>
      </c>
      <c r="W103" s="20">
        <v>753110.2</v>
      </c>
      <c r="X103" s="20">
        <v>14349028.57</v>
      </c>
      <c r="Y103" s="20">
        <v>10875648.98</v>
      </c>
      <c r="Z103" s="20">
        <v>0</v>
      </c>
      <c r="AA103" s="20">
        <v>0</v>
      </c>
      <c r="AB103" s="20">
        <v>0</v>
      </c>
      <c r="AC103" s="20">
        <v>0</v>
      </c>
      <c r="AD103" s="20">
        <v>0</v>
      </c>
      <c r="AE103" s="20">
        <v>0</v>
      </c>
      <c r="AF103" s="20">
        <v>0</v>
      </c>
      <c r="AG103" s="51">
        <f t="shared" si="6"/>
        <v>3513877.5599999987</v>
      </c>
      <c r="AH103" s="20">
        <v>0</v>
      </c>
      <c r="AI103" s="20">
        <v>0</v>
      </c>
      <c r="AJ103" s="20">
        <v>0</v>
      </c>
      <c r="AK103" s="20">
        <f t="shared" si="4"/>
        <v>0</v>
      </c>
      <c r="AL103" s="26">
        <f t="shared" si="5"/>
        <v>0</v>
      </c>
    </row>
    <row r="104" spans="1:38" x14ac:dyDescent="0.3">
      <c r="A104" s="1">
        <v>95</v>
      </c>
      <c r="B104" s="1" t="s">
        <v>114</v>
      </c>
      <c r="C104" s="1" t="s">
        <v>2347</v>
      </c>
      <c r="D104" s="1" t="s">
        <v>2344</v>
      </c>
      <c r="E104" s="1" t="s">
        <v>95</v>
      </c>
      <c r="F104" s="1" t="s">
        <v>2348</v>
      </c>
      <c r="H104" s="1" t="s">
        <v>2503</v>
      </c>
      <c r="I104" s="3" t="s">
        <v>2340</v>
      </c>
      <c r="J104" s="1" t="s">
        <v>2345</v>
      </c>
      <c r="K104" s="1" t="s">
        <v>2504</v>
      </c>
      <c r="L104" s="1" t="s">
        <v>2505</v>
      </c>
      <c r="M104" s="1" t="s">
        <v>2479</v>
      </c>
      <c r="N104" s="1" t="s">
        <v>2480</v>
      </c>
      <c r="O104" s="1" t="s">
        <v>42</v>
      </c>
      <c r="Q104" s="1" t="s">
        <v>2346</v>
      </c>
      <c r="R104" s="1" t="s">
        <v>2353</v>
      </c>
      <c r="S104" s="1" t="s">
        <v>2354</v>
      </c>
      <c r="T104" s="49">
        <v>30424489.800000001</v>
      </c>
      <c r="U104" s="20">
        <v>932824.49</v>
      </c>
      <c r="V104" s="20">
        <v>0</v>
      </c>
      <c r="W104" s="20">
        <v>753110.2</v>
      </c>
      <c r="X104" s="20">
        <v>14349028.57</v>
      </c>
      <c r="Y104" s="20">
        <v>10875648.98</v>
      </c>
      <c r="Z104" s="20">
        <v>0</v>
      </c>
      <c r="AA104" s="20">
        <v>0</v>
      </c>
      <c r="AB104" s="20">
        <v>0</v>
      </c>
      <c r="AC104" s="20">
        <v>0</v>
      </c>
      <c r="AD104" s="20">
        <v>0</v>
      </c>
      <c r="AE104" s="20">
        <v>0</v>
      </c>
      <c r="AF104" s="20">
        <v>0</v>
      </c>
      <c r="AG104" s="51">
        <f t="shared" si="6"/>
        <v>3513877.5599999987</v>
      </c>
      <c r="AH104" s="20">
        <v>0</v>
      </c>
      <c r="AI104" s="20">
        <v>0</v>
      </c>
      <c r="AJ104" s="20">
        <v>0</v>
      </c>
      <c r="AK104" s="20">
        <f t="shared" si="4"/>
        <v>0</v>
      </c>
      <c r="AL104" s="26">
        <f t="shared" si="5"/>
        <v>0</v>
      </c>
    </row>
    <row r="105" spans="1:38" x14ac:dyDescent="0.3">
      <c r="A105" s="1">
        <v>96</v>
      </c>
      <c r="B105" s="1" t="s">
        <v>114</v>
      </c>
      <c r="C105" s="1" t="s">
        <v>2347</v>
      </c>
      <c r="D105" s="1" t="s">
        <v>2344</v>
      </c>
      <c r="E105" s="1" t="s">
        <v>95</v>
      </c>
      <c r="F105" s="1" t="s">
        <v>2348</v>
      </c>
      <c r="H105" s="1" t="s">
        <v>2506</v>
      </c>
      <c r="I105" s="3" t="s">
        <v>2340</v>
      </c>
      <c r="J105" s="1" t="s">
        <v>2345</v>
      </c>
      <c r="K105" s="1" t="s">
        <v>2507</v>
      </c>
      <c r="L105" s="1" t="s">
        <v>2508</v>
      </c>
      <c r="M105" s="1" t="s">
        <v>2479</v>
      </c>
      <c r="N105" s="1" t="s">
        <v>2480</v>
      </c>
      <c r="O105" s="1" t="s">
        <v>42</v>
      </c>
      <c r="Q105" s="1" t="s">
        <v>2346</v>
      </c>
      <c r="R105" s="1" t="s">
        <v>2353</v>
      </c>
      <c r="S105" s="1" t="s">
        <v>2354</v>
      </c>
      <c r="T105" s="49">
        <v>30424489.800000001</v>
      </c>
      <c r="U105" s="20">
        <v>932824.49</v>
      </c>
      <c r="V105" s="20">
        <v>0</v>
      </c>
      <c r="W105" s="20">
        <v>753110.2</v>
      </c>
      <c r="X105" s="20">
        <v>14349028.57</v>
      </c>
      <c r="Y105" s="20">
        <v>10875648.98</v>
      </c>
      <c r="Z105" s="20">
        <v>0</v>
      </c>
      <c r="AA105" s="20">
        <v>0</v>
      </c>
      <c r="AB105" s="20">
        <v>0</v>
      </c>
      <c r="AC105" s="20">
        <v>0</v>
      </c>
      <c r="AD105" s="20">
        <v>0</v>
      </c>
      <c r="AE105" s="20">
        <v>0</v>
      </c>
      <c r="AF105" s="20">
        <v>0</v>
      </c>
      <c r="AG105" s="51">
        <f t="shared" si="6"/>
        <v>3513877.5599999987</v>
      </c>
      <c r="AH105" s="20">
        <v>0</v>
      </c>
      <c r="AI105" s="20">
        <v>0</v>
      </c>
      <c r="AJ105" s="20">
        <v>0</v>
      </c>
      <c r="AK105" s="20">
        <f t="shared" si="4"/>
        <v>0</v>
      </c>
      <c r="AL105" s="26">
        <f t="shared" si="5"/>
        <v>0</v>
      </c>
    </row>
    <row r="106" spans="1:38" x14ac:dyDescent="0.3">
      <c r="A106" s="1">
        <v>97</v>
      </c>
      <c r="B106" s="1" t="s">
        <v>114</v>
      </c>
      <c r="C106" s="1" t="s">
        <v>2347</v>
      </c>
      <c r="D106" s="1" t="s">
        <v>2344</v>
      </c>
      <c r="E106" s="1" t="s">
        <v>95</v>
      </c>
      <c r="F106" s="1" t="s">
        <v>2348</v>
      </c>
      <c r="H106" s="1" t="s">
        <v>2509</v>
      </c>
      <c r="I106" s="3" t="s">
        <v>2340</v>
      </c>
      <c r="J106" s="1" t="s">
        <v>2345</v>
      </c>
      <c r="K106" s="1" t="s">
        <v>2510</v>
      </c>
      <c r="L106" s="1" t="s">
        <v>2511</v>
      </c>
      <c r="M106" s="1" t="s">
        <v>2479</v>
      </c>
      <c r="N106" s="1" t="s">
        <v>2480</v>
      </c>
      <c r="O106" s="1" t="s">
        <v>42</v>
      </c>
      <c r="Q106" s="1" t="s">
        <v>2346</v>
      </c>
      <c r="R106" s="1" t="s">
        <v>2353</v>
      </c>
      <c r="S106" s="1" t="s">
        <v>2354</v>
      </c>
      <c r="T106" s="49">
        <v>30424489.800000001</v>
      </c>
      <c r="U106" s="20">
        <v>932824.49</v>
      </c>
      <c r="V106" s="20">
        <v>0</v>
      </c>
      <c r="W106" s="20">
        <v>753110.2</v>
      </c>
      <c r="X106" s="20">
        <v>14349028.57</v>
      </c>
      <c r="Y106" s="20">
        <v>10875648.98</v>
      </c>
      <c r="Z106" s="20">
        <v>0</v>
      </c>
      <c r="AA106" s="20">
        <v>0</v>
      </c>
      <c r="AB106" s="20">
        <v>0</v>
      </c>
      <c r="AC106" s="20">
        <v>0</v>
      </c>
      <c r="AD106" s="20">
        <v>0</v>
      </c>
      <c r="AE106" s="20">
        <v>0</v>
      </c>
      <c r="AF106" s="20">
        <v>0</v>
      </c>
      <c r="AG106" s="51">
        <f t="shared" si="6"/>
        <v>3513877.5599999987</v>
      </c>
      <c r="AH106" s="20">
        <v>0</v>
      </c>
      <c r="AI106" s="20">
        <v>0</v>
      </c>
      <c r="AJ106" s="20">
        <v>0</v>
      </c>
      <c r="AK106" s="20">
        <f t="shared" si="4"/>
        <v>0</v>
      </c>
      <c r="AL106" s="26">
        <f t="shared" si="5"/>
        <v>0</v>
      </c>
    </row>
    <row r="107" spans="1:38" x14ac:dyDescent="0.3">
      <c r="A107" s="1">
        <v>98</v>
      </c>
      <c r="B107" s="1" t="s">
        <v>114</v>
      </c>
      <c r="C107" s="1" t="s">
        <v>2347</v>
      </c>
      <c r="D107" s="1" t="s">
        <v>2344</v>
      </c>
      <c r="E107" s="1" t="s">
        <v>95</v>
      </c>
      <c r="F107" s="1" t="s">
        <v>2348</v>
      </c>
      <c r="H107" s="1" t="s">
        <v>2512</v>
      </c>
      <c r="I107" s="3" t="s">
        <v>2340</v>
      </c>
      <c r="J107" s="1" t="s">
        <v>2345</v>
      </c>
      <c r="K107" s="1" t="s">
        <v>2513</v>
      </c>
      <c r="L107" s="1" t="s">
        <v>2514</v>
      </c>
      <c r="M107" s="1" t="s">
        <v>2479</v>
      </c>
      <c r="N107" s="1" t="s">
        <v>2480</v>
      </c>
      <c r="O107" s="1" t="s">
        <v>42</v>
      </c>
      <c r="Q107" s="1" t="s">
        <v>2346</v>
      </c>
      <c r="R107" s="1" t="s">
        <v>2353</v>
      </c>
      <c r="S107" s="1" t="s">
        <v>2354</v>
      </c>
      <c r="T107" s="49">
        <v>30424489.800000001</v>
      </c>
      <c r="U107" s="20">
        <v>932824.49</v>
      </c>
      <c r="V107" s="20">
        <v>0</v>
      </c>
      <c r="W107" s="20">
        <v>753110.2</v>
      </c>
      <c r="X107" s="20">
        <v>14349028.57</v>
      </c>
      <c r="Y107" s="20">
        <v>10875648.98</v>
      </c>
      <c r="Z107" s="20">
        <v>0</v>
      </c>
      <c r="AA107" s="20">
        <v>0</v>
      </c>
      <c r="AB107" s="20">
        <v>0</v>
      </c>
      <c r="AC107" s="20">
        <v>0</v>
      </c>
      <c r="AD107" s="20">
        <v>0</v>
      </c>
      <c r="AE107" s="20">
        <v>0</v>
      </c>
      <c r="AF107" s="20">
        <v>0</v>
      </c>
      <c r="AG107" s="51">
        <f t="shared" si="6"/>
        <v>3513877.5599999987</v>
      </c>
      <c r="AH107" s="20">
        <v>0</v>
      </c>
      <c r="AI107" s="20">
        <v>0</v>
      </c>
      <c r="AJ107" s="20">
        <v>0</v>
      </c>
      <c r="AK107" s="20">
        <f t="shared" si="4"/>
        <v>0</v>
      </c>
      <c r="AL107" s="26">
        <f t="shared" si="5"/>
        <v>0</v>
      </c>
    </row>
    <row r="108" spans="1:38" x14ac:dyDescent="0.3">
      <c r="A108" s="1">
        <v>99</v>
      </c>
      <c r="B108" s="1" t="s">
        <v>114</v>
      </c>
      <c r="C108" s="1" t="s">
        <v>2347</v>
      </c>
      <c r="D108" s="1" t="s">
        <v>2344</v>
      </c>
      <c r="E108" s="1" t="s">
        <v>95</v>
      </c>
      <c r="F108" s="1" t="s">
        <v>2348</v>
      </c>
      <c r="H108" s="1" t="s">
        <v>2515</v>
      </c>
      <c r="I108" s="3" t="s">
        <v>2340</v>
      </c>
      <c r="J108" s="1" t="s">
        <v>2345</v>
      </c>
      <c r="K108" s="1" t="s">
        <v>2516</v>
      </c>
      <c r="L108" s="1" t="s">
        <v>2517</v>
      </c>
      <c r="M108" s="1" t="s">
        <v>2479</v>
      </c>
      <c r="N108" s="1" t="s">
        <v>2480</v>
      </c>
      <c r="O108" s="1" t="s">
        <v>42</v>
      </c>
      <c r="Q108" s="1" t="s">
        <v>2346</v>
      </c>
      <c r="R108" s="1" t="s">
        <v>2353</v>
      </c>
      <c r="S108" s="1" t="s">
        <v>2354</v>
      </c>
      <c r="T108" s="49">
        <v>30424489.800000001</v>
      </c>
      <c r="U108" s="20">
        <v>932824.49</v>
      </c>
      <c r="V108" s="20">
        <v>0</v>
      </c>
      <c r="W108" s="20">
        <v>753110.2</v>
      </c>
      <c r="X108" s="20">
        <v>14349028.57</v>
      </c>
      <c r="Y108" s="20">
        <v>10875648.98</v>
      </c>
      <c r="Z108" s="20">
        <v>0</v>
      </c>
      <c r="AA108" s="20">
        <v>0</v>
      </c>
      <c r="AB108" s="20">
        <v>0</v>
      </c>
      <c r="AC108" s="20">
        <v>0</v>
      </c>
      <c r="AD108" s="20">
        <v>0</v>
      </c>
      <c r="AE108" s="20">
        <v>0</v>
      </c>
      <c r="AF108" s="20">
        <v>0</v>
      </c>
      <c r="AG108" s="51">
        <f t="shared" si="6"/>
        <v>3513877.5599999987</v>
      </c>
      <c r="AH108" s="20">
        <v>0</v>
      </c>
      <c r="AI108" s="20">
        <v>0</v>
      </c>
      <c r="AJ108" s="20">
        <v>0</v>
      </c>
      <c r="AK108" s="20">
        <f t="shared" si="4"/>
        <v>0</v>
      </c>
      <c r="AL108" s="26">
        <f t="shared" si="5"/>
        <v>0</v>
      </c>
    </row>
    <row r="109" spans="1:38" x14ac:dyDescent="0.3">
      <c r="A109" s="1">
        <v>100</v>
      </c>
      <c r="B109" s="1" t="s">
        <v>114</v>
      </c>
      <c r="C109" s="1" t="s">
        <v>2347</v>
      </c>
      <c r="D109" s="1" t="s">
        <v>2344</v>
      </c>
      <c r="E109" s="1" t="s">
        <v>95</v>
      </c>
      <c r="F109" s="1" t="s">
        <v>2348</v>
      </c>
      <c r="H109" s="1" t="s">
        <v>2518</v>
      </c>
      <c r="I109" s="3" t="s">
        <v>2340</v>
      </c>
      <c r="J109" s="1" t="s">
        <v>2345</v>
      </c>
      <c r="K109" s="1" t="s">
        <v>2519</v>
      </c>
      <c r="L109" s="1" t="s">
        <v>2520</v>
      </c>
      <c r="M109" s="1" t="s">
        <v>2479</v>
      </c>
      <c r="N109" s="1" t="s">
        <v>2480</v>
      </c>
      <c r="O109" s="1" t="s">
        <v>42</v>
      </c>
      <c r="Q109" s="1" t="s">
        <v>2346</v>
      </c>
      <c r="R109" s="1" t="s">
        <v>2353</v>
      </c>
      <c r="S109" s="1" t="s">
        <v>2354</v>
      </c>
      <c r="T109" s="49">
        <v>30424489.800000001</v>
      </c>
      <c r="U109" s="20">
        <v>932824.49</v>
      </c>
      <c r="V109" s="20">
        <v>0</v>
      </c>
      <c r="W109" s="20">
        <v>753110.2</v>
      </c>
      <c r="X109" s="20">
        <v>14349028.57</v>
      </c>
      <c r="Y109" s="20">
        <v>10875648.98</v>
      </c>
      <c r="Z109" s="20">
        <v>0</v>
      </c>
      <c r="AA109" s="20">
        <v>0</v>
      </c>
      <c r="AB109" s="20">
        <v>0</v>
      </c>
      <c r="AC109" s="20">
        <v>0</v>
      </c>
      <c r="AD109" s="20">
        <v>0</v>
      </c>
      <c r="AE109" s="20">
        <v>0</v>
      </c>
      <c r="AF109" s="20">
        <v>0</v>
      </c>
      <c r="AG109" s="51">
        <f t="shared" si="6"/>
        <v>3513877.5599999987</v>
      </c>
      <c r="AH109" s="20">
        <v>0</v>
      </c>
      <c r="AI109" s="20">
        <v>0</v>
      </c>
      <c r="AJ109" s="20">
        <v>0</v>
      </c>
      <c r="AK109" s="20">
        <f t="shared" si="4"/>
        <v>0</v>
      </c>
      <c r="AL109" s="26">
        <f t="shared" si="5"/>
        <v>0</v>
      </c>
    </row>
    <row r="110" spans="1:38" x14ac:dyDescent="0.3">
      <c r="A110" s="1">
        <v>101</v>
      </c>
      <c r="B110" s="1" t="s">
        <v>114</v>
      </c>
      <c r="C110" s="1" t="s">
        <v>2347</v>
      </c>
      <c r="D110" s="1" t="s">
        <v>2344</v>
      </c>
      <c r="E110" s="1" t="s">
        <v>95</v>
      </c>
      <c r="F110" s="1" t="s">
        <v>2348</v>
      </c>
      <c r="H110" s="1" t="s">
        <v>2521</v>
      </c>
      <c r="I110" s="3" t="s">
        <v>2340</v>
      </c>
      <c r="J110" s="1" t="s">
        <v>2345</v>
      </c>
      <c r="K110" s="1" t="s">
        <v>2522</v>
      </c>
      <c r="L110" s="1" t="s">
        <v>2523</v>
      </c>
      <c r="M110" s="1" t="s">
        <v>2479</v>
      </c>
      <c r="N110" s="1" t="s">
        <v>2480</v>
      </c>
      <c r="O110" s="1" t="s">
        <v>42</v>
      </c>
      <c r="Q110" s="1" t="s">
        <v>2346</v>
      </c>
      <c r="R110" s="1" t="s">
        <v>2353</v>
      </c>
      <c r="S110" s="1" t="s">
        <v>2354</v>
      </c>
      <c r="T110" s="49">
        <v>30424489.800000001</v>
      </c>
      <c r="U110" s="20">
        <v>932824.49</v>
      </c>
      <c r="V110" s="20">
        <v>0</v>
      </c>
      <c r="W110" s="20">
        <v>753110.2</v>
      </c>
      <c r="X110" s="20">
        <v>14349028.57</v>
      </c>
      <c r="Y110" s="20">
        <v>10875648.98</v>
      </c>
      <c r="Z110" s="20">
        <v>0</v>
      </c>
      <c r="AA110" s="20">
        <v>0</v>
      </c>
      <c r="AB110" s="20">
        <v>0</v>
      </c>
      <c r="AC110" s="20">
        <v>0</v>
      </c>
      <c r="AD110" s="20">
        <v>0</v>
      </c>
      <c r="AE110" s="20">
        <v>0</v>
      </c>
      <c r="AF110" s="20">
        <v>0</v>
      </c>
      <c r="AG110" s="51">
        <f t="shared" si="6"/>
        <v>3513877.5599999987</v>
      </c>
      <c r="AH110" s="20">
        <v>0</v>
      </c>
      <c r="AI110" s="20">
        <v>0</v>
      </c>
      <c r="AJ110" s="20">
        <v>0</v>
      </c>
      <c r="AK110" s="20">
        <f t="shared" si="4"/>
        <v>0</v>
      </c>
      <c r="AL110" s="26">
        <f t="shared" si="5"/>
        <v>0</v>
      </c>
    </row>
    <row r="111" spans="1:38" x14ac:dyDescent="0.3">
      <c r="A111" s="1">
        <v>102</v>
      </c>
      <c r="B111" s="1" t="s">
        <v>114</v>
      </c>
      <c r="C111" s="1" t="s">
        <v>2347</v>
      </c>
      <c r="D111" s="1" t="s">
        <v>2344</v>
      </c>
      <c r="E111" s="1" t="s">
        <v>95</v>
      </c>
      <c r="F111" s="1" t="s">
        <v>2348</v>
      </c>
      <c r="H111" s="1" t="s">
        <v>2524</v>
      </c>
      <c r="I111" s="3" t="s">
        <v>2340</v>
      </c>
      <c r="J111" s="1" t="s">
        <v>2345</v>
      </c>
      <c r="K111" s="1" t="s">
        <v>2525</v>
      </c>
      <c r="L111" s="1" t="s">
        <v>2526</v>
      </c>
      <c r="M111" s="1" t="s">
        <v>2479</v>
      </c>
      <c r="N111" s="1" t="s">
        <v>2480</v>
      </c>
      <c r="O111" s="1" t="s">
        <v>42</v>
      </c>
      <c r="Q111" s="1" t="s">
        <v>2346</v>
      </c>
      <c r="R111" s="1" t="s">
        <v>2353</v>
      </c>
      <c r="S111" s="1" t="s">
        <v>2354</v>
      </c>
      <c r="T111" s="49">
        <v>30424489.800000001</v>
      </c>
      <c r="U111" s="20">
        <v>932824.49</v>
      </c>
      <c r="V111" s="20">
        <v>0</v>
      </c>
      <c r="W111" s="20">
        <v>753110.2</v>
      </c>
      <c r="X111" s="20">
        <v>14349028.57</v>
      </c>
      <c r="Y111" s="20">
        <v>10875648.98</v>
      </c>
      <c r="Z111" s="20">
        <v>0</v>
      </c>
      <c r="AA111" s="20">
        <v>0</v>
      </c>
      <c r="AB111" s="20">
        <v>0</v>
      </c>
      <c r="AC111" s="20">
        <v>0</v>
      </c>
      <c r="AD111" s="20">
        <v>0</v>
      </c>
      <c r="AE111" s="20">
        <v>0</v>
      </c>
      <c r="AF111" s="20">
        <v>0</v>
      </c>
      <c r="AG111" s="51">
        <f t="shared" si="6"/>
        <v>3513877.5599999987</v>
      </c>
      <c r="AH111" s="20">
        <v>0</v>
      </c>
      <c r="AI111" s="20">
        <v>0</v>
      </c>
      <c r="AJ111" s="20">
        <v>0</v>
      </c>
      <c r="AK111" s="20">
        <f t="shared" si="4"/>
        <v>0</v>
      </c>
      <c r="AL111" s="26">
        <f t="shared" si="5"/>
        <v>0</v>
      </c>
    </row>
    <row r="112" spans="1:38" x14ac:dyDescent="0.3">
      <c r="A112" s="1">
        <v>103</v>
      </c>
      <c r="B112" s="1" t="s">
        <v>114</v>
      </c>
      <c r="C112" s="1" t="s">
        <v>2347</v>
      </c>
      <c r="D112" s="1" t="s">
        <v>2344</v>
      </c>
      <c r="E112" s="1" t="s">
        <v>95</v>
      </c>
      <c r="F112" s="1" t="s">
        <v>2348</v>
      </c>
      <c r="H112" s="1" t="s">
        <v>2527</v>
      </c>
      <c r="I112" s="3" t="s">
        <v>2340</v>
      </c>
      <c r="J112" s="1" t="s">
        <v>2345</v>
      </c>
      <c r="K112" s="1" t="s">
        <v>2528</v>
      </c>
      <c r="L112" s="1" t="s">
        <v>2529</v>
      </c>
      <c r="M112" s="1" t="s">
        <v>2479</v>
      </c>
      <c r="N112" s="1" t="s">
        <v>2480</v>
      </c>
      <c r="O112" s="1" t="s">
        <v>42</v>
      </c>
      <c r="Q112" s="1" t="s">
        <v>2346</v>
      </c>
      <c r="R112" s="1" t="s">
        <v>2353</v>
      </c>
      <c r="S112" s="1" t="s">
        <v>2354</v>
      </c>
      <c r="T112" s="49">
        <v>30424489.800000001</v>
      </c>
      <c r="U112" s="20">
        <v>932824.49</v>
      </c>
      <c r="V112" s="20">
        <v>0</v>
      </c>
      <c r="W112" s="20">
        <v>753110.2</v>
      </c>
      <c r="X112" s="20">
        <v>14349028.57</v>
      </c>
      <c r="Y112" s="20">
        <v>10875648.98</v>
      </c>
      <c r="Z112" s="20">
        <v>0</v>
      </c>
      <c r="AA112" s="20">
        <v>0</v>
      </c>
      <c r="AB112" s="20">
        <v>0</v>
      </c>
      <c r="AC112" s="20">
        <v>0</v>
      </c>
      <c r="AD112" s="20">
        <v>0</v>
      </c>
      <c r="AE112" s="20">
        <v>0</v>
      </c>
      <c r="AF112" s="20">
        <v>0</v>
      </c>
      <c r="AG112" s="51">
        <f t="shared" si="6"/>
        <v>3513877.5599999987</v>
      </c>
      <c r="AH112" s="20">
        <v>0</v>
      </c>
      <c r="AI112" s="20">
        <v>0</v>
      </c>
      <c r="AJ112" s="20">
        <v>0</v>
      </c>
      <c r="AK112" s="20">
        <f t="shared" si="4"/>
        <v>0</v>
      </c>
      <c r="AL112" s="26">
        <f t="shared" si="5"/>
        <v>0</v>
      </c>
    </row>
    <row r="113" spans="1:39" x14ac:dyDescent="0.3">
      <c r="A113" s="1">
        <v>104</v>
      </c>
      <c r="B113" s="1" t="s">
        <v>114</v>
      </c>
      <c r="C113" s="1" t="s">
        <v>2347</v>
      </c>
      <c r="D113" s="1" t="s">
        <v>2344</v>
      </c>
      <c r="E113" s="1" t="s">
        <v>95</v>
      </c>
      <c r="F113" s="1" t="s">
        <v>2348</v>
      </c>
      <c r="H113" s="1" t="s">
        <v>2530</v>
      </c>
      <c r="I113" s="3" t="s">
        <v>2340</v>
      </c>
      <c r="J113" s="1" t="s">
        <v>2345</v>
      </c>
      <c r="K113" s="1" t="s">
        <v>2531</v>
      </c>
      <c r="L113" s="1" t="s">
        <v>2532</v>
      </c>
      <c r="M113" s="1" t="s">
        <v>2479</v>
      </c>
      <c r="N113" s="1" t="s">
        <v>2480</v>
      </c>
      <c r="O113" s="1" t="s">
        <v>42</v>
      </c>
      <c r="Q113" s="1" t="s">
        <v>2346</v>
      </c>
      <c r="R113" s="1" t="s">
        <v>2353</v>
      </c>
      <c r="S113" s="1" t="s">
        <v>2354</v>
      </c>
      <c r="T113" s="49">
        <v>30424489.800000001</v>
      </c>
      <c r="U113" s="20">
        <v>932824.49</v>
      </c>
      <c r="V113" s="20">
        <v>0</v>
      </c>
      <c r="W113" s="20">
        <v>753110.2</v>
      </c>
      <c r="X113" s="20">
        <v>14349028.57</v>
      </c>
      <c r="Y113" s="20">
        <v>10875648.98</v>
      </c>
      <c r="Z113" s="20">
        <v>0</v>
      </c>
      <c r="AA113" s="20">
        <v>0</v>
      </c>
      <c r="AB113" s="20">
        <v>0</v>
      </c>
      <c r="AC113" s="20">
        <v>0</v>
      </c>
      <c r="AD113" s="20">
        <v>0</v>
      </c>
      <c r="AE113" s="20">
        <v>0</v>
      </c>
      <c r="AF113" s="20">
        <v>0</v>
      </c>
      <c r="AG113" s="51">
        <f t="shared" si="6"/>
        <v>3513877.5599999987</v>
      </c>
      <c r="AH113" s="20">
        <v>0</v>
      </c>
      <c r="AI113" s="20">
        <v>0</v>
      </c>
      <c r="AJ113" s="20">
        <v>0</v>
      </c>
      <c r="AK113" s="20">
        <f t="shared" si="4"/>
        <v>0</v>
      </c>
      <c r="AL113" s="26">
        <f t="shared" si="5"/>
        <v>0</v>
      </c>
    </row>
    <row r="114" spans="1:39" x14ac:dyDescent="0.3">
      <c r="A114" s="1">
        <v>105</v>
      </c>
      <c r="B114" s="1" t="s">
        <v>114</v>
      </c>
      <c r="C114" s="1" t="s">
        <v>2347</v>
      </c>
      <c r="D114" s="1" t="s">
        <v>2344</v>
      </c>
      <c r="E114" s="1" t="s">
        <v>95</v>
      </c>
      <c r="F114" s="1" t="s">
        <v>2348</v>
      </c>
      <c r="H114" s="1" t="s">
        <v>2533</v>
      </c>
      <c r="I114" s="3" t="s">
        <v>2340</v>
      </c>
      <c r="J114" s="1" t="s">
        <v>2345</v>
      </c>
      <c r="K114" s="1" t="s">
        <v>2534</v>
      </c>
      <c r="L114" s="1" t="s">
        <v>2535</v>
      </c>
      <c r="M114" s="1" t="s">
        <v>2479</v>
      </c>
      <c r="N114" s="1" t="s">
        <v>2480</v>
      </c>
      <c r="O114" s="1" t="s">
        <v>42</v>
      </c>
      <c r="Q114" s="1" t="s">
        <v>2346</v>
      </c>
      <c r="R114" s="1" t="s">
        <v>2353</v>
      </c>
      <c r="S114" s="1" t="s">
        <v>2354</v>
      </c>
      <c r="T114" s="49">
        <v>30424489.800000001</v>
      </c>
      <c r="U114" s="20">
        <v>932824.49</v>
      </c>
      <c r="V114" s="20">
        <v>0</v>
      </c>
      <c r="W114" s="20">
        <v>753110.2</v>
      </c>
      <c r="X114" s="20">
        <v>14349028.57</v>
      </c>
      <c r="Y114" s="20">
        <v>10875648.98</v>
      </c>
      <c r="Z114" s="20">
        <v>0</v>
      </c>
      <c r="AA114" s="20">
        <v>0</v>
      </c>
      <c r="AB114" s="20">
        <v>0</v>
      </c>
      <c r="AC114" s="20">
        <v>0</v>
      </c>
      <c r="AD114" s="20">
        <v>0</v>
      </c>
      <c r="AE114" s="20">
        <v>0</v>
      </c>
      <c r="AF114" s="20">
        <v>0</v>
      </c>
      <c r="AG114" s="51">
        <f t="shared" si="6"/>
        <v>3513877.5599999987</v>
      </c>
      <c r="AH114" s="20">
        <v>0</v>
      </c>
      <c r="AI114" s="20">
        <v>0</v>
      </c>
      <c r="AJ114" s="20">
        <v>0</v>
      </c>
      <c r="AK114" s="20">
        <f t="shared" si="4"/>
        <v>0</v>
      </c>
      <c r="AL114" s="26">
        <f t="shared" si="5"/>
        <v>0</v>
      </c>
    </row>
    <row r="115" spans="1:39" x14ac:dyDescent="0.3">
      <c r="A115" s="1">
        <v>106</v>
      </c>
      <c r="B115" s="1" t="s">
        <v>114</v>
      </c>
      <c r="C115" s="1" t="s">
        <v>2347</v>
      </c>
      <c r="D115" s="1" t="s">
        <v>2344</v>
      </c>
      <c r="E115" s="1" t="s">
        <v>95</v>
      </c>
      <c r="F115" s="1" t="s">
        <v>2348</v>
      </c>
      <c r="H115" s="1" t="s">
        <v>2536</v>
      </c>
      <c r="I115" s="3" t="s">
        <v>2340</v>
      </c>
      <c r="J115" s="1" t="s">
        <v>2345</v>
      </c>
      <c r="K115" s="1" t="s">
        <v>2537</v>
      </c>
      <c r="L115" s="1" t="s">
        <v>2538</v>
      </c>
      <c r="M115" s="1" t="s">
        <v>2479</v>
      </c>
      <c r="N115" s="1" t="s">
        <v>2480</v>
      </c>
      <c r="O115" s="1" t="s">
        <v>42</v>
      </c>
      <c r="Q115" s="1" t="s">
        <v>2346</v>
      </c>
      <c r="R115" s="1" t="s">
        <v>2353</v>
      </c>
      <c r="S115" s="1" t="s">
        <v>2354</v>
      </c>
      <c r="T115" s="49">
        <v>30424489.800000001</v>
      </c>
      <c r="U115" s="20">
        <v>932824.49</v>
      </c>
      <c r="V115" s="20">
        <v>0</v>
      </c>
      <c r="W115" s="20">
        <v>753110.2</v>
      </c>
      <c r="X115" s="20">
        <v>14349028.57</v>
      </c>
      <c r="Y115" s="20">
        <v>10875648.98</v>
      </c>
      <c r="Z115" s="20">
        <v>0</v>
      </c>
      <c r="AA115" s="20">
        <v>0</v>
      </c>
      <c r="AB115" s="20">
        <v>0</v>
      </c>
      <c r="AC115" s="20">
        <v>0</v>
      </c>
      <c r="AD115" s="20">
        <v>0</v>
      </c>
      <c r="AE115" s="20">
        <v>0</v>
      </c>
      <c r="AF115" s="20">
        <v>0</v>
      </c>
      <c r="AG115" s="51">
        <f t="shared" si="6"/>
        <v>3513877.5599999987</v>
      </c>
      <c r="AH115" s="20">
        <v>0</v>
      </c>
      <c r="AI115" s="20">
        <v>0</v>
      </c>
      <c r="AJ115" s="20">
        <v>0</v>
      </c>
      <c r="AK115" s="20">
        <f t="shared" si="4"/>
        <v>0</v>
      </c>
      <c r="AL115" s="26">
        <f t="shared" si="5"/>
        <v>0</v>
      </c>
    </row>
    <row r="116" spans="1:39" x14ac:dyDescent="0.3">
      <c r="A116" s="1">
        <v>107</v>
      </c>
      <c r="B116" s="1" t="s">
        <v>114</v>
      </c>
      <c r="C116" s="1" t="s">
        <v>2347</v>
      </c>
      <c r="D116" s="1" t="s">
        <v>2344</v>
      </c>
      <c r="E116" s="1" t="s">
        <v>702</v>
      </c>
      <c r="F116" s="1" t="s">
        <v>2539</v>
      </c>
      <c r="H116" s="1" t="s">
        <v>2540</v>
      </c>
      <c r="I116" s="3" t="s">
        <v>30</v>
      </c>
      <c r="J116" s="1" t="s">
        <v>2345</v>
      </c>
      <c r="K116" s="1" t="s">
        <v>706</v>
      </c>
      <c r="L116" s="1" t="s">
        <v>2541</v>
      </c>
      <c r="M116" s="1" t="s">
        <v>2479</v>
      </c>
      <c r="N116" s="1" t="s">
        <v>2480</v>
      </c>
      <c r="O116" s="1" t="s">
        <v>42</v>
      </c>
      <c r="Q116" s="1" t="s">
        <v>2346</v>
      </c>
      <c r="R116" s="1" t="s">
        <v>2353</v>
      </c>
      <c r="S116" s="1" t="s">
        <v>2354</v>
      </c>
      <c r="T116" s="49">
        <v>6615845.5300000003</v>
      </c>
      <c r="U116" s="20">
        <v>0</v>
      </c>
      <c r="V116" s="20">
        <v>0</v>
      </c>
      <c r="W116" s="20">
        <v>0</v>
      </c>
      <c r="X116" s="20">
        <v>0</v>
      </c>
      <c r="Y116" s="20">
        <v>0</v>
      </c>
      <c r="Z116" s="20">
        <v>82721.61</v>
      </c>
      <c r="AA116" s="20">
        <v>104395.64</v>
      </c>
      <c r="AB116" s="20">
        <v>105717.88</v>
      </c>
      <c r="AC116" s="20">
        <v>954757.47</v>
      </c>
      <c r="AD116" s="20">
        <v>4908899.93</v>
      </c>
      <c r="AE116" s="20">
        <v>0</v>
      </c>
      <c r="AF116" s="20">
        <v>0</v>
      </c>
      <c r="AG116" s="51">
        <f t="shared" si="6"/>
        <v>459353.00000000093</v>
      </c>
      <c r="AH116" s="20">
        <v>3204480</v>
      </c>
      <c r="AI116" s="20">
        <v>6193560</v>
      </c>
      <c r="AJ116" s="20">
        <v>4091880</v>
      </c>
      <c r="AK116" s="20">
        <f t="shared" si="4"/>
        <v>4496640</v>
      </c>
      <c r="AL116" s="26">
        <f t="shared" si="5"/>
        <v>0.47128645610945075</v>
      </c>
      <c r="AM116" s="1" t="s">
        <v>3020</v>
      </c>
    </row>
    <row r="117" spans="1:39" x14ac:dyDescent="0.3">
      <c r="A117" s="1">
        <v>108</v>
      </c>
      <c r="B117" s="1" t="s">
        <v>114</v>
      </c>
      <c r="C117" s="1" t="s">
        <v>2347</v>
      </c>
      <c r="D117" s="1" t="s">
        <v>2344</v>
      </c>
      <c r="E117" s="1" t="s">
        <v>702</v>
      </c>
      <c r="F117" s="1" t="s">
        <v>2539</v>
      </c>
      <c r="H117" s="1" t="s">
        <v>2542</v>
      </c>
      <c r="I117" s="3" t="s">
        <v>30</v>
      </c>
      <c r="J117" s="1" t="s">
        <v>2345</v>
      </c>
      <c r="K117" s="1" t="s">
        <v>708</v>
      </c>
      <c r="L117" s="1" t="s">
        <v>2541</v>
      </c>
      <c r="M117" s="1" t="s">
        <v>2479</v>
      </c>
      <c r="N117" s="1" t="s">
        <v>2480</v>
      </c>
      <c r="O117" s="1" t="s">
        <v>42</v>
      </c>
      <c r="Q117" s="1" t="s">
        <v>2346</v>
      </c>
      <c r="R117" s="1" t="s">
        <v>2353</v>
      </c>
      <c r="S117" s="1" t="s">
        <v>2354</v>
      </c>
      <c r="T117" s="49">
        <v>7140216.0499999998</v>
      </c>
      <c r="U117" s="20">
        <v>0</v>
      </c>
      <c r="V117" s="20">
        <v>0</v>
      </c>
      <c r="W117" s="20">
        <v>0</v>
      </c>
      <c r="X117" s="20">
        <v>0</v>
      </c>
      <c r="Y117" s="20">
        <v>0</v>
      </c>
      <c r="Z117" s="20">
        <v>89278.1</v>
      </c>
      <c r="AA117" s="20">
        <v>112670.01</v>
      </c>
      <c r="AB117" s="20">
        <v>114097.06</v>
      </c>
      <c r="AC117" s="20">
        <v>1030431.35</v>
      </c>
      <c r="AD117" s="20">
        <v>4980939.1500000004</v>
      </c>
      <c r="AE117" s="20">
        <v>0</v>
      </c>
      <c r="AF117" s="20">
        <v>0</v>
      </c>
      <c r="AG117" s="51">
        <f t="shared" si="6"/>
        <v>812800.37999999989</v>
      </c>
      <c r="AH117" s="20">
        <v>4781604</v>
      </c>
      <c r="AI117" s="20">
        <v>4788312</v>
      </c>
      <c r="AJ117" s="20">
        <v>5000588</v>
      </c>
      <c r="AK117" s="20">
        <f t="shared" si="4"/>
        <v>4856834.666666667</v>
      </c>
      <c r="AL117" s="26">
        <f t="shared" si="5"/>
        <v>0.47013776256469897</v>
      </c>
      <c r="AM117" s="1" t="s">
        <v>3020</v>
      </c>
    </row>
    <row r="118" spans="1:39" x14ac:dyDescent="0.3">
      <c r="A118" s="1">
        <v>109</v>
      </c>
      <c r="B118" s="1" t="s">
        <v>114</v>
      </c>
      <c r="C118" s="1" t="s">
        <v>2347</v>
      </c>
      <c r="D118" s="1" t="s">
        <v>2344</v>
      </c>
      <c r="E118" s="1" t="s">
        <v>733</v>
      </c>
      <c r="F118" s="1" t="s">
        <v>734</v>
      </c>
      <c r="H118" s="1" t="s">
        <v>2543</v>
      </c>
      <c r="I118" s="3" t="s">
        <v>30</v>
      </c>
      <c r="J118" s="1" t="s">
        <v>2345</v>
      </c>
      <c r="K118" s="1" t="s">
        <v>737</v>
      </c>
      <c r="L118" s="1" t="s">
        <v>2544</v>
      </c>
      <c r="M118" s="1" t="s">
        <v>2479</v>
      </c>
      <c r="N118" s="1" t="s">
        <v>2480</v>
      </c>
      <c r="O118" s="1" t="s">
        <v>42</v>
      </c>
      <c r="Q118" s="1" t="s">
        <v>2346</v>
      </c>
      <c r="R118" s="1" t="s">
        <v>2353</v>
      </c>
      <c r="S118" s="1" t="s">
        <v>2354</v>
      </c>
      <c r="T118" s="49">
        <v>94500000</v>
      </c>
      <c r="U118" s="20">
        <v>0</v>
      </c>
      <c r="V118" s="20">
        <v>0</v>
      </c>
      <c r="W118" s="20">
        <v>0</v>
      </c>
      <c r="X118" s="20">
        <v>0</v>
      </c>
      <c r="Y118" s="20">
        <v>0</v>
      </c>
      <c r="Z118" s="20">
        <v>1181586.2</v>
      </c>
      <c r="AA118" s="20">
        <v>1491175.64</v>
      </c>
      <c r="AB118" s="20">
        <v>31510062.48</v>
      </c>
      <c r="AC118" s="20">
        <v>33637649.289999999</v>
      </c>
      <c r="AD118" s="20">
        <v>22982625.289999999</v>
      </c>
      <c r="AE118" s="20">
        <v>0</v>
      </c>
      <c r="AF118" s="20">
        <v>0</v>
      </c>
      <c r="AG118" s="51">
        <f t="shared" si="6"/>
        <v>3696901.099999994</v>
      </c>
      <c r="AH118" s="20">
        <v>112496400</v>
      </c>
      <c r="AI118" s="20">
        <v>85358900</v>
      </c>
      <c r="AJ118" s="20">
        <v>108995400</v>
      </c>
      <c r="AK118" s="20">
        <f t="shared" si="4"/>
        <v>102283566.66666667</v>
      </c>
      <c r="AL118" s="26">
        <f t="shared" si="5"/>
        <v>-7.609791993304893E-2</v>
      </c>
    </row>
    <row r="119" spans="1:39" x14ac:dyDescent="0.3">
      <c r="A119" s="1">
        <v>110</v>
      </c>
      <c r="B119" s="1" t="s">
        <v>114</v>
      </c>
      <c r="C119" s="1" t="s">
        <v>2347</v>
      </c>
      <c r="D119" s="1" t="s">
        <v>2344</v>
      </c>
      <c r="E119" s="1" t="s">
        <v>95</v>
      </c>
      <c r="F119" s="1" t="s">
        <v>2348</v>
      </c>
      <c r="H119" s="1" t="s">
        <v>2545</v>
      </c>
      <c r="I119" s="3" t="s">
        <v>2340</v>
      </c>
      <c r="J119" s="1" t="s">
        <v>2345</v>
      </c>
      <c r="K119" s="1" t="s">
        <v>2546</v>
      </c>
      <c r="L119" s="1" t="s">
        <v>2547</v>
      </c>
      <c r="M119" s="1" t="s">
        <v>2548</v>
      </c>
      <c r="N119" s="1" t="s">
        <v>2549</v>
      </c>
      <c r="O119" s="1" t="s">
        <v>42</v>
      </c>
      <c r="Q119" s="1" t="s">
        <v>2346</v>
      </c>
      <c r="R119" s="1" t="s">
        <v>2353</v>
      </c>
      <c r="S119" s="1" t="s">
        <v>2354</v>
      </c>
      <c r="T119" s="49">
        <v>34424489.799999997</v>
      </c>
      <c r="U119" s="20">
        <v>932824.49</v>
      </c>
      <c r="V119" s="20">
        <v>0</v>
      </c>
      <c r="W119" s="20">
        <v>753110.2</v>
      </c>
      <c r="X119" s="20">
        <v>14349028.57</v>
      </c>
      <c r="Y119" s="20">
        <v>10875648.98</v>
      </c>
      <c r="Z119" s="20">
        <v>0</v>
      </c>
      <c r="AA119" s="20">
        <v>0</v>
      </c>
      <c r="AB119" s="20">
        <v>0</v>
      </c>
      <c r="AC119" s="20">
        <v>0</v>
      </c>
      <c r="AD119" s="20">
        <v>0</v>
      </c>
      <c r="AE119" s="20">
        <v>0</v>
      </c>
      <c r="AF119" s="20">
        <v>0</v>
      </c>
      <c r="AG119" s="51">
        <f t="shared" si="6"/>
        <v>7513877.5599999949</v>
      </c>
      <c r="AH119" s="20">
        <v>0</v>
      </c>
      <c r="AI119" s="20">
        <v>0</v>
      </c>
      <c r="AJ119" s="20">
        <v>0</v>
      </c>
      <c r="AK119" s="20">
        <f t="shared" si="4"/>
        <v>0</v>
      </c>
      <c r="AL119" s="26">
        <f t="shared" si="5"/>
        <v>0</v>
      </c>
    </row>
    <row r="120" spans="1:39" x14ac:dyDescent="0.3">
      <c r="A120" s="1">
        <v>111</v>
      </c>
      <c r="B120" s="1" t="s">
        <v>114</v>
      </c>
      <c r="C120" s="1" t="s">
        <v>2347</v>
      </c>
      <c r="D120" s="1" t="s">
        <v>2344</v>
      </c>
      <c r="E120" s="1" t="s">
        <v>95</v>
      </c>
      <c r="F120" s="1" t="s">
        <v>2348</v>
      </c>
      <c r="H120" s="1" t="s">
        <v>2550</v>
      </c>
      <c r="I120" s="3" t="s">
        <v>2340</v>
      </c>
      <c r="J120" s="1" t="s">
        <v>2345</v>
      </c>
      <c r="K120" s="1" t="s">
        <v>2551</v>
      </c>
      <c r="L120" s="1" t="s">
        <v>2552</v>
      </c>
      <c r="M120" s="1" t="s">
        <v>2548</v>
      </c>
      <c r="N120" s="1" t="s">
        <v>2549</v>
      </c>
      <c r="O120" s="1" t="s">
        <v>42</v>
      </c>
      <c r="Q120" s="1" t="s">
        <v>2346</v>
      </c>
      <c r="R120" s="1" t="s">
        <v>2353</v>
      </c>
      <c r="S120" s="1" t="s">
        <v>2354</v>
      </c>
      <c r="T120" s="49">
        <v>34424489.799999997</v>
      </c>
      <c r="U120" s="20">
        <v>932824.49</v>
      </c>
      <c r="V120" s="20">
        <v>0</v>
      </c>
      <c r="W120" s="20">
        <v>753110.2</v>
      </c>
      <c r="X120" s="20">
        <v>14349028.57</v>
      </c>
      <c r="Y120" s="20">
        <v>10875648.98</v>
      </c>
      <c r="Z120" s="20">
        <v>0</v>
      </c>
      <c r="AA120" s="20">
        <v>0</v>
      </c>
      <c r="AB120" s="20">
        <v>0</v>
      </c>
      <c r="AC120" s="20">
        <v>0</v>
      </c>
      <c r="AD120" s="20">
        <v>0</v>
      </c>
      <c r="AE120" s="20">
        <v>0</v>
      </c>
      <c r="AF120" s="20">
        <v>0</v>
      </c>
      <c r="AG120" s="51">
        <f t="shared" si="6"/>
        <v>7513877.5599999949</v>
      </c>
      <c r="AH120" s="20">
        <v>0</v>
      </c>
      <c r="AI120" s="20">
        <v>0</v>
      </c>
      <c r="AJ120" s="20">
        <v>0</v>
      </c>
      <c r="AK120" s="20">
        <f t="shared" si="4"/>
        <v>0</v>
      </c>
      <c r="AL120" s="26">
        <f t="shared" si="5"/>
        <v>0</v>
      </c>
    </row>
    <row r="121" spans="1:39" x14ac:dyDescent="0.3">
      <c r="A121" s="1">
        <v>112</v>
      </c>
      <c r="B121" s="1" t="s">
        <v>114</v>
      </c>
      <c r="C121" s="1" t="s">
        <v>2347</v>
      </c>
      <c r="D121" s="1" t="s">
        <v>2344</v>
      </c>
      <c r="E121" s="1" t="s">
        <v>95</v>
      </c>
      <c r="F121" s="1" t="s">
        <v>2348</v>
      </c>
      <c r="H121" s="1" t="s">
        <v>2553</v>
      </c>
      <c r="I121" s="3" t="s">
        <v>2340</v>
      </c>
      <c r="J121" s="1" t="s">
        <v>2345</v>
      </c>
      <c r="K121" s="1" t="s">
        <v>2554</v>
      </c>
      <c r="L121" s="1" t="s">
        <v>2555</v>
      </c>
      <c r="M121" s="1" t="s">
        <v>2548</v>
      </c>
      <c r="N121" s="1" t="s">
        <v>2549</v>
      </c>
      <c r="O121" s="1" t="s">
        <v>42</v>
      </c>
      <c r="Q121" s="1" t="s">
        <v>2346</v>
      </c>
      <c r="R121" s="1" t="s">
        <v>2353</v>
      </c>
      <c r="S121" s="1" t="s">
        <v>2354</v>
      </c>
      <c r="T121" s="49">
        <v>34424489.799999997</v>
      </c>
      <c r="U121" s="20">
        <v>932824.49</v>
      </c>
      <c r="V121" s="20">
        <v>0</v>
      </c>
      <c r="W121" s="20">
        <v>753110.2</v>
      </c>
      <c r="X121" s="20">
        <v>14349028.57</v>
      </c>
      <c r="Y121" s="20">
        <v>10875648.98</v>
      </c>
      <c r="Z121" s="20">
        <v>0</v>
      </c>
      <c r="AA121" s="20">
        <v>0</v>
      </c>
      <c r="AB121" s="20">
        <v>0</v>
      </c>
      <c r="AC121" s="20">
        <v>0</v>
      </c>
      <c r="AD121" s="20">
        <v>0</v>
      </c>
      <c r="AE121" s="20">
        <v>0</v>
      </c>
      <c r="AF121" s="20">
        <v>0</v>
      </c>
      <c r="AG121" s="51">
        <f t="shared" si="6"/>
        <v>7513877.5599999949</v>
      </c>
      <c r="AH121" s="20">
        <v>0</v>
      </c>
      <c r="AI121" s="20">
        <v>0</v>
      </c>
      <c r="AJ121" s="20">
        <v>0</v>
      </c>
      <c r="AK121" s="20">
        <f t="shared" si="4"/>
        <v>0</v>
      </c>
      <c r="AL121" s="26">
        <f t="shared" si="5"/>
        <v>0</v>
      </c>
    </row>
    <row r="122" spans="1:39" x14ac:dyDescent="0.3">
      <c r="A122" s="1">
        <v>113</v>
      </c>
      <c r="B122" s="1" t="s">
        <v>114</v>
      </c>
      <c r="C122" s="1" t="s">
        <v>2347</v>
      </c>
      <c r="D122" s="1" t="s">
        <v>2344</v>
      </c>
      <c r="E122" s="1" t="s">
        <v>95</v>
      </c>
      <c r="F122" s="1" t="s">
        <v>2348</v>
      </c>
      <c r="H122" s="1" t="s">
        <v>2556</v>
      </c>
      <c r="I122" s="3" t="s">
        <v>2340</v>
      </c>
      <c r="J122" s="1" t="s">
        <v>2345</v>
      </c>
      <c r="K122" s="1" t="s">
        <v>2557</v>
      </c>
      <c r="L122" s="1" t="s">
        <v>2558</v>
      </c>
      <c r="M122" s="1" t="s">
        <v>2548</v>
      </c>
      <c r="N122" s="1" t="s">
        <v>2549</v>
      </c>
      <c r="O122" s="1" t="s">
        <v>42</v>
      </c>
      <c r="Q122" s="1" t="s">
        <v>2346</v>
      </c>
      <c r="R122" s="1" t="s">
        <v>2353</v>
      </c>
      <c r="S122" s="1" t="s">
        <v>2354</v>
      </c>
      <c r="T122" s="49">
        <v>34424489.799999997</v>
      </c>
      <c r="U122" s="20">
        <v>932824.49</v>
      </c>
      <c r="V122" s="20">
        <v>0</v>
      </c>
      <c r="W122" s="20">
        <v>753110.2</v>
      </c>
      <c r="X122" s="20">
        <v>14349028.57</v>
      </c>
      <c r="Y122" s="20">
        <v>10875648.98</v>
      </c>
      <c r="Z122" s="20">
        <v>0</v>
      </c>
      <c r="AA122" s="20">
        <v>0</v>
      </c>
      <c r="AB122" s="20">
        <v>0</v>
      </c>
      <c r="AC122" s="20">
        <v>0</v>
      </c>
      <c r="AD122" s="20">
        <v>0</v>
      </c>
      <c r="AE122" s="20">
        <v>0</v>
      </c>
      <c r="AF122" s="20">
        <v>0</v>
      </c>
      <c r="AG122" s="51">
        <f t="shared" si="6"/>
        <v>7513877.5599999949</v>
      </c>
      <c r="AH122" s="20">
        <v>0</v>
      </c>
      <c r="AI122" s="20">
        <v>0</v>
      </c>
      <c r="AJ122" s="20">
        <v>0</v>
      </c>
      <c r="AK122" s="20">
        <f t="shared" si="4"/>
        <v>0</v>
      </c>
      <c r="AL122" s="26">
        <f t="shared" si="5"/>
        <v>0</v>
      </c>
    </row>
    <row r="123" spans="1:39" x14ac:dyDescent="0.3">
      <c r="A123" s="1">
        <v>114</v>
      </c>
      <c r="B123" s="1" t="s">
        <v>114</v>
      </c>
      <c r="C123" s="1" t="s">
        <v>2347</v>
      </c>
      <c r="D123" s="1" t="s">
        <v>2344</v>
      </c>
      <c r="E123" s="1" t="s">
        <v>95</v>
      </c>
      <c r="F123" s="1" t="s">
        <v>2348</v>
      </c>
      <c r="H123" s="1" t="s">
        <v>2559</v>
      </c>
      <c r="I123" s="3" t="s">
        <v>2340</v>
      </c>
      <c r="J123" s="1" t="s">
        <v>2345</v>
      </c>
      <c r="K123" s="1" t="s">
        <v>2560</v>
      </c>
      <c r="L123" s="1" t="s">
        <v>2561</v>
      </c>
      <c r="M123" s="1" t="s">
        <v>2548</v>
      </c>
      <c r="N123" s="1" t="s">
        <v>2549</v>
      </c>
      <c r="O123" s="1" t="s">
        <v>42</v>
      </c>
      <c r="Q123" s="1" t="s">
        <v>2346</v>
      </c>
      <c r="R123" s="1" t="s">
        <v>2353</v>
      </c>
      <c r="S123" s="1" t="s">
        <v>2354</v>
      </c>
      <c r="T123" s="49">
        <v>34424489.799999997</v>
      </c>
      <c r="U123" s="20">
        <v>932824.49</v>
      </c>
      <c r="V123" s="20">
        <v>0</v>
      </c>
      <c r="W123" s="20">
        <v>753110.2</v>
      </c>
      <c r="X123" s="20">
        <v>14349028.57</v>
      </c>
      <c r="Y123" s="20">
        <v>10875648.98</v>
      </c>
      <c r="Z123" s="20">
        <v>0</v>
      </c>
      <c r="AA123" s="20">
        <v>0</v>
      </c>
      <c r="AB123" s="20">
        <v>0</v>
      </c>
      <c r="AC123" s="20">
        <v>0</v>
      </c>
      <c r="AD123" s="20">
        <v>0</v>
      </c>
      <c r="AE123" s="20">
        <v>0</v>
      </c>
      <c r="AF123" s="20">
        <v>0</v>
      </c>
      <c r="AG123" s="51">
        <f t="shared" si="6"/>
        <v>7513877.5599999949</v>
      </c>
      <c r="AH123" s="20">
        <v>0</v>
      </c>
      <c r="AI123" s="20">
        <v>0</v>
      </c>
      <c r="AJ123" s="20">
        <v>0</v>
      </c>
      <c r="AK123" s="20">
        <f t="shared" si="4"/>
        <v>0</v>
      </c>
      <c r="AL123" s="26">
        <f t="shared" si="5"/>
        <v>0</v>
      </c>
    </row>
    <row r="124" spans="1:39" x14ac:dyDescent="0.3">
      <c r="A124" s="1">
        <v>115</v>
      </c>
      <c r="B124" s="1" t="s">
        <v>114</v>
      </c>
      <c r="C124" s="1" t="s">
        <v>2347</v>
      </c>
      <c r="D124" s="1" t="s">
        <v>2344</v>
      </c>
      <c r="E124" s="1" t="s">
        <v>95</v>
      </c>
      <c r="F124" s="1" t="s">
        <v>2348</v>
      </c>
      <c r="H124" s="1" t="s">
        <v>2562</v>
      </c>
      <c r="I124" s="3" t="s">
        <v>2340</v>
      </c>
      <c r="J124" s="1" t="s">
        <v>2345</v>
      </c>
      <c r="K124" s="1" t="s">
        <v>2563</v>
      </c>
      <c r="L124" s="1" t="s">
        <v>2564</v>
      </c>
      <c r="M124" s="1" t="s">
        <v>2548</v>
      </c>
      <c r="N124" s="1" t="s">
        <v>2549</v>
      </c>
      <c r="O124" s="1" t="s">
        <v>42</v>
      </c>
      <c r="Q124" s="1" t="s">
        <v>2346</v>
      </c>
      <c r="R124" s="1" t="s">
        <v>2353</v>
      </c>
      <c r="S124" s="1" t="s">
        <v>2354</v>
      </c>
      <c r="T124" s="49">
        <v>34424489.799999997</v>
      </c>
      <c r="U124" s="20">
        <v>932824.49</v>
      </c>
      <c r="V124" s="20">
        <v>0</v>
      </c>
      <c r="W124" s="20">
        <v>753110.2</v>
      </c>
      <c r="X124" s="20">
        <v>14349028.57</v>
      </c>
      <c r="Y124" s="20">
        <v>10875648.98</v>
      </c>
      <c r="Z124" s="20">
        <v>0</v>
      </c>
      <c r="AA124" s="20">
        <v>0</v>
      </c>
      <c r="AB124" s="20">
        <v>0</v>
      </c>
      <c r="AC124" s="20">
        <v>0</v>
      </c>
      <c r="AD124" s="20">
        <v>0</v>
      </c>
      <c r="AE124" s="20">
        <v>0</v>
      </c>
      <c r="AF124" s="20">
        <v>0</v>
      </c>
      <c r="AG124" s="51">
        <f t="shared" si="6"/>
        <v>7513877.5599999949</v>
      </c>
      <c r="AH124" s="20">
        <v>0</v>
      </c>
      <c r="AI124" s="20">
        <v>0</v>
      </c>
      <c r="AJ124" s="20">
        <v>0</v>
      </c>
      <c r="AK124" s="20">
        <f t="shared" si="4"/>
        <v>0</v>
      </c>
      <c r="AL124" s="26">
        <f t="shared" si="5"/>
        <v>0</v>
      </c>
    </row>
    <row r="125" spans="1:39" x14ac:dyDescent="0.3">
      <c r="A125" s="1">
        <v>116</v>
      </c>
      <c r="B125" s="1" t="s">
        <v>114</v>
      </c>
      <c r="C125" s="1" t="s">
        <v>2347</v>
      </c>
      <c r="D125" s="1" t="s">
        <v>2344</v>
      </c>
      <c r="E125" s="1" t="s">
        <v>95</v>
      </c>
      <c r="F125" s="1" t="s">
        <v>2348</v>
      </c>
      <c r="H125" s="1" t="s">
        <v>2565</v>
      </c>
      <c r="I125" s="3" t="s">
        <v>2340</v>
      </c>
      <c r="J125" s="1" t="s">
        <v>2345</v>
      </c>
      <c r="K125" s="1" t="s">
        <v>2566</v>
      </c>
      <c r="L125" s="1" t="s">
        <v>2567</v>
      </c>
      <c r="M125" s="1" t="s">
        <v>2548</v>
      </c>
      <c r="N125" s="1" t="s">
        <v>2549</v>
      </c>
      <c r="O125" s="1" t="s">
        <v>42</v>
      </c>
      <c r="Q125" s="1" t="s">
        <v>2346</v>
      </c>
      <c r="R125" s="1" t="s">
        <v>2353</v>
      </c>
      <c r="S125" s="1" t="s">
        <v>2354</v>
      </c>
      <c r="T125" s="49">
        <v>34424489.799999997</v>
      </c>
      <c r="U125" s="20">
        <v>932824.49</v>
      </c>
      <c r="V125" s="20">
        <v>0</v>
      </c>
      <c r="W125" s="20">
        <v>753110.2</v>
      </c>
      <c r="X125" s="20">
        <v>14349028.57</v>
      </c>
      <c r="Y125" s="20">
        <v>10875648.98</v>
      </c>
      <c r="Z125" s="20">
        <v>0</v>
      </c>
      <c r="AA125" s="20">
        <v>0</v>
      </c>
      <c r="AB125" s="20">
        <v>0</v>
      </c>
      <c r="AC125" s="20">
        <v>0</v>
      </c>
      <c r="AD125" s="20">
        <v>0</v>
      </c>
      <c r="AE125" s="20">
        <v>0</v>
      </c>
      <c r="AF125" s="20">
        <v>0</v>
      </c>
      <c r="AG125" s="51">
        <f t="shared" si="6"/>
        <v>7513877.5599999949</v>
      </c>
      <c r="AH125" s="20">
        <v>0</v>
      </c>
      <c r="AI125" s="20">
        <v>0</v>
      </c>
      <c r="AJ125" s="20">
        <v>0</v>
      </c>
      <c r="AK125" s="20">
        <f t="shared" ref="AK125:AK187" si="7">IFERROR(SUM(AH125:AJ125)/COUNTIFS(AH125:AJ125,"&lt;&gt;0"),0)</f>
        <v>0</v>
      </c>
      <c r="AL125" s="26">
        <f t="shared" ref="AL125:AL187" si="8">IFERROR((T125/AK125)-100%,0)</f>
        <v>0</v>
      </c>
    </row>
    <row r="126" spans="1:39" x14ac:dyDescent="0.3">
      <c r="A126" s="1">
        <v>117</v>
      </c>
      <c r="B126" s="1" t="s">
        <v>114</v>
      </c>
      <c r="C126" s="1" t="s">
        <v>2347</v>
      </c>
      <c r="D126" s="1" t="s">
        <v>2344</v>
      </c>
      <c r="E126" s="1" t="s">
        <v>95</v>
      </c>
      <c r="F126" s="1" t="s">
        <v>2348</v>
      </c>
      <c r="H126" s="1" t="s">
        <v>2568</v>
      </c>
      <c r="I126" s="3" t="s">
        <v>2340</v>
      </c>
      <c r="J126" s="1" t="s">
        <v>2345</v>
      </c>
      <c r="K126" s="1" t="s">
        <v>2569</v>
      </c>
      <c r="L126" s="1" t="s">
        <v>2570</v>
      </c>
      <c r="M126" s="1" t="s">
        <v>2548</v>
      </c>
      <c r="N126" s="1" t="s">
        <v>2549</v>
      </c>
      <c r="O126" s="1" t="s">
        <v>42</v>
      </c>
      <c r="Q126" s="1" t="s">
        <v>2346</v>
      </c>
      <c r="R126" s="1" t="s">
        <v>2353</v>
      </c>
      <c r="S126" s="1" t="s">
        <v>2354</v>
      </c>
      <c r="T126" s="49">
        <v>34424489.799999997</v>
      </c>
      <c r="U126" s="20">
        <v>932824.49</v>
      </c>
      <c r="V126" s="20">
        <v>0</v>
      </c>
      <c r="W126" s="20">
        <v>753110.2</v>
      </c>
      <c r="X126" s="20">
        <v>14349028.57</v>
      </c>
      <c r="Y126" s="20">
        <v>10875648.98</v>
      </c>
      <c r="Z126" s="20">
        <v>0</v>
      </c>
      <c r="AA126" s="20">
        <v>0</v>
      </c>
      <c r="AB126" s="20">
        <v>0</v>
      </c>
      <c r="AC126" s="20">
        <v>0</v>
      </c>
      <c r="AD126" s="20">
        <v>0</v>
      </c>
      <c r="AE126" s="20">
        <v>0</v>
      </c>
      <c r="AF126" s="20">
        <v>0</v>
      </c>
      <c r="AG126" s="51">
        <f t="shared" si="6"/>
        <v>7513877.5599999949</v>
      </c>
      <c r="AH126" s="20">
        <v>0</v>
      </c>
      <c r="AI126" s="20">
        <v>0</v>
      </c>
      <c r="AJ126" s="20">
        <v>0</v>
      </c>
      <c r="AK126" s="20">
        <f t="shared" si="7"/>
        <v>0</v>
      </c>
      <c r="AL126" s="26">
        <f t="shared" si="8"/>
        <v>0</v>
      </c>
    </row>
    <row r="127" spans="1:39" x14ac:dyDescent="0.3">
      <c r="A127" s="1">
        <v>118</v>
      </c>
      <c r="B127" s="1" t="s">
        <v>114</v>
      </c>
      <c r="C127" s="1" t="s">
        <v>2347</v>
      </c>
      <c r="D127" s="1" t="s">
        <v>2344</v>
      </c>
      <c r="E127" s="1" t="s">
        <v>95</v>
      </c>
      <c r="F127" s="1" t="s">
        <v>2348</v>
      </c>
      <c r="H127" s="1" t="s">
        <v>2571</v>
      </c>
      <c r="I127" s="3" t="s">
        <v>2340</v>
      </c>
      <c r="J127" s="1" t="s">
        <v>2345</v>
      </c>
      <c r="K127" s="1" t="s">
        <v>2572</v>
      </c>
      <c r="L127" s="1" t="s">
        <v>2573</v>
      </c>
      <c r="M127" s="1" t="s">
        <v>2548</v>
      </c>
      <c r="N127" s="1" t="s">
        <v>2549</v>
      </c>
      <c r="O127" s="1" t="s">
        <v>42</v>
      </c>
      <c r="Q127" s="1" t="s">
        <v>2346</v>
      </c>
      <c r="R127" s="1" t="s">
        <v>2353</v>
      </c>
      <c r="S127" s="1" t="s">
        <v>2354</v>
      </c>
      <c r="T127" s="49">
        <v>34424489.799999997</v>
      </c>
      <c r="U127" s="20">
        <v>932824.49</v>
      </c>
      <c r="V127" s="20">
        <v>0</v>
      </c>
      <c r="W127" s="20">
        <v>753110.2</v>
      </c>
      <c r="X127" s="20">
        <v>14349028.57</v>
      </c>
      <c r="Y127" s="20">
        <v>10875648.98</v>
      </c>
      <c r="Z127" s="20">
        <v>0</v>
      </c>
      <c r="AA127" s="20">
        <v>0</v>
      </c>
      <c r="AB127" s="20">
        <v>0</v>
      </c>
      <c r="AC127" s="20">
        <v>0</v>
      </c>
      <c r="AD127" s="20">
        <v>0</v>
      </c>
      <c r="AE127" s="20">
        <v>0</v>
      </c>
      <c r="AF127" s="20">
        <v>0</v>
      </c>
      <c r="AG127" s="51">
        <f t="shared" si="6"/>
        <v>7513877.5599999949</v>
      </c>
      <c r="AH127" s="20">
        <v>0</v>
      </c>
      <c r="AI127" s="20">
        <v>0</v>
      </c>
      <c r="AJ127" s="20">
        <v>0</v>
      </c>
      <c r="AK127" s="20">
        <f t="shared" si="7"/>
        <v>0</v>
      </c>
      <c r="AL127" s="26">
        <f t="shared" si="8"/>
        <v>0</v>
      </c>
    </row>
    <row r="128" spans="1:39" x14ac:dyDescent="0.3">
      <c r="A128" s="1">
        <v>119</v>
      </c>
      <c r="B128" s="1" t="s">
        <v>114</v>
      </c>
      <c r="C128" s="1" t="s">
        <v>2347</v>
      </c>
      <c r="D128" s="1" t="s">
        <v>2344</v>
      </c>
      <c r="E128" s="1" t="s">
        <v>95</v>
      </c>
      <c r="F128" s="1" t="s">
        <v>2348</v>
      </c>
      <c r="H128" s="1" t="s">
        <v>2574</v>
      </c>
      <c r="I128" s="3" t="s">
        <v>2340</v>
      </c>
      <c r="J128" s="1" t="s">
        <v>2345</v>
      </c>
      <c r="K128" s="1" t="s">
        <v>2575</v>
      </c>
      <c r="L128" s="1" t="s">
        <v>2576</v>
      </c>
      <c r="M128" s="1" t="s">
        <v>2548</v>
      </c>
      <c r="N128" s="1" t="s">
        <v>2549</v>
      </c>
      <c r="O128" s="1" t="s">
        <v>42</v>
      </c>
      <c r="Q128" s="1" t="s">
        <v>2346</v>
      </c>
      <c r="R128" s="1" t="s">
        <v>2353</v>
      </c>
      <c r="S128" s="1" t="s">
        <v>2354</v>
      </c>
      <c r="T128" s="49">
        <v>34424489.799999997</v>
      </c>
      <c r="U128" s="20">
        <v>932824.49</v>
      </c>
      <c r="V128" s="20">
        <v>0</v>
      </c>
      <c r="W128" s="20">
        <v>753110.2</v>
      </c>
      <c r="X128" s="20">
        <v>14349028.57</v>
      </c>
      <c r="Y128" s="20">
        <v>10875648.98</v>
      </c>
      <c r="Z128" s="20">
        <v>0</v>
      </c>
      <c r="AA128" s="20">
        <v>0</v>
      </c>
      <c r="AB128" s="20">
        <v>0</v>
      </c>
      <c r="AC128" s="20">
        <v>0</v>
      </c>
      <c r="AD128" s="20">
        <v>0</v>
      </c>
      <c r="AE128" s="20">
        <v>0</v>
      </c>
      <c r="AF128" s="20">
        <v>0</v>
      </c>
      <c r="AG128" s="51">
        <f t="shared" si="6"/>
        <v>7513877.5599999949</v>
      </c>
      <c r="AH128" s="20">
        <v>0</v>
      </c>
      <c r="AI128" s="20">
        <v>0</v>
      </c>
      <c r="AJ128" s="20">
        <v>0</v>
      </c>
      <c r="AK128" s="20">
        <f t="shared" si="7"/>
        <v>0</v>
      </c>
      <c r="AL128" s="26">
        <f t="shared" si="8"/>
        <v>0</v>
      </c>
    </row>
    <row r="129" spans="1:38" x14ac:dyDescent="0.3">
      <c r="A129" s="1">
        <v>120</v>
      </c>
      <c r="B129" s="1" t="s">
        <v>114</v>
      </c>
      <c r="C129" s="1" t="s">
        <v>2347</v>
      </c>
      <c r="D129" s="1" t="s">
        <v>2344</v>
      </c>
      <c r="E129" s="1" t="s">
        <v>95</v>
      </c>
      <c r="F129" s="1" t="s">
        <v>2348</v>
      </c>
      <c r="H129" s="1" t="s">
        <v>2577</v>
      </c>
      <c r="I129" s="3" t="s">
        <v>2340</v>
      </c>
      <c r="J129" s="1" t="s">
        <v>2345</v>
      </c>
      <c r="K129" s="1" t="s">
        <v>2578</v>
      </c>
      <c r="L129" s="1" t="s">
        <v>2579</v>
      </c>
      <c r="M129" s="1" t="s">
        <v>2548</v>
      </c>
      <c r="N129" s="1" t="s">
        <v>2549</v>
      </c>
      <c r="O129" s="1" t="s">
        <v>42</v>
      </c>
      <c r="Q129" s="1" t="s">
        <v>2346</v>
      </c>
      <c r="R129" s="1" t="s">
        <v>2353</v>
      </c>
      <c r="S129" s="1" t="s">
        <v>2354</v>
      </c>
      <c r="T129" s="49">
        <v>34424489.799999997</v>
      </c>
      <c r="U129" s="20">
        <v>932824.49</v>
      </c>
      <c r="V129" s="20">
        <v>0</v>
      </c>
      <c r="W129" s="20">
        <v>753110.2</v>
      </c>
      <c r="X129" s="20">
        <v>14349028.57</v>
      </c>
      <c r="Y129" s="20">
        <v>10875648.98</v>
      </c>
      <c r="Z129" s="20">
        <v>0</v>
      </c>
      <c r="AA129" s="20">
        <v>0</v>
      </c>
      <c r="AB129" s="20">
        <v>0</v>
      </c>
      <c r="AC129" s="20">
        <v>0</v>
      </c>
      <c r="AD129" s="20">
        <v>0</v>
      </c>
      <c r="AE129" s="20">
        <v>0</v>
      </c>
      <c r="AF129" s="20">
        <v>0</v>
      </c>
      <c r="AG129" s="51">
        <f t="shared" si="6"/>
        <v>7513877.5599999949</v>
      </c>
      <c r="AH129" s="20">
        <v>0</v>
      </c>
      <c r="AI129" s="20">
        <v>0</v>
      </c>
      <c r="AJ129" s="20">
        <v>0</v>
      </c>
      <c r="AK129" s="20">
        <f t="shared" si="7"/>
        <v>0</v>
      </c>
      <c r="AL129" s="26">
        <f t="shared" si="8"/>
        <v>0</v>
      </c>
    </row>
    <row r="130" spans="1:38" x14ac:dyDescent="0.3">
      <c r="A130" s="1">
        <v>121</v>
      </c>
      <c r="B130" s="1" t="s">
        <v>114</v>
      </c>
      <c r="C130" s="1" t="s">
        <v>2347</v>
      </c>
      <c r="D130" s="1" t="s">
        <v>2344</v>
      </c>
      <c r="E130" s="1" t="s">
        <v>95</v>
      </c>
      <c r="F130" s="1" t="s">
        <v>2348</v>
      </c>
      <c r="H130" s="1" t="s">
        <v>2580</v>
      </c>
      <c r="I130" s="3" t="s">
        <v>2340</v>
      </c>
      <c r="J130" s="1" t="s">
        <v>2345</v>
      </c>
      <c r="K130" s="1" t="s">
        <v>2581</v>
      </c>
      <c r="L130" s="1" t="s">
        <v>2582</v>
      </c>
      <c r="M130" s="1" t="s">
        <v>2548</v>
      </c>
      <c r="N130" s="1" t="s">
        <v>2549</v>
      </c>
      <c r="O130" s="1" t="s">
        <v>42</v>
      </c>
      <c r="Q130" s="1" t="s">
        <v>2346</v>
      </c>
      <c r="R130" s="1" t="s">
        <v>2353</v>
      </c>
      <c r="S130" s="1" t="s">
        <v>2354</v>
      </c>
      <c r="T130" s="49">
        <v>34424489.799999997</v>
      </c>
      <c r="U130" s="20">
        <v>932824.49</v>
      </c>
      <c r="V130" s="20">
        <v>0</v>
      </c>
      <c r="W130" s="20">
        <v>753110.2</v>
      </c>
      <c r="X130" s="20">
        <v>14349028.57</v>
      </c>
      <c r="Y130" s="20">
        <v>10875648.98</v>
      </c>
      <c r="Z130" s="20">
        <v>0</v>
      </c>
      <c r="AA130" s="20">
        <v>0</v>
      </c>
      <c r="AB130" s="20">
        <v>0</v>
      </c>
      <c r="AC130" s="20">
        <v>0</v>
      </c>
      <c r="AD130" s="20">
        <v>0</v>
      </c>
      <c r="AE130" s="20">
        <v>0</v>
      </c>
      <c r="AF130" s="20">
        <v>0</v>
      </c>
      <c r="AG130" s="51">
        <f t="shared" si="6"/>
        <v>7513877.5599999949</v>
      </c>
      <c r="AH130" s="20">
        <v>0</v>
      </c>
      <c r="AI130" s="20">
        <v>0</v>
      </c>
      <c r="AJ130" s="20">
        <v>0</v>
      </c>
      <c r="AK130" s="20">
        <f t="shared" si="7"/>
        <v>0</v>
      </c>
      <c r="AL130" s="26">
        <f t="shared" si="8"/>
        <v>0</v>
      </c>
    </row>
    <row r="131" spans="1:38" x14ac:dyDescent="0.3">
      <c r="A131" s="1">
        <v>122</v>
      </c>
      <c r="B131" s="1" t="s">
        <v>114</v>
      </c>
      <c r="C131" s="1" t="s">
        <v>2347</v>
      </c>
      <c r="D131" s="1" t="s">
        <v>2344</v>
      </c>
      <c r="E131" s="1" t="s">
        <v>95</v>
      </c>
      <c r="F131" s="1" t="s">
        <v>2348</v>
      </c>
      <c r="H131" s="1" t="s">
        <v>2583</v>
      </c>
      <c r="I131" s="3" t="s">
        <v>2340</v>
      </c>
      <c r="J131" s="1" t="s">
        <v>2345</v>
      </c>
      <c r="K131" s="1" t="s">
        <v>2584</v>
      </c>
      <c r="L131" s="1" t="s">
        <v>2585</v>
      </c>
      <c r="M131" s="1" t="s">
        <v>2548</v>
      </c>
      <c r="N131" s="1" t="s">
        <v>2549</v>
      </c>
      <c r="O131" s="1" t="s">
        <v>42</v>
      </c>
      <c r="Q131" s="1" t="s">
        <v>2346</v>
      </c>
      <c r="R131" s="1" t="s">
        <v>2353</v>
      </c>
      <c r="S131" s="1" t="s">
        <v>2354</v>
      </c>
      <c r="T131" s="49">
        <v>34424489.799999997</v>
      </c>
      <c r="U131" s="20">
        <v>932824.49</v>
      </c>
      <c r="V131" s="20">
        <v>0</v>
      </c>
      <c r="W131" s="20">
        <v>753110.2</v>
      </c>
      <c r="X131" s="20">
        <v>14349028.57</v>
      </c>
      <c r="Y131" s="20">
        <v>10875648.98</v>
      </c>
      <c r="Z131" s="20">
        <v>0</v>
      </c>
      <c r="AA131" s="20">
        <v>0</v>
      </c>
      <c r="AB131" s="20">
        <v>0</v>
      </c>
      <c r="AC131" s="20">
        <v>0</v>
      </c>
      <c r="AD131" s="20">
        <v>0</v>
      </c>
      <c r="AE131" s="20">
        <v>0</v>
      </c>
      <c r="AF131" s="20">
        <v>0</v>
      </c>
      <c r="AG131" s="51">
        <f t="shared" si="6"/>
        <v>7513877.5599999949</v>
      </c>
      <c r="AH131" s="20">
        <v>0</v>
      </c>
      <c r="AI131" s="20">
        <v>0</v>
      </c>
      <c r="AJ131" s="20">
        <v>0</v>
      </c>
      <c r="AK131" s="20">
        <f t="shared" si="7"/>
        <v>0</v>
      </c>
      <c r="AL131" s="26">
        <f t="shared" si="8"/>
        <v>0</v>
      </c>
    </row>
    <row r="132" spans="1:38" x14ac:dyDescent="0.3">
      <c r="A132" s="1">
        <v>123</v>
      </c>
      <c r="B132" s="1" t="s">
        <v>114</v>
      </c>
      <c r="C132" s="1" t="s">
        <v>2347</v>
      </c>
      <c r="D132" s="1" t="s">
        <v>2344</v>
      </c>
      <c r="E132" s="1" t="s">
        <v>95</v>
      </c>
      <c r="F132" s="1" t="s">
        <v>2348</v>
      </c>
      <c r="H132" s="1" t="s">
        <v>2586</v>
      </c>
      <c r="I132" s="3" t="s">
        <v>2340</v>
      </c>
      <c r="J132" s="1" t="s">
        <v>2345</v>
      </c>
      <c r="K132" s="1" t="s">
        <v>2587</v>
      </c>
      <c r="L132" s="1" t="s">
        <v>2588</v>
      </c>
      <c r="M132" s="1" t="s">
        <v>2548</v>
      </c>
      <c r="N132" s="1" t="s">
        <v>2549</v>
      </c>
      <c r="O132" s="1" t="s">
        <v>42</v>
      </c>
      <c r="Q132" s="1" t="s">
        <v>2346</v>
      </c>
      <c r="R132" s="1" t="s">
        <v>2353</v>
      </c>
      <c r="S132" s="1" t="s">
        <v>2354</v>
      </c>
      <c r="T132" s="49">
        <v>34424489.799999997</v>
      </c>
      <c r="U132" s="20">
        <v>932824.49</v>
      </c>
      <c r="V132" s="20">
        <v>0</v>
      </c>
      <c r="W132" s="20">
        <v>753110.2</v>
      </c>
      <c r="X132" s="20">
        <v>14349028.57</v>
      </c>
      <c r="Y132" s="20">
        <v>10875648.98</v>
      </c>
      <c r="Z132" s="20">
        <v>0</v>
      </c>
      <c r="AA132" s="20">
        <v>0</v>
      </c>
      <c r="AB132" s="20">
        <v>0</v>
      </c>
      <c r="AC132" s="20">
        <v>0</v>
      </c>
      <c r="AD132" s="20">
        <v>0</v>
      </c>
      <c r="AE132" s="20">
        <v>0</v>
      </c>
      <c r="AF132" s="20">
        <v>0</v>
      </c>
      <c r="AG132" s="51">
        <f t="shared" si="6"/>
        <v>7513877.5599999949</v>
      </c>
      <c r="AH132" s="20">
        <v>0</v>
      </c>
      <c r="AI132" s="20">
        <v>0</v>
      </c>
      <c r="AJ132" s="20">
        <v>0</v>
      </c>
      <c r="AK132" s="20">
        <f t="shared" si="7"/>
        <v>0</v>
      </c>
      <c r="AL132" s="26">
        <f t="shared" si="8"/>
        <v>0</v>
      </c>
    </row>
    <row r="133" spans="1:38" x14ac:dyDescent="0.3">
      <c r="A133" s="1">
        <v>124</v>
      </c>
      <c r="B133" s="1" t="s">
        <v>114</v>
      </c>
      <c r="C133" s="1" t="s">
        <v>2347</v>
      </c>
      <c r="D133" s="1" t="s">
        <v>2344</v>
      </c>
      <c r="E133" s="1" t="s">
        <v>95</v>
      </c>
      <c r="F133" s="1" t="s">
        <v>2348</v>
      </c>
      <c r="H133" s="1" t="s">
        <v>2589</v>
      </c>
      <c r="I133" s="3" t="s">
        <v>2340</v>
      </c>
      <c r="J133" s="1" t="s">
        <v>2345</v>
      </c>
      <c r="K133" s="1" t="s">
        <v>2590</v>
      </c>
      <c r="L133" s="1" t="s">
        <v>2591</v>
      </c>
      <c r="M133" s="1" t="s">
        <v>2548</v>
      </c>
      <c r="N133" s="1" t="s">
        <v>2549</v>
      </c>
      <c r="O133" s="1" t="s">
        <v>42</v>
      </c>
      <c r="Q133" s="1" t="s">
        <v>2346</v>
      </c>
      <c r="R133" s="1" t="s">
        <v>2353</v>
      </c>
      <c r="S133" s="1" t="s">
        <v>2354</v>
      </c>
      <c r="T133" s="49">
        <v>34424489.799999997</v>
      </c>
      <c r="U133" s="20">
        <v>932824.49</v>
      </c>
      <c r="V133" s="20">
        <v>0</v>
      </c>
      <c r="W133" s="20">
        <v>753110.2</v>
      </c>
      <c r="X133" s="20">
        <v>14349028.57</v>
      </c>
      <c r="Y133" s="20">
        <v>10875648.98</v>
      </c>
      <c r="Z133" s="20">
        <v>0</v>
      </c>
      <c r="AA133" s="20">
        <v>0</v>
      </c>
      <c r="AB133" s="20">
        <v>0</v>
      </c>
      <c r="AC133" s="20">
        <v>0</v>
      </c>
      <c r="AD133" s="20">
        <v>0</v>
      </c>
      <c r="AE133" s="20">
        <v>0</v>
      </c>
      <c r="AF133" s="20">
        <v>0</v>
      </c>
      <c r="AG133" s="51">
        <f t="shared" si="6"/>
        <v>7513877.5599999949</v>
      </c>
      <c r="AH133" s="20">
        <v>0</v>
      </c>
      <c r="AI133" s="20">
        <v>0</v>
      </c>
      <c r="AJ133" s="20">
        <v>0</v>
      </c>
      <c r="AK133" s="20">
        <f t="shared" si="7"/>
        <v>0</v>
      </c>
      <c r="AL133" s="26">
        <f t="shared" si="8"/>
        <v>0</v>
      </c>
    </row>
    <row r="134" spans="1:38" x14ac:dyDescent="0.3">
      <c r="A134" s="1">
        <v>125</v>
      </c>
      <c r="B134" s="1" t="s">
        <v>114</v>
      </c>
      <c r="C134" s="1" t="s">
        <v>2347</v>
      </c>
      <c r="D134" s="1" t="s">
        <v>2344</v>
      </c>
      <c r="E134" s="1" t="s">
        <v>95</v>
      </c>
      <c r="F134" s="1" t="s">
        <v>2348</v>
      </c>
      <c r="H134" s="1" t="s">
        <v>2592</v>
      </c>
      <c r="I134" s="3" t="s">
        <v>2340</v>
      </c>
      <c r="J134" s="1" t="s">
        <v>2345</v>
      </c>
      <c r="K134" s="1" t="s">
        <v>2593</v>
      </c>
      <c r="L134" s="1" t="s">
        <v>2594</v>
      </c>
      <c r="M134" s="1" t="s">
        <v>2548</v>
      </c>
      <c r="N134" s="1" t="s">
        <v>2549</v>
      </c>
      <c r="O134" s="1" t="s">
        <v>42</v>
      </c>
      <c r="Q134" s="1" t="s">
        <v>2346</v>
      </c>
      <c r="R134" s="1" t="s">
        <v>2353</v>
      </c>
      <c r="S134" s="1" t="s">
        <v>2354</v>
      </c>
      <c r="T134" s="49">
        <v>34424489.799999997</v>
      </c>
      <c r="U134" s="20">
        <v>932824.49</v>
      </c>
      <c r="V134" s="20">
        <v>0</v>
      </c>
      <c r="W134" s="20">
        <v>753110.2</v>
      </c>
      <c r="X134" s="20">
        <v>14349028.57</v>
      </c>
      <c r="Y134" s="20">
        <v>10875648.98</v>
      </c>
      <c r="Z134" s="20">
        <v>0</v>
      </c>
      <c r="AA134" s="20">
        <v>0</v>
      </c>
      <c r="AB134" s="20">
        <v>0</v>
      </c>
      <c r="AC134" s="20">
        <v>0</v>
      </c>
      <c r="AD134" s="20">
        <v>0</v>
      </c>
      <c r="AE134" s="20">
        <v>0</v>
      </c>
      <c r="AF134" s="20">
        <v>0</v>
      </c>
      <c r="AG134" s="51">
        <f t="shared" si="6"/>
        <v>7513877.5599999949</v>
      </c>
      <c r="AH134" s="20">
        <v>0</v>
      </c>
      <c r="AI134" s="20">
        <v>0</v>
      </c>
      <c r="AJ134" s="20">
        <v>0</v>
      </c>
      <c r="AK134" s="20">
        <f t="shared" si="7"/>
        <v>0</v>
      </c>
      <c r="AL134" s="26">
        <f t="shared" si="8"/>
        <v>0</v>
      </c>
    </row>
    <row r="135" spans="1:38" x14ac:dyDescent="0.3">
      <c r="A135" s="1">
        <v>126</v>
      </c>
      <c r="B135" s="1" t="s">
        <v>114</v>
      </c>
      <c r="C135" s="1" t="s">
        <v>2347</v>
      </c>
      <c r="D135" s="1" t="s">
        <v>2344</v>
      </c>
      <c r="E135" s="1" t="s">
        <v>95</v>
      </c>
      <c r="F135" s="1" t="s">
        <v>2348</v>
      </c>
      <c r="H135" s="1" t="s">
        <v>2595</v>
      </c>
      <c r="I135" s="3" t="s">
        <v>2340</v>
      </c>
      <c r="J135" s="1" t="s">
        <v>2345</v>
      </c>
      <c r="K135" s="1" t="s">
        <v>2596</v>
      </c>
      <c r="L135" s="1" t="s">
        <v>2597</v>
      </c>
      <c r="M135" s="1" t="s">
        <v>2548</v>
      </c>
      <c r="N135" s="1" t="s">
        <v>2549</v>
      </c>
      <c r="O135" s="1" t="s">
        <v>42</v>
      </c>
      <c r="Q135" s="1" t="s">
        <v>2346</v>
      </c>
      <c r="R135" s="1" t="s">
        <v>2353</v>
      </c>
      <c r="S135" s="1" t="s">
        <v>2354</v>
      </c>
      <c r="T135" s="49">
        <v>34424489.799999997</v>
      </c>
      <c r="U135" s="20">
        <v>932824.49</v>
      </c>
      <c r="V135" s="20">
        <v>0</v>
      </c>
      <c r="W135" s="20">
        <v>753110.2</v>
      </c>
      <c r="X135" s="20">
        <v>14349028.57</v>
      </c>
      <c r="Y135" s="20">
        <v>10875648.98</v>
      </c>
      <c r="Z135" s="20">
        <v>0</v>
      </c>
      <c r="AA135" s="20">
        <v>0</v>
      </c>
      <c r="AB135" s="20">
        <v>0</v>
      </c>
      <c r="AC135" s="20">
        <v>0</v>
      </c>
      <c r="AD135" s="20">
        <v>0</v>
      </c>
      <c r="AE135" s="20">
        <v>0</v>
      </c>
      <c r="AF135" s="20">
        <v>0</v>
      </c>
      <c r="AG135" s="51">
        <f t="shared" si="6"/>
        <v>7513877.5599999949</v>
      </c>
      <c r="AH135" s="20">
        <v>0</v>
      </c>
      <c r="AI135" s="20">
        <v>0</v>
      </c>
      <c r="AJ135" s="20">
        <v>0</v>
      </c>
      <c r="AK135" s="20">
        <f t="shared" si="7"/>
        <v>0</v>
      </c>
      <c r="AL135" s="26">
        <f t="shared" si="8"/>
        <v>0</v>
      </c>
    </row>
    <row r="136" spans="1:38" x14ac:dyDescent="0.3">
      <c r="A136" s="1">
        <v>127</v>
      </c>
      <c r="B136" s="1" t="s">
        <v>114</v>
      </c>
      <c r="C136" s="1" t="s">
        <v>2347</v>
      </c>
      <c r="D136" s="1" t="s">
        <v>2344</v>
      </c>
      <c r="E136" s="1" t="s">
        <v>95</v>
      </c>
      <c r="F136" s="1" t="s">
        <v>2348</v>
      </c>
      <c r="I136" s="3" t="s">
        <v>2340</v>
      </c>
      <c r="J136" s="1" t="s">
        <v>2345</v>
      </c>
      <c r="K136" s="1" t="s">
        <v>2598</v>
      </c>
      <c r="L136" s="1" t="s">
        <v>2350</v>
      </c>
      <c r="M136" s="1" t="s">
        <v>2548</v>
      </c>
      <c r="N136" s="1" t="s">
        <v>2549</v>
      </c>
      <c r="O136" s="1" t="s">
        <v>42</v>
      </c>
      <c r="Q136" s="1" t="s">
        <v>2346</v>
      </c>
      <c r="R136" s="1" t="s">
        <v>2353</v>
      </c>
      <c r="S136" s="1" t="s">
        <v>2354</v>
      </c>
      <c r="T136" s="49">
        <v>34424489.799999997</v>
      </c>
      <c r="U136" s="20">
        <v>932824.49</v>
      </c>
      <c r="V136" s="20">
        <v>0</v>
      </c>
      <c r="W136" s="20">
        <v>753110.2</v>
      </c>
      <c r="X136" s="20">
        <v>14349028.57</v>
      </c>
      <c r="Y136" s="20">
        <v>10875648.98</v>
      </c>
      <c r="Z136" s="20">
        <v>0</v>
      </c>
      <c r="AA136" s="20">
        <v>0</v>
      </c>
      <c r="AB136" s="20">
        <v>0</v>
      </c>
      <c r="AC136" s="20">
        <v>0</v>
      </c>
      <c r="AD136" s="20">
        <v>0</v>
      </c>
      <c r="AE136" s="20">
        <v>0</v>
      </c>
      <c r="AF136" s="20">
        <v>0</v>
      </c>
      <c r="AG136" s="51">
        <f t="shared" si="6"/>
        <v>7513877.5599999949</v>
      </c>
      <c r="AH136" s="20">
        <v>0</v>
      </c>
      <c r="AI136" s="20">
        <v>0</v>
      </c>
      <c r="AJ136" s="20">
        <v>0</v>
      </c>
      <c r="AK136" s="20">
        <f t="shared" si="7"/>
        <v>0</v>
      </c>
      <c r="AL136" s="26">
        <f t="shared" si="8"/>
        <v>0</v>
      </c>
    </row>
    <row r="137" spans="1:38" x14ac:dyDescent="0.3">
      <c r="A137" s="1">
        <v>128</v>
      </c>
      <c r="B137" s="1" t="s">
        <v>114</v>
      </c>
      <c r="C137" s="1" t="s">
        <v>2347</v>
      </c>
      <c r="D137" s="1" t="s">
        <v>2344</v>
      </c>
      <c r="E137" s="1" t="s">
        <v>95</v>
      </c>
      <c r="F137" s="1" t="s">
        <v>2348</v>
      </c>
      <c r="H137" s="1" t="s">
        <v>2599</v>
      </c>
      <c r="I137" s="3" t="s">
        <v>2340</v>
      </c>
      <c r="J137" s="1" t="s">
        <v>2345</v>
      </c>
      <c r="K137" s="1" t="s">
        <v>2600</v>
      </c>
      <c r="L137" s="1" t="s">
        <v>2601</v>
      </c>
      <c r="M137" s="1" t="s">
        <v>2548</v>
      </c>
      <c r="N137" s="1" t="s">
        <v>2549</v>
      </c>
      <c r="O137" s="1" t="s">
        <v>42</v>
      </c>
      <c r="Q137" s="1" t="s">
        <v>2346</v>
      </c>
      <c r="R137" s="1" t="s">
        <v>2353</v>
      </c>
      <c r="S137" s="1" t="s">
        <v>2354</v>
      </c>
      <c r="T137" s="49">
        <v>34424489.799999997</v>
      </c>
      <c r="U137" s="20">
        <v>932824.49</v>
      </c>
      <c r="V137" s="20">
        <v>0</v>
      </c>
      <c r="W137" s="20">
        <v>753110.2</v>
      </c>
      <c r="X137" s="20">
        <v>14349028.57</v>
      </c>
      <c r="Y137" s="20">
        <v>10875648.98</v>
      </c>
      <c r="Z137" s="20">
        <v>0</v>
      </c>
      <c r="AA137" s="20">
        <v>0</v>
      </c>
      <c r="AB137" s="20">
        <v>0</v>
      </c>
      <c r="AC137" s="20">
        <v>0</v>
      </c>
      <c r="AD137" s="20">
        <v>0</v>
      </c>
      <c r="AE137" s="20">
        <v>0</v>
      </c>
      <c r="AF137" s="20">
        <v>0</v>
      </c>
      <c r="AG137" s="51">
        <f t="shared" si="6"/>
        <v>7513877.5599999949</v>
      </c>
      <c r="AH137" s="20">
        <v>0</v>
      </c>
      <c r="AI137" s="20">
        <v>0</v>
      </c>
      <c r="AJ137" s="20">
        <v>0</v>
      </c>
      <c r="AK137" s="20">
        <f t="shared" si="7"/>
        <v>0</v>
      </c>
      <c r="AL137" s="26">
        <f t="shared" si="8"/>
        <v>0</v>
      </c>
    </row>
    <row r="138" spans="1:38" x14ac:dyDescent="0.3">
      <c r="A138" s="1">
        <v>129</v>
      </c>
      <c r="B138" s="1" t="s">
        <v>114</v>
      </c>
      <c r="C138" s="1" t="s">
        <v>2347</v>
      </c>
      <c r="D138" s="1" t="s">
        <v>2344</v>
      </c>
      <c r="E138" s="1" t="s">
        <v>95</v>
      </c>
      <c r="F138" s="1" t="s">
        <v>2348</v>
      </c>
      <c r="I138" s="3" t="s">
        <v>2340</v>
      </c>
      <c r="J138" s="1" t="s">
        <v>2345</v>
      </c>
      <c r="K138" s="1" t="s">
        <v>2602</v>
      </c>
      <c r="L138" s="1" t="s">
        <v>2350</v>
      </c>
      <c r="M138" s="1" t="s">
        <v>2548</v>
      </c>
      <c r="N138" s="1" t="s">
        <v>2549</v>
      </c>
      <c r="O138" s="1" t="s">
        <v>42</v>
      </c>
      <c r="Q138" s="1" t="s">
        <v>2346</v>
      </c>
      <c r="R138" s="1" t="s">
        <v>2353</v>
      </c>
      <c r="S138" s="1" t="s">
        <v>2354</v>
      </c>
      <c r="T138" s="49">
        <v>34424489.799999997</v>
      </c>
      <c r="U138" s="20">
        <v>932824.49</v>
      </c>
      <c r="V138" s="20">
        <v>0</v>
      </c>
      <c r="W138" s="20">
        <v>753110.2</v>
      </c>
      <c r="X138" s="20">
        <v>14349028.57</v>
      </c>
      <c r="Y138" s="20">
        <v>10875648.98</v>
      </c>
      <c r="Z138" s="20">
        <v>0</v>
      </c>
      <c r="AA138" s="20">
        <v>0</v>
      </c>
      <c r="AB138" s="20">
        <v>0</v>
      </c>
      <c r="AC138" s="20">
        <v>0</v>
      </c>
      <c r="AD138" s="20">
        <v>0</v>
      </c>
      <c r="AE138" s="20">
        <v>0</v>
      </c>
      <c r="AF138" s="20">
        <v>0</v>
      </c>
      <c r="AG138" s="51">
        <f t="shared" si="6"/>
        <v>7513877.5599999949</v>
      </c>
      <c r="AH138" s="20">
        <v>0</v>
      </c>
      <c r="AI138" s="20">
        <v>0</v>
      </c>
      <c r="AJ138" s="20">
        <v>0</v>
      </c>
      <c r="AK138" s="20">
        <f t="shared" si="7"/>
        <v>0</v>
      </c>
      <c r="AL138" s="26">
        <f t="shared" si="8"/>
        <v>0</v>
      </c>
    </row>
    <row r="139" spans="1:38" x14ac:dyDescent="0.3">
      <c r="A139" s="1">
        <v>130</v>
      </c>
      <c r="B139" s="1" t="s">
        <v>114</v>
      </c>
      <c r="C139" s="1" t="s">
        <v>2347</v>
      </c>
      <c r="D139" s="1" t="s">
        <v>2344</v>
      </c>
      <c r="E139" s="1" t="s">
        <v>95</v>
      </c>
      <c r="F139" s="1" t="s">
        <v>2348</v>
      </c>
      <c r="H139" s="1" t="s">
        <v>2603</v>
      </c>
      <c r="I139" s="3" t="s">
        <v>2340</v>
      </c>
      <c r="J139" s="1" t="s">
        <v>2345</v>
      </c>
      <c r="K139" s="1" t="s">
        <v>2604</v>
      </c>
      <c r="L139" s="1" t="s">
        <v>2605</v>
      </c>
      <c r="M139" s="1" t="s">
        <v>2548</v>
      </c>
      <c r="N139" s="1" t="s">
        <v>2549</v>
      </c>
      <c r="O139" s="1" t="s">
        <v>42</v>
      </c>
      <c r="Q139" s="1" t="s">
        <v>2346</v>
      </c>
      <c r="R139" s="1" t="s">
        <v>2353</v>
      </c>
      <c r="S139" s="1" t="s">
        <v>2354</v>
      </c>
      <c r="T139" s="49">
        <v>34424489.799999997</v>
      </c>
      <c r="U139" s="20">
        <v>932824.49</v>
      </c>
      <c r="V139" s="20">
        <v>0</v>
      </c>
      <c r="W139" s="20">
        <v>753110.2</v>
      </c>
      <c r="X139" s="20">
        <v>14349028.57</v>
      </c>
      <c r="Y139" s="20">
        <v>10875648.98</v>
      </c>
      <c r="Z139" s="20">
        <v>0</v>
      </c>
      <c r="AA139" s="20">
        <v>0</v>
      </c>
      <c r="AB139" s="20">
        <v>0</v>
      </c>
      <c r="AC139" s="20">
        <v>0</v>
      </c>
      <c r="AD139" s="20">
        <v>0</v>
      </c>
      <c r="AE139" s="20">
        <v>0</v>
      </c>
      <c r="AF139" s="20">
        <v>0</v>
      </c>
      <c r="AG139" s="51">
        <f t="shared" ref="AG139:AG201" si="9">T139-SUM(U139:AF139)</f>
        <v>7513877.5599999949</v>
      </c>
      <c r="AH139" s="20">
        <v>0</v>
      </c>
      <c r="AI139" s="20">
        <v>0</v>
      </c>
      <c r="AJ139" s="20">
        <v>0</v>
      </c>
      <c r="AK139" s="20">
        <f t="shared" si="7"/>
        <v>0</v>
      </c>
      <c r="AL139" s="26">
        <f t="shared" si="8"/>
        <v>0</v>
      </c>
    </row>
    <row r="140" spans="1:38" x14ac:dyDescent="0.3">
      <c r="A140" s="1">
        <v>131</v>
      </c>
      <c r="B140" s="1" t="s">
        <v>114</v>
      </c>
      <c r="C140" s="1" t="s">
        <v>2347</v>
      </c>
      <c r="D140" s="1" t="s">
        <v>2344</v>
      </c>
      <c r="E140" s="1" t="s">
        <v>95</v>
      </c>
      <c r="F140" s="1" t="s">
        <v>2348</v>
      </c>
      <c r="H140" s="1" t="s">
        <v>2606</v>
      </c>
      <c r="I140" s="3" t="s">
        <v>2340</v>
      </c>
      <c r="J140" s="1" t="s">
        <v>2345</v>
      </c>
      <c r="K140" s="1" t="s">
        <v>2607</v>
      </c>
      <c r="L140" s="1" t="s">
        <v>2608</v>
      </c>
      <c r="M140" s="1" t="s">
        <v>2548</v>
      </c>
      <c r="N140" s="1" t="s">
        <v>2549</v>
      </c>
      <c r="O140" s="1" t="s">
        <v>42</v>
      </c>
      <c r="Q140" s="1" t="s">
        <v>2346</v>
      </c>
      <c r="R140" s="1" t="s">
        <v>2353</v>
      </c>
      <c r="S140" s="1" t="s">
        <v>2354</v>
      </c>
      <c r="T140" s="49">
        <v>34424489.799999997</v>
      </c>
      <c r="U140" s="20">
        <v>932824.49</v>
      </c>
      <c r="V140" s="20">
        <v>0</v>
      </c>
      <c r="W140" s="20">
        <v>753110.2</v>
      </c>
      <c r="X140" s="20">
        <v>14349028.57</v>
      </c>
      <c r="Y140" s="20">
        <v>10875648.98</v>
      </c>
      <c r="Z140" s="20">
        <v>0</v>
      </c>
      <c r="AA140" s="20">
        <v>0</v>
      </c>
      <c r="AB140" s="20">
        <v>0</v>
      </c>
      <c r="AC140" s="20">
        <v>0</v>
      </c>
      <c r="AD140" s="20">
        <v>0</v>
      </c>
      <c r="AE140" s="20">
        <v>0</v>
      </c>
      <c r="AF140" s="20">
        <v>0</v>
      </c>
      <c r="AG140" s="51">
        <f t="shared" si="9"/>
        <v>7513877.5599999949</v>
      </c>
      <c r="AH140" s="20">
        <v>0</v>
      </c>
      <c r="AI140" s="20">
        <v>0</v>
      </c>
      <c r="AJ140" s="20">
        <v>0</v>
      </c>
      <c r="AK140" s="20">
        <f t="shared" si="7"/>
        <v>0</v>
      </c>
      <c r="AL140" s="26">
        <f t="shared" si="8"/>
        <v>0</v>
      </c>
    </row>
    <row r="141" spans="1:38" x14ac:dyDescent="0.3">
      <c r="A141" s="1">
        <v>132</v>
      </c>
      <c r="B141" s="1" t="s">
        <v>114</v>
      </c>
      <c r="C141" s="1" t="s">
        <v>2347</v>
      </c>
      <c r="D141" s="1" t="s">
        <v>2344</v>
      </c>
      <c r="E141" s="1" t="s">
        <v>95</v>
      </c>
      <c r="F141" s="1" t="s">
        <v>2348</v>
      </c>
      <c r="H141" s="1" t="s">
        <v>2609</v>
      </c>
      <c r="I141" s="3" t="s">
        <v>2340</v>
      </c>
      <c r="J141" s="1" t="s">
        <v>2345</v>
      </c>
      <c r="K141" s="1" t="s">
        <v>2610</v>
      </c>
      <c r="L141" s="1" t="s">
        <v>2611</v>
      </c>
      <c r="M141" s="1" t="s">
        <v>2548</v>
      </c>
      <c r="N141" s="1" t="s">
        <v>2549</v>
      </c>
      <c r="O141" s="1" t="s">
        <v>42</v>
      </c>
      <c r="Q141" s="1" t="s">
        <v>2346</v>
      </c>
      <c r="R141" s="1" t="s">
        <v>2353</v>
      </c>
      <c r="S141" s="1" t="s">
        <v>2354</v>
      </c>
      <c r="T141" s="49">
        <v>34424489.799999997</v>
      </c>
      <c r="U141" s="20">
        <v>932824.49</v>
      </c>
      <c r="V141" s="20">
        <v>0</v>
      </c>
      <c r="W141" s="20">
        <v>753110.2</v>
      </c>
      <c r="X141" s="20">
        <v>14349028.57</v>
      </c>
      <c r="Y141" s="20">
        <v>10875648.98</v>
      </c>
      <c r="Z141" s="20">
        <v>0</v>
      </c>
      <c r="AA141" s="20">
        <v>0</v>
      </c>
      <c r="AB141" s="20">
        <v>0</v>
      </c>
      <c r="AC141" s="20">
        <v>0</v>
      </c>
      <c r="AD141" s="20">
        <v>0</v>
      </c>
      <c r="AE141" s="20">
        <v>0</v>
      </c>
      <c r="AF141" s="20">
        <v>0</v>
      </c>
      <c r="AG141" s="51">
        <f t="shared" si="9"/>
        <v>7513877.5599999949</v>
      </c>
      <c r="AH141" s="20">
        <v>0</v>
      </c>
      <c r="AI141" s="20">
        <v>0</v>
      </c>
      <c r="AJ141" s="20">
        <v>0</v>
      </c>
      <c r="AK141" s="20">
        <f t="shared" si="7"/>
        <v>0</v>
      </c>
      <c r="AL141" s="26">
        <f t="shared" si="8"/>
        <v>0</v>
      </c>
    </row>
    <row r="142" spans="1:38" x14ac:dyDescent="0.3">
      <c r="A142" s="1">
        <v>133</v>
      </c>
      <c r="B142" s="1" t="s">
        <v>114</v>
      </c>
      <c r="C142" s="1" t="s">
        <v>2347</v>
      </c>
      <c r="D142" s="1" t="s">
        <v>2344</v>
      </c>
      <c r="E142" s="1" t="s">
        <v>95</v>
      </c>
      <c r="F142" s="1" t="s">
        <v>2348</v>
      </c>
      <c r="H142" s="1" t="s">
        <v>2612</v>
      </c>
      <c r="I142" s="3" t="s">
        <v>2340</v>
      </c>
      <c r="J142" s="1" t="s">
        <v>2345</v>
      </c>
      <c r="K142" s="1" t="s">
        <v>2613</v>
      </c>
      <c r="L142" s="1" t="s">
        <v>2614</v>
      </c>
      <c r="M142" s="1" t="s">
        <v>2548</v>
      </c>
      <c r="N142" s="1" t="s">
        <v>2549</v>
      </c>
      <c r="O142" s="1" t="s">
        <v>42</v>
      </c>
      <c r="Q142" s="1" t="s">
        <v>2346</v>
      </c>
      <c r="R142" s="1" t="s">
        <v>2353</v>
      </c>
      <c r="S142" s="1" t="s">
        <v>2354</v>
      </c>
      <c r="T142" s="49">
        <v>34424489.799999997</v>
      </c>
      <c r="U142" s="20">
        <v>932824.49</v>
      </c>
      <c r="V142" s="20">
        <v>0</v>
      </c>
      <c r="W142" s="20">
        <v>753110.2</v>
      </c>
      <c r="X142" s="20">
        <v>14349028.57</v>
      </c>
      <c r="Y142" s="20">
        <v>10875648.98</v>
      </c>
      <c r="Z142" s="20">
        <v>0</v>
      </c>
      <c r="AA142" s="20">
        <v>0</v>
      </c>
      <c r="AB142" s="20">
        <v>0</v>
      </c>
      <c r="AC142" s="20">
        <v>0</v>
      </c>
      <c r="AD142" s="20">
        <v>0</v>
      </c>
      <c r="AE142" s="20">
        <v>0</v>
      </c>
      <c r="AF142" s="20">
        <v>0</v>
      </c>
      <c r="AG142" s="51">
        <f t="shared" si="9"/>
        <v>7513877.5599999949</v>
      </c>
      <c r="AH142" s="20">
        <v>0</v>
      </c>
      <c r="AI142" s="20">
        <v>0</v>
      </c>
      <c r="AJ142" s="20">
        <v>0</v>
      </c>
      <c r="AK142" s="20">
        <f t="shared" si="7"/>
        <v>0</v>
      </c>
      <c r="AL142" s="26">
        <f t="shared" si="8"/>
        <v>0</v>
      </c>
    </row>
    <row r="143" spans="1:38" x14ac:dyDescent="0.3">
      <c r="A143" s="1">
        <v>134</v>
      </c>
      <c r="B143" s="1" t="s">
        <v>114</v>
      </c>
      <c r="C143" s="1" t="s">
        <v>2347</v>
      </c>
      <c r="D143" s="1" t="s">
        <v>2344</v>
      </c>
      <c r="E143" s="1" t="s">
        <v>1137</v>
      </c>
      <c r="F143" s="1" t="s">
        <v>2615</v>
      </c>
      <c r="H143" s="1" t="s">
        <v>2616</v>
      </c>
      <c r="I143" s="3" t="s">
        <v>30</v>
      </c>
      <c r="J143" s="1" t="s">
        <v>2345</v>
      </c>
      <c r="K143" s="1" t="s">
        <v>2617</v>
      </c>
      <c r="M143" s="1" t="s">
        <v>2618</v>
      </c>
      <c r="N143" s="1" t="s">
        <v>2619</v>
      </c>
      <c r="O143" s="1" t="s">
        <v>42</v>
      </c>
      <c r="Q143" s="1" t="s">
        <v>2346</v>
      </c>
      <c r="R143" s="1" t="s">
        <v>2353</v>
      </c>
      <c r="S143" s="1" t="s">
        <v>2354</v>
      </c>
      <c r="T143" s="49">
        <v>10000000</v>
      </c>
      <c r="U143" s="20">
        <v>0</v>
      </c>
      <c r="V143" s="20">
        <v>0</v>
      </c>
      <c r="W143" s="20">
        <v>0</v>
      </c>
      <c r="X143" s="20">
        <v>0</v>
      </c>
      <c r="Y143" s="20">
        <v>0</v>
      </c>
      <c r="Z143" s="20">
        <v>1125035.58</v>
      </c>
      <c r="AA143" s="20">
        <v>157796.35999999999</v>
      </c>
      <c r="AB143" s="20">
        <v>159794.97</v>
      </c>
      <c r="AC143" s="20">
        <v>1443137.49</v>
      </c>
      <c r="AD143" s="20">
        <v>6373822.7800000003</v>
      </c>
      <c r="AE143" s="20">
        <v>0</v>
      </c>
      <c r="AF143" s="20">
        <v>0</v>
      </c>
      <c r="AG143" s="51">
        <f t="shared" si="9"/>
        <v>740412.8200000003</v>
      </c>
      <c r="AH143" s="20">
        <v>0</v>
      </c>
      <c r="AI143" s="20">
        <v>0</v>
      </c>
      <c r="AJ143" s="20">
        <v>0</v>
      </c>
      <c r="AK143" s="20">
        <f t="shared" si="7"/>
        <v>0</v>
      </c>
      <c r="AL143" s="26">
        <f t="shared" si="8"/>
        <v>0</v>
      </c>
    </row>
    <row r="144" spans="1:38" x14ac:dyDescent="0.3">
      <c r="A144" s="1">
        <v>135</v>
      </c>
      <c r="B144" s="1" t="s">
        <v>114</v>
      </c>
      <c r="C144" s="1" t="s">
        <v>2347</v>
      </c>
      <c r="D144" s="1" t="s">
        <v>2344</v>
      </c>
      <c r="E144" s="1" t="s">
        <v>1137</v>
      </c>
      <c r="F144" s="1" t="s">
        <v>2615</v>
      </c>
      <c r="H144" s="1" t="s">
        <v>2620</v>
      </c>
      <c r="I144" s="3" t="s">
        <v>30</v>
      </c>
      <c r="J144" s="1" t="s">
        <v>2345</v>
      </c>
      <c r="K144" s="1" t="s">
        <v>2621</v>
      </c>
      <c r="M144" s="1" t="s">
        <v>2618</v>
      </c>
      <c r="N144" s="1" t="s">
        <v>2619</v>
      </c>
      <c r="O144" s="1" t="s">
        <v>42</v>
      </c>
      <c r="Q144" s="1" t="s">
        <v>2346</v>
      </c>
      <c r="R144" s="1" t="s">
        <v>2353</v>
      </c>
      <c r="S144" s="1" t="s">
        <v>2354</v>
      </c>
      <c r="T144" s="49">
        <v>10000000</v>
      </c>
      <c r="U144" s="20">
        <v>0</v>
      </c>
      <c r="V144" s="20">
        <v>0</v>
      </c>
      <c r="W144" s="20">
        <v>0</v>
      </c>
      <c r="X144" s="20">
        <v>0</v>
      </c>
      <c r="Y144" s="20">
        <v>0</v>
      </c>
      <c r="Z144" s="20">
        <v>1125035.58</v>
      </c>
      <c r="AA144" s="20">
        <v>157796.35999999999</v>
      </c>
      <c r="AB144" s="20">
        <v>159794.97</v>
      </c>
      <c r="AC144" s="20">
        <v>1443137.49</v>
      </c>
      <c r="AD144" s="20">
        <v>6373822.7800000003</v>
      </c>
      <c r="AE144" s="20">
        <v>0</v>
      </c>
      <c r="AF144" s="20">
        <v>0</v>
      </c>
      <c r="AG144" s="51">
        <f t="shared" si="9"/>
        <v>740412.8200000003</v>
      </c>
      <c r="AH144" s="20">
        <v>0</v>
      </c>
      <c r="AI144" s="20">
        <v>0</v>
      </c>
      <c r="AJ144" s="20">
        <v>0</v>
      </c>
      <c r="AK144" s="20">
        <f t="shared" si="7"/>
        <v>0</v>
      </c>
      <c r="AL144" s="26">
        <f t="shared" si="8"/>
        <v>0</v>
      </c>
    </row>
    <row r="145" spans="1:39" x14ac:dyDescent="0.3">
      <c r="A145" s="1">
        <v>136</v>
      </c>
      <c r="B145" s="1" t="s">
        <v>114</v>
      </c>
      <c r="C145" s="1" t="s">
        <v>2347</v>
      </c>
      <c r="D145" s="1" t="s">
        <v>2344</v>
      </c>
      <c r="E145" s="1" t="s">
        <v>1137</v>
      </c>
      <c r="F145" s="1" t="s">
        <v>2615</v>
      </c>
      <c r="H145" s="1" t="s">
        <v>2622</v>
      </c>
      <c r="I145" s="3" t="s">
        <v>30</v>
      </c>
      <c r="J145" s="1" t="s">
        <v>2345</v>
      </c>
      <c r="K145" s="1" t="s">
        <v>2623</v>
      </c>
      <c r="M145" s="1" t="s">
        <v>2618</v>
      </c>
      <c r="N145" s="1" t="s">
        <v>2619</v>
      </c>
      <c r="O145" s="1" t="s">
        <v>42</v>
      </c>
      <c r="Q145" s="1" t="s">
        <v>2346</v>
      </c>
      <c r="R145" s="1" t="s">
        <v>2353</v>
      </c>
      <c r="S145" s="1" t="s">
        <v>2354</v>
      </c>
      <c r="T145" s="49">
        <v>10000000</v>
      </c>
      <c r="U145" s="20">
        <v>0</v>
      </c>
      <c r="V145" s="20">
        <v>0</v>
      </c>
      <c r="W145" s="20">
        <v>0</v>
      </c>
      <c r="X145" s="20">
        <v>0</v>
      </c>
      <c r="Y145" s="20">
        <v>0</v>
      </c>
      <c r="Z145" s="20">
        <v>125035.58</v>
      </c>
      <c r="AA145" s="20">
        <v>157796.35999999999</v>
      </c>
      <c r="AB145" s="20">
        <v>159794.97</v>
      </c>
      <c r="AC145" s="20">
        <v>1443137.49</v>
      </c>
      <c r="AD145" s="20">
        <v>6373822.7800000003</v>
      </c>
      <c r="AE145" s="20">
        <v>0</v>
      </c>
      <c r="AF145" s="20">
        <v>0</v>
      </c>
      <c r="AG145" s="51">
        <f t="shared" si="9"/>
        <v>1740412.8200000003</v>
      </c>
      <c r="AH145" s="20">
        <v>0</v>
      </c>
      <c r="AI145" s="20">
        <v>0</v>
      </c>
      <c r="AJ145" s="20">
        <v>0</v>
      </c>
      <c r="AK145" s="20">
        <f t="shared" si="7"/>
        <v>0</v>
      </c>
      <c r="AL145" s="26">
        <f t="shared" si="8"/>
        <v>0</v>
      </c>
    </row>
    <row r="146" spans="1:39" x14ac:dyDescent="0.3">
      <c r="A146" s="1">
        <v>137</v>
      </c>
      <c r="B146" s="1" t="s">
        <v>114</v>
      </c>
      <c r="C146" s="1" t="s">
        <v>2347</v>
      </c>
      <c r="D146" s="1" t="s">
        <v>2344</v>
      </c>
      <c r="E146" s="1" t="s">
        <v>95</v>
      </c>
      <c r="F146" s="1" t="s">
        <v>2348</v>
      </c>
      <c r="H146" s="1">
        <v>5067</v>
      </c>
      <c r="I146" s="3" t="s">
        <v>2340</v>
      </c>
      <c r="J146" s="1" t="s">
        <v>2345</v>
      </c>
      <c r="K146" s="1" t="s">
        <v>2624</v>
      </c>
      <c r="L146" s="1" t="s">
        <v>2350</v>
      </c>
      <c r="M146" s="1" t="s">
        <v>2618</v>
      </c>
      <c r="N146" s="1" t="s">
        <v>2619</v>
      </c>
      <c r="O146" s="1" t="s">
        <v>42</v>
      </c>
      <c r="Q146" s="1" t="s">
        <v>2346</v>
      </c>
      <c r="R146" s="1" t="s">
        <v>2353</v>
      </c>
      <c r="S146" s="1" t="s">
        <v>2354</v>
      </c>
      <c r="T146" s="49">
        <v>34424489.799999997</v>
      </c>
      <c r="U146" s="20">
        <v>932824.49</v>
      </c>
      <c r="V146" s="20">
        <v>0</v>
      </c>
      <c r="W146" s="20">
        <v>753110.2</v>
      </c>
      <c r="X146" s="20">
        <v>14349028.57</v>
      </c>
      <c r="Y146" s="20">
        <v>10875648.98</v>
      </c>
      <c r="Z146" s="20">
        <v>0</v>
      </c>
      <c r="AA146" s="20">
        <v>0</v>
      </c>
      <c r="AB146" s="20">
        <v>0</v>
      </c>
      <c r="AC146" s="20">
        <v>0</v>
      </c>
      <c r="AD146" s="20">
        <v>0</v>
      </c>
      <c r="AE146" s="20">
        <v>0</v>
      </c>
      <c r="AF146" s="20">
        <v>0</v>
      </c>
      <c r="AG146" s="51">
        <f t="shared" si="9"/>
        <v>7513877.5599999949</v>
      </c>
      <c r="AH146" s="20">
        <v>0</v>
      </c>
      <c r="AI146" s="20">
        <v>0</v>
      </c>
      <c r="AJ146" s="20">
        <v>0</v>
      </c>
      <c r="AK146" s="20">
        <f t="shared" si="7"/>
        <v>0</v>
      </c>
      <c r="AL146" s="26">
        <f t="shared" si="8"/>
        <v>0</v>
      </c>
    </row>
    <row r="147" spans="1:39" x14ac:dyDescent="0.3">
      <c r="A147" s="1">
        <v>138</v>
      </c>
      <c r="B147" s="1" t="s">
        <v>114</v>
      </c>
      <c r="C147" s="1" t="s">
        <v>2347</v>
      </c>
      <c r="D147" s="1" t="s">
        <v>2344</v>
      </c>
      <c r="E147" s="1" t="s">
        <v>95</v>
      </c>
      <c r="F147" s="1" t="s">
        <v>2348</v>
      </c>
      <c r="H147" s="1">
        <v>6410</v>
      </c>
      <c r="I147" s="3" t="s">
        <v>2340</v>
      </c>
      <c r="J147" s="1" t="s">
        <v>2345</v>
      </c>
      <c r="K147" s="1" t="s">
        <v>2625</v>
      </c>
      <c r="L147" s="1" t="s">
        <v>2350</v>
      </c>
      <c r="M147" s="1" t="s">
        <v>2618</v>
      </c>
      <c r="N147" s="1" t="s">
        <v>2619</v>
      </c>
      <c r="O147" s="1" t="s">
        <v>42</v>
      </c>
      <c r="Q147" s="1" t="s">
        <v>2346</v>
      </c>
      <c r="R147" s="1" t="s">
        <v>2353</v>
      </c>
      <c r="S147" s="1" t="s">
        <v>2354</v>
      </c>
      <c r="T147" s="49">
        <v>34424489.799999997</v>
      </c>
      <c r="U147" s="20">
        <v>932824.49</v>
      </c>
      <c r="V147" s="20">
        <v>0</v>
      </c>
      <c r="W147" s="20">
        <v>753110.2</v>
      </c>
      <c r="X147" s="20">
        <v>14349028.57</v>
      </c>
      <c r="Y147" s="20">
        <v>10875648.98</v>
      </c>
      <c r="Z147" s="20">
        <v>0</v>
      </c>
      <c r="AA147" s="20">
        <v>0</v>
      </c>
      <c r="AB147" s="20">
        <v>0</v>
      </c>
      <c r="AC147" s="20">
        <v>0</v>
      </c>
      <c r="AD147" s="20">
        <v>0</v>
      </c>
      <c r="AE147" s="20">
        <v>0</v>
      </c>
      <c r="AF147" s="20">
        <v>0</v>
      </c>
      <c r="AG147" s="51">
        <f t="shared" si="9"/>
        <v>7513877.5599999949</v>
      </c>
      <c r="AH147" s="20">
        <v>0</v>
      </c>
      <c r="AI147" s="20">
        <v>0</v>
      </c>
      <c r="AJ147" s="20">
        <v>0</v>
      </c>
      <c r="AK147" s="20">
        <f t="shared" si="7"/>
        <v>0</v>
      </c>
      <c r="AL147" s="26">
        <f t="shared" si="8"/>
        <v>0</v>
      </c>
    </row>
    <row r="148" spans="1:39" x14ac:dyDescent="0.3">
      <c r="A148" s="1">
        <v>139</v>
      </c>
      <c r="B148" s="1" t="s">
        <v>114</v>
      </c>
      <c r="C148" s="1" t="s">
        <v>2347</v>
      </c>
      <c r="D148" s="1" t="s">
        <v>2344</v>
      </c>
      <c r="E148" s="1" t="s">
        <v>95</v>
      </c>
      <c r="F148" s="1" t="s">
        <v>2348</v>
      </c>
      <c r="H148" s="1">
        <v>7801</v>
      </c>
      <c r="I148" s="3" t="s">
        <v>2340</v>
      </c>
      <c r="J148" s="1" t="s">
        <v>2345</v>
      </c>
      <c r="K148" s="1" t="s">
        <v>2626</v>
      </c>
      <c r="L148" s="1" t="s">
        <v>2350</v>
      </c>
      <c r="M148" s="1" t="s">
        <v>2618</v>
      </c>
      <c r="N148" s="1" t="s">
        <v>2619</v>
      </c>
      <c r="O148" s="1" t="s">
        <v>42</v>
      </c>
      <c r="Q148" s="1" t="s">
        <v>2346</v>
      </c>
      <c r="R148" s="1" t="s">
        <v>2353</v>
      </c>
      <c r="S148" s="1" t="s">
        <v>2354</v>
      </c>
      <c r="T148" s="49">
        <v>34424489.799999997</v>
      </c>
      <c r="U148" s="20">
        <v>932824.49</v>
      </c>
      <c r="V148" s="20">
        <v>0</v>
      </c>
      <c r="W148" s="20">
        <v>753110.2</v>
      </c>
      <c r="X148" s="20">
        <v>14349028.57</v>
      </c>
      <c r="Y148" s="20">
        <v>10875648.98</v>
      </c>
      <c r="Z148" s="20">
        <v>0</v>
      </c>
      <c r="AA148" s="20">
        <v>0</v>
      </c>
      <c r="AB148" s="20">
        <v>0</v>
      </c>
      <c r="AC148" s="20">
        <v>0</v>
      </c>
      <c r="AD148" s="20">
        <v>0</v>
      </c>
      <c r="AE148" s="20">
        <v>0</v>
      </c>
      <c r="AF148" s="20">
        <v>0</v>
      </c>
      <c r="AG148" s="51">
        <f t="shared" si="9"/>
        <v>7513877.5599999949</v>
      </c>
      <c r="AH148" s="20">
        <v>0</v>
      </c>
      <c r="AI148" s="20">
        <v>0</v>
      </c>
      <c r="AJ148" s="20">
        <v>0</v>
      </c>
      <c r="AK148" s="20">
        <f t="shared" si="7"/>
        <v>0</v>
      </c>
      <c r="AL148" s="26">
        <f t="shared" si="8"/>
        <v>0</v>
      </c>
    </row>
    <row r="149" spans="1:39" x14ac:dyDescent="0.3">
      <c r="A149" s="1">
        <v>140</v>
      </c>
      <c r="B149" s="1" t="s">
        <v>114</v>
      </c>
      <c r="C149" s="1" t="s">
        <v>2347</v>
      </c>
      <c r="D149" s="1" t="s">
        <v>2344</v>
      </c>
      <c r="E149" s="1" t="s">
        <v>95</v>
      </c>
      <c r="F149" s="1" t="s">
        <v>2348</v>
      </c>
      <c r="I149" s="3" t="s">
        <v>2340</v>
      </c>
      <c r="J149" s="1" t="s">
        <v>2345</v>
      </c>
      <c r="K149" s="1" t="s">
        <v>2627</v>
      </c>
      <c r="L149" s="1" t="s">
        <v>2350</v>
      </c>
      <c r="M149" s="1" t="s">
        <v>2618</v>
      </c>
      <c r="N149" s="1" t="s">
        <v>2619</v>
      </c>
      <c r="O149" s="1" t="s">
        <v>42</v>
      </c>
      <c r="Q149" s="1" t="s">
        <v>2346</v>
      </c>
      <c r="R149" s="1" t="s">
        <v>2353</v>
      </c>
      <c r="S149" s="1" t="s">
        <v>2354</v>
      </c>
      <c r="T149" s="49">
        <v>34424489.799999997</v>
      </c>
      <c r="U149" s="20">
        <v>932824.49</v>
      </c>
      <c r="V149" s="20">
        <v>0</v>
      </c>
      <c r="W149" s="20">
        <v>753110.2</v>
      </c>
      <c r="X149" s="20">
        <v>14349028.57</v>
      </c>
      <c r="Y149" s="20">
        <v>10875648.98</v>
      </c>
      <c r="Z149" s="20">
        <v>0</v>
      </c>
      <c r="AA149" s="20">
        <v>0</v>
      </c>
      <c r="AB149" s="20">
        <v>0</v>
      </c>
      <c r="AC149" s="20">
        <v>0</v>
      </c>
      <c r="AD149" s="20">
        <v>0</v>
      </c>
      <c r="AE149" s="20">
        <v>0</v>
      </c>
      <c r="AF149" s="20">
        <v>0</v>
      </c>
      <c r="AG149" s="51">
        <f t="shared" si="9"/>
        <v>7513877.5599999949</v>
      </c>
      <c r="AH149" s="20">
        <v>0</v>
      </c>
      <c r="AI149" s="20">
        <v>0</v>
      </c>
      <c r="AJ149" s="20">
        <v>0</v>
      </c>
      <c r="AK149" s="20">
        <f t="shared" si="7"/>
        <v>0</v>
      </c>
      <c r="AL149" s="26">
        <f t="shared" si="8"/>
        <v>0</v>
      </c>
    </row>
    <row r="150" spans="1:39" x14ac:dyDescent="0.3">
      <c r="A150" s="1">
        <v>141</v>
      </c>
      <c r="B150" s="1" t="s">
        <v>114</v>
      </c>
      <c r="C150" s="1" t="s">
        <v>2347</v>
      </c>
      <c r="D150" s="1" t="s">
        <v>2344</v>
      </c>
      <c r="E150" s="1" t="s">
        <v>95</v>
      </c>
      <c r="F150" s="1" t="s">
        <v>2348</v>
      </c>
      <c r="H150" s="1">
        <v>28850</v>
      </c>
      <c r="I150" s="3" t="s">
        <v>2340</v>
      </c>
      <c r="J150" s="1" t="s">
        <v>2345</v>
      </c>
      <c r="K150" s="1" t="s">
        <v>2628</v>
      </c>
      <c r="L150" s="1" t="s">
        <v>2350</v>
      </c>
      <c r="M150" s="1" t="s">
        <v>2618</v>
      </c>
      <c r="N150" s="1" t="s">
        <v>2619</v>
      </c>
      <c r="O150" s="1" t="s">
        <v>42</v>
      </c>
      <c r="Q150" s="1" t="s">
        <v>2346</v>
      </c>
      <c r="R150" s="1" t="s">
        <v>2353</v>
      </c>
      <c r="S150" s="1" t="s">
        <v>2354</v>
      </c>
      <c r="T150" s="49">
        <v>34424489.799999997</v>
      </c>
      <c r="U150" s="20">
        <v>932824.49</v>
      </c>
      <c r="V150" s="20">
        <v>0</v>
      </c>
      <c r="W150" s="20">
        <v>753110.2</v>
      </c>
      <c r="X150" s="20">
        <v>14349028.57</v>
      </c>
      <c r="Y150" s="20">
        <v>10875648.98</v>
      </c>
      <c r="Z150" s="20">
        <v>0</v>
      </c>
      <c r="AA150" s="20">
        <v>0</v>
      </c>
      <c r="AB150" s="20">
        <v>0</v>
      </c>
      <c r="AC150" s="20">
        <v>0</v>
      </c>
      <c r="AD150" s="20">
        <v>0</v>
      </c>
      <c r="AE150" s="20">
        <v>0</v>
      </c>
      <c r="AF150" s="20">
        <v>0</v>
      </c>
      <c r="AG150" s="51">
        <f t="shared" si="9"/>
        <v>7513877.5599999949</v>
      </c>
      <c r="AH150" s="20">
        <v>0</v>
      </c>
      <c r="AI150" s="20">
        <v>0</v>
      </c>
      <c r="AJ150" s="20">
        <v>0</v>
      </c>
      <c r="AK150" s="20">
        <f t="shared" si="7"/>
        <v>0</v>
      </c>
      <c r="AL150" s="26">
        <f t="shared" si="8"/>
        <v>0</v>
      </c>
    </row>
    <row r="151" spans="1:39" x14ac:dyDescent="0.3">
      <c r="A151" s="1">
        <v>142</v>
      </c>
      <c r="B151" s="1" t="s">
        <v>114</v>
      </c>
      <c r="C151" s="1" t="s">
        <v>2347</v>
      </c>
      <c r="D151" s="1" t="s">
        <v>2344</v>
      </c>
      <c r="E151" s="1" t="s">
        <v>95</v>
      </c>
      <c r="F151" s="1" t="s">
        <v>2348</v>
      </c>
      <c r="H151" s="1">
        <v>8955</v>
      </c>
      <c r="I151" s="3" t="s">
        <v>2340</v>
      </c>
      <c r="J151" s="1" t="s">
        <v>2345</v>
      </c>
      <c r="K151" s="1" t="s">
        <v>2629</v>
      </c>
      <c r="L151" s="1" t="s">
        <v>2350</v>
      </c>
      <c r="M151" s="1" t="s">
        <v>2618</v>
      </c>
      <c r="N151" s="1" t="s">
        <v>2619</v>
      </c>
      <c r="O151" s="1" t="s">
        <v>42</v>
      </c>
      <c r="Q151" s="1" t="s">
        <v>2346</v>
      </c>
      <c r="R151" s="1" t="s">
        <v>2353</v>
      </c>
      <c r="S151" s="1" t="s">
        <v>2354</v>
      </c>
      <c r="T151" s="49">
        <v>34424489.799999997</v>
      </c>
      <c r="U151" s="20">
        <v>932824.49</v>
      </c>
      <c r="V151" s="20">
        <v>0</v>
      </c>
      <c r="W151" s="20">
        <v>753110.2</v>
      </c>
      <c r="X151" s="20">
        <v>14349028.57</v>
      </c>
      <c r="Y151" s="20">
        <v>10875648.98</v>
      </c>
      <c r="Z151" s="20">
        <v>0</v>
      </c>
      <c r="AA151" s="20">
        <v>0</v>
      </c>
      <c r="AB151" s="20">
        <v>0</v>
      </c>
      <c r="AC151" s="20">
        <v>0</v>
      </c>
      <c r="AD151" s="20">
        <v>0</v>
      </c>
      <c r="AE151" s="20">
        <v>0</v>
      </c>
      <c r="AF151" s="20">
        <v>0</v>
      </c>
      <c r="AG151" s="51">
        <f t="shared" si="9"/>
        <v>7513877.5599999949</v>
      </c>
      <c r="AH151" s="20">
        <v>0</v>
      </c>
      <c r="AI151" s="20">
        <v>0</v>
      </c>
      <c r="AJ151" s="20">
        <v>0</v>
      </c>
      <c r="AK151" s="20">
        <f t="shared" si="7"/>
        <v>0</v>
      </c>
      <c r="AL151" s="26">
        <f t="shared" si="8"/>
        <v>0</v>
      </c>
    </row>
    <row r="152" spans="1:39" x14ac:dyDescent="0.3">
      <c r="A152" s="1">
        <v>143</v>
      </c>
      <c r="B152" s="1" t="s">
        <v>114</v>
      </c>
      <c r="C152" s="1" t="s">
        <v>2347</v>
      </c>
      <c r="D152" s="1" t="s">
        <v>2344</v>
      </c>
      <c r="E152" s="1" t="s">
        <v>95</v>
      </c>
      <c r="F152" s="1" t="s">
        <v>2348</v>
      </c>
      <c r="H152" s="1">
        <v>14981</v>
      </c>
      <c r="I152" s="3" t="s">
        <v>2340</v>
      </c>
      <c r="J152" s="1" t="s">
        <v>2345</v>
      </c>
      <c r="K152" s="1" t="s">
        <v>2630</v>
      </c>
      <c r="L152" s="1" t="s">
        <v>2350</v>
      </c>
      <c r="M152" s="1" t="s">
        <v>2618</v>
      </c>
      <c r="N152" s="1" t="s">
        <v>2619</v>
      </c>
      <c r="O152" s="1" t="s">
        <v>42</v>
      </c>
      <c r="Q152" s="1" t="s">
        <v>2346</v>
      </c>
      <c r="R152" s="1" t="s">
        <v>2353</v>
      </c>
      <c r="S152" s="1" t="s">
        <v>2354</v>
      </c>
      <c r="T152" s="49">
        <v>34424489.799999997</v>
      </c>
      <c r="U152" s="20">
        <v>932824.49</v>
      </c>
      <c r="V152" s="20">
        <v>0</v>
      </c>
      <c r="W152" s="20">
        <v>753110.2</v>
      </c>
      <c r="X152" s="20">
        <v>14349028.57</v>
      </c>
      <c r="Y152" s="20">
        <v>10875648.98</v>
      </c>
      <c r="Z152" s="20">
        <v>0</v>
      </c>
      <c r="AA152" s="20">
        <v>0</v>
      </c>
      <c r="AB152" s="20">
        <v>0</v>
      </c>
      <c r="AC152" s="20">
        <v>0</v>
      </c>
      <c r="AD152" s="20">
        <v>0</v>
      </c>
      <c r="AE152" s="20">
        <v>0</v>
      </c>
      <c r="AF152" s="20">
        <v>0</v>
      </c>
      <c r="AG152" s="51">
        <f t="shared" si="9"/>
        <v>7513877.5599999949</v>
      </c>
      <c r="AH152" s="20">
        <v>0</v>
      </c>
      <c r="AI152" s="20">
        <v>0</v>
      </c>
      <c r="AJ152" s="20">
        <v>0</v>
      </c>
      <c r="AK152" s="20">
        <f t="shared" si="7"/>
        <v>0</v>
      </c>
      <c r="AL152" s="26">
        <f t="shared" si="8"/>
        <v>0</v>
      </c>
    </row>
    <row r="153" spans="1:39" x14ac:dyDescent="0.3">
      <c r="A153" s="1">
        <v>144</v>
      </c>
      <c r="B153" s="1" t="s">
        <v>114</v>
      </c>
      <c r="C153" s="1" t="s">
        <v>2347</v>
      </c>
      <c r="D153" s="1" t="s">
        <v>2344</v>
      </c>
      <c r="E153" s="1" t="s">
        <v>95</v>
      </c>
      <c r="F153" s="1" t="s">
        <v>2348</v>
      </c>
      <c r="H153" s="1">
        <v>6554</v>
      </c>
      <c r="I153" s="3" t="s">
        <v>2340</v>
      </c>
      <c r="J153" s="1" t="s">
        <v>2345</v>
      </c>
      <c r="K153" s="1" t="s">
        <v>2631</v>
      </c>
      <c r="L153" s="1" t="s">
        <v>2350</v>
      </c>
      <c r="M153" s="1" t="s">
        <v>2618</v>
      </c>
      <c r="N153" s="1" t="s">
        <v>2619</v>
      </c>
      <c r="O153" s="1" t="s">
        <v>42</v>
      </c>
      <c r="Q153" s="1" t="s">
        <v>2346</v>
      </c>
      <c r="R153" s="1" t="s">
        <v>2353</v>
      </c>
      <c r="S153" s="1" t="s">
        <v>2354</v>
      </c>
      <c r="T153" s="49">
        <v>34424489.799999997</v>
      </c>
      <c r="U153" s="20">
        <v>932824.49</v>
      </c>
      <c r="V153" s="20">
        <v>0</v>
      </c>
      <c r="W153" s="20">
        <v>753110.2</v>
      </c>
      <c r="X153" s="20">
        <v>14349028.57</v>
      </c>
      <c r="Y153" s="20">
        <v>10875648.98</v>
      </c>
      <c r="Z153" s="20">
        <v>0</v>
      </c>
      <c r="AA153" s="20">
        <v>0</v>
      </c>
      <c r="AB153" s="20">
        <v>0</v>
      </c>
      <c r="AC153" s="20">
        <v>0</v>
      </c>
      <c r="AD153" s="20">
        <v>0</v>
      </c>
      <c r="AE153" s="20">
        <v>0</v>
      </c>
      <c r="AF153" s="20">
        <v>0</v>
      </c>
      <c r="AG153" s="51">
        <f t="shared" si="9"/>
        <v>7513877.5599999949</v>
      </c>
      <c r="AH153" s="20">
        <v>0</v>
      </c>
      <c r="AI153" s="20">
        <v>0</v>
      </c>
      <c r="AJ153" s="20">
        <v>0</v>
      </c>
      <c r="AK153" s="20">
        <f t="shared" si="7"/>
        <v>0</v>
      </c>
      <c r="AL153" s="26">
        <f t="shared" si="8"/>
        <v>0</v>
      </c>
    </row>
    <row r="154" spans="1:39" x14ac:dyDescent="0.3">
      <c r="A154" s="1">
        <v>145</v>
      </c>
      <c r="B154" s="1" t="s">
        <v>114</v>
      </c>
      <c r="C154" s="1" t="s">
        <v>2347</v>
      </c>
      <c r="D154" s="1" t="s">
        <v>2344</v>
      </c>
      <c r="E154" s="1" t="s">
        <v>95</v>
      </c>
      <c r="F154" s="1" t="s">
        <v>2348</v>
      </c>
      <c r="H154" s="1">
        <v>28732</v>
      </c>
      <c r="I154" s="3" t="s">
        <v>2340</v>
      </c>
      <c r="J154" s="1" t="s">
        <v>2345</v>
      </c>
      <c r="K154" s="1" t="s">
        <v>2632</v>
      </c>
      <c r="L154" s="1" t="s">
        <v>2350</v>
      </c>
      <c r="M154" s="1" t="s">
        <v>2618</v>
      </c>
      <c r="N154" s="1" t="s">
        <v>2619</v>
      </c>
      <c r="O154" s="1" t="s">
        <v>42</v>
      </c>
      <c r="Q154" s="1" t="s">
        <v>2346</v>
      </c>
      <c r="R154" s="1" t="s">
        <v>2353</v>
      </c>
      <c r="S154" s="1" t="s">
        <v>2354</v>
      </c>
      <c r="T154" s="49">
        <v>34424489.799999997</v>
      </c>
      <c r="U154" s="20">
        <v>932824.49</v>
      </c>
      <c r="V154" s="20">
        <v>0</v>
      </c>
      <c r="W154" s="20">
        <v>753110.2</v>
      </c>
      <c r="X154" s="20">
        <v>14349028.57</v>
      </c>
      <c r="Y154" s="20">
        <v>10875648.98</v>
      </c>
      <c r="Z154" s="20">
        <v>0</v>
      </c>
      <c r="AA154" s="20">
        <v>0</v>
      </c>
      <c r="AB154" s="20">
        <v>0</v>
      </c>
      <c r="AC154" s="20">
        <v>0</v>
      </c>
      <c r="AD154" s="20">
        <v>0</v>
      </c>
      <c r="AE154" s="20">
        <v>0</v>
      </c>
      <c r="AF154" s="20">
        <v>0</v>
      </c>
      <c r="AG154" s="51">
        <f t="shared" si="9"/>
        <v>7513877.5599999949</v>
      </c>
      <c r="AH154" s="20">
        <v>0</v>
      </c>
      <c r="AI154" s="20">
        <v>0</v>
      </c>
      <c r="AJ154" s="20">
        <v>0</v>
      </c>
      <c r="AK154" s="20">
        <f t="shared" si="7"/>
        <v>0</v>
      </c>
      <c r="AL154" s="26">
        <f t="shared" si="8"/>
        <v>0</v>
      </c>
    </row>
    <row r="155" spans="1:39" x14ac:dyDescent="0.3">
      <c r="A155" s="1">
        <v>146</v>
      </c>
      <c r="B155" s="1" t="s">
        <v>114</v>
      </c>
      <c r="C155" s="1" t="s">
        <v>2347</v>
      </c>
      <c r="D155" s="1" t="s">
        <v>2344</v>
      </c>
      <c r="E155" s="1" t="s">
        <v>95</v>
      </c>
      <c r="F155" s="1" t="s">
        <v>2348</v>
      </c>
      <c r="H155" s="1">
        <v>5214</v>
      </c>
      <c r="I155" s="3" t="s">
        <v>2340</v>
      </c>
      <c r="J155" s="1" t="s">
        <v>2345</v>
      </c>
      <c r="K155" s="1" t="s">
        <v>2633</v>
      </c>
      <c r="L155" s="1" t="s">
        <v>2350</v>
      </c>
      <c r="M155" s="1" t="s">
        <v>2618</v>
      </c>
      <c r="N155" s="1" t="s">
        <v>2619</v>
      </c>
      <c r="O155" s="1" t="s">
        <v>42</v>
      </c>
      <c r="Q155" s="1" t="s">
        <v>2346</v>
      </c>
      <c r="R155" s="1" t="s">
        <v>2353</v>
      </c>
      <c r="S155" s="1" t="s">
        <v>2354</v>
      </c>
      <c r="T155" s="49">
        <v>34424489.799999997</v>
      </c>
      <c r="U155" s="20">
        <v>932824.49</v>
      </c>
      <c r="V155" s="20">
        <v>0</v>
      </c>
      <c r="W155" s="20">
        <v>753110.2</v>
      </c>
      <c r="X155" s="20">
        <v>14349028.57</v>
      </c>
      <c r="Y155" s="20">
        <v>10875648.98</v>
      </c>
      <c r="Z155" s="20">
        <v>0</v>
      </c>
      <c r="AA155" s="20">
        <v>0</v>
      </c>
      <c r="AB155" s="20">
        <v>0</v>
      </c>
      <c r="AC155" s="20">
        <v>0</v>
      </c>
      <c r="AD155" s="20">
        <v>0</v>
      </c>
      <c r="AE155" s="20">
        <v>0</v>
      </c>
      <c r="AF155" s="20">
        <v>0</v>
      </c>
      <c r="AG155" s="51">
        <f t="shared" si="9"/>
        <v>7513877.5599999949</v>
      </c>
      <c r="AH155" s="20">
        <v>0</v>
      </c>
      <c r="AI155" s="20">
        <v>0</v>
      </c>
      <c r="AJ155" s="20">
        <v>0</v>
      </c>
      <c r="AK155" s="20">
        <f t="shared" si="7"/>
        <v>0</v>
      </c>
      <c r="AL155" s="26">
        <f t="shared" si="8"/>
        <v>0</v>
      </c>
    </row>
    <row r="156" spans="1:39" x14ac:dyDescent="0.3">
      <c r="A156" s="1">
        <v>147</v>
      </c>
      <c r="B156" s="1" t="s">
        <v>114</v>
      </c>
      <c r="C156" s="1" t="s">
        <v>2347</v>
      </c>
      <c r="D156" s="1" t="s">
        <v>2344</v>
      </c>
      <c r="E156" s="1" t="s">
        <v>95</v>
      </c>
      <c r="F156" s="1" t="s">
        <v>2348</v>
      </c>
      <c r="H156" s="1">
        <v>5312</v>
      </c>
      <c r="I156" s="3" t="s">
        <v>2340</v>
      </c>
      <c r="J156" s="1" t="s">
        <v>2345</v>
      </c>
      <c r="K156" s="1" t="s">
        <v>2634</v>
      </c>
      <c r="L156" s="1" t="s">
        <v>2350</v>
      </c>
      <c r="M156" s="1" t="s">
        <v>2618</v>
      </c>
      <c r="N156" s="1" t="s">
        <v>2619</v>
      </c>
      <c r="O156" s="1" t="s">
        <v>42</v>
      </c>
      <c r="Q156" s="1" t="s">
        <v>2346</v>
      </c>
      <c r="R156" s="1" t="s">
        <v>2353</v>
      </c>
      <c r="S156" s="1" t="s">
        <v>2354</v>
      </c>
      <c r="T156" s="49">
        <v>34424489.799999997</v>
      </c>
      <c r="U156" s="20">
        <v>932824.49</v>
      </c>
      <c r="V156" s="20">
        <v>0</v>
      </c>
      <c r="W156" s="20">
        <v>753110.2</v>
      </c>
      <c r="X156" s="20">
        <v>14349028.57</v>
      </c>
      <c r="Y156" s="20">
        <v>10875648.98</v>
      </c>
      <c r="Z156" s="20">
        <v>0</v>
      </c>
      <c r="AA156" s="20">
        <v>0</v>
      </c>
      <c r="AB156" s="20">
        <v>0</v>
      </c>
      <c r="AC156" s="20">
        <v>0</v>
      </c>
      <c r="AD156" s="20">
        <v>0</v>
      </c>
      <c r="AE156" s="20">
        <v>0</v>
      </c>
      <c r="AF156" s="20">
        <v>0</v>
      </c>
      <c r="AG156" s="51">
        <f t="shared" si="9"/>
        <v>7513877.5599999949</v>
      </c>
      <c r="AH156" s="20">
        <v>0</v>
      </c>
      <c r="AI156" s="20">
        <v>0</v>
      </c>
      <c r="AJ156" s="20">
        <v>0</v>
      </c>
      <c r="AK156" s="20">
        <f t="shared" si="7"/>
        <v>0</v>
      </c>
      <c r="AL156" s="26">
        <f t="shared" si="8"/>
        <v>0</v>
      </c>
    </row>
    <row r="157" spans="1:39" x14ac:dyDescent="0.3">
      <c r="A157" s="1">
        <v>148</v>
      </c>
      <c r="B157" s="1" t="s">
        <v>114</v>
      </c>
      <c r="C157" s="1" t="s">
        <v>2347</v>
      </c>
      <c r="D157" s="1" t="s">
        <v>2344</v>
      </c>
      <c r="E157" s="1" t="s">
        <v>714</v>
      </c>
      <c r="F157" s="1" t="s">
        <v>2539</v>
      </c>
      <c r="H157" s="1" t="s">
        <v>2635</v>
      </c>
      <c r="I157" s="3" t="s">
        <v>30</v>
      </c>
      <c r="J157" s="1" t="s">
        <v>2345</v>
      </c>
      <c r="K157" s="1" t="s">
        <v>716</v>
      </c>
      <c r="L157" s="1" t="s">
        <v>2636</v>
      </c>
      <c r="M157" s="1" t="s">
        <v>2618</v>
      </c>
      <c r="N157" s="1" t="s">
        <v>2619</v>
      </c>
      <c r="O157" s="1" t="s">
        <v>42</v>
      </c>
      <c r="Q157" s="1" t="s">
        <v>2346</v>
      </c>
      <c r="R157" s="1" t="s">
        <v>2353</v>
      </c>
      <c r="S157" s="1" t="s">
        <v>2354</v>
      </c>
      <c r="T157" s="49">
        <v>9235991.6099999994</v>
      </c>
      <c r="U157" s="20">
        <v>0</v>
      </c>
      <c r="V157" s="20">
        <v>0</v>
      </c>
      <c r="W157" s="20">
        <v>0</v>
      </c>
      <c r="X157" s="20">
        <v>0</v>
      </c>
      <c r="Y157" s="20">
        <v>0</v>
      </c>
      <c r="Z157" s="20">
        <v>115482.75</v>
      </c>
      <c r="AA157" s="20">
        <v>145740.59</v>
      </c>
      <c r="AB157" s="20">
        <v>147586.5</v>
      </c>
      <c r="AC157" s="20">
        <v>1332880.58</v>
      </c>
      <c r="AD157" s="20">
        <v>6373822.7800000003</v>
      </c>
      <c r="AE157" s="20">
        <v>0</v>
      </c>
      <c r="AF157" s="20">
        <v>0</v>
      </c>
      <c r="AG157" s="51">
        <f t="shared" si="9"/>
        <v>1120478.4099999992</v>
      </c>
      <c r="AH157" s="20">
        <v>6642292</v>
      </c>
      <c r="AI157" s="20">
        <v>6515568</v>
      </c>
      <c r="AJ157" s="20">
        <v>5058504</v>
      </c>
      <c r="AK157" s="20">
        <f t="shared" si="7"/>
        <v>6072121.333333333</v>
      </c>
      <c r="AL157" s="26">
        <f t="shared" si="8"/>
        <v>0.52104859290251326</v>
      </c>
      <c r="AM157" s="1" t="s">
        <v>3020</v>
      </c>
    </row>
    <row r="158" spans="1:39" x14ac:dyDescent="0.3">
      <c r="A158" s="1">
        <v>149</v>
      </c>
      <c r="B158" s="1" t="s">
        <v>114</v>
      </c>
      <c r="C158" s="1" t="s">
        <v>2347</v>
      </c>
      <c r="D158" s="1" t="s">
        <v>2344</v>
      </c>
      <c r="E158" s="1" t="s">
        <v>702</v>
      </c>
      <c r="F158" s="1" t="s">
        <v>2539</v>
      </c>
      <c r="H158" s="1" t="s">
        <v>2637</v>
      </c>
      <c r="I158" s="3" t="s">
        <v>30</v>
      </c>
      <c r="J158" s="1" t="s">
        <v>2345</v>
      </c>
      <c r="K158" s="1" t="s">
        <v>712</v>
      </c>
      <c r="L158" s="1" t="s">
        <v>2541</v>
      </c>
      <c r="M158" s="1" t="s">
        <v>2618</v>
      </c>
      <c r="N158" s="1" t="s">
        <v>2619</v>
      </c>
      <c r="O158" s="1" t="s">
        <v>42</v>
      </c>
      <c r="Q158" s="1" t="s">
        <v>2346</v>
      </c>
      <c r="R158" s="1" t="s">
        <v>2353</v>
      </c>
      <c r="S158" s="1" t="s">
        <v>2354</v>
      </c>
      <c r="T158" s="49">
        <v>2416779.39</v>
      </c>
      <c r="U158" s="20">
        <v>0</v>
      </c>
      <c r="V158" s="20">
        <v>0</v>
      </c>
      <c r="W158" s="20">
        <v>0</v>
      </c>
      <c r="X158" s="20">
        <v>0</v>
      </c>
      <c r="Y158" s="20">
        <v>0</v>
      </c>
      <c r="Z158" s="20">
        <v>30218.34</v>
      </c>
      <c r="AA158" s="20">
        <v>38135.9</v>
      </c>
      <c r="AB158" s="20">
        <v>38618.92</v>
      </c>
      <c r="AC158" s="20">
        <v>348774.49</v>
      </c>
      <c r="AD158" s="20">
        <v>332022.65999999997</v>
      </c>
      <c r="AE158" s="20">
        <v>0</v>
      </c>
      <c r="AF158" s="20">
        <v>0</v>
      </c>
      <c r="AG158" s="51">
        <f t="shared" si="9"/>
        <v>1629009.08</v>
      </c>
      <c r="AH158" s="20">
        <v>1715760</v>
      </c>
      <c r="AI158" s="20">
        <v>2082924</v>
      </c>
      <c r="AJ158" s="20">
        <v>1242600</v>
      </c>
      <c r="AK158" s="20">
        <f t="shared" si="7"/>
        <v>1680428</v>
      </c>
      <c r="AL158" s="26">
        <f t="shared" si="8"/>
        <v>0.4381927639863179</v>
      </c>
      <c r="AM158" s="1" t="s">
        <v>3020</v>
      </c>
    </row>
    <row r="159" spans="1:39" x14ac:dyDescent="0.3">
      <c r="A159" s="1">
        <v>150</v>
      </c>
      <c r="B159" s="1" t="s">
        <v>114</v>
      </c>
      <c r="C159" s="1" t="s">
        <v>2347</v>
      </c>
      <c r="D159" s="1" t="s">
        <v>2344</v>
      </c>
      <c r="E159" s="1" t="s">
        <v>702</v>
      </c>
      <c r="F159" s="1" t="s">
        <v>2539</v>
      </c>
      <c r="H159" s="1" t="s">
        <v>2638</v>
      </c>
      <c r="I159" s="3" t="s">
        <v>30</v>
      </c>
      <c r="J159" s="1" t="s">
        <v>2345</v>
      </c>
      <c r="K159" s="1" t="s">
        <v>704</v>
      </c>
      <c r="L159" s="1" t="s">
        <v>2541</v>
      </c>
      <c r="M159" s="1" t="s">
        <v>2618</v>
      </c>
      <c r="N159" s="1" t="s">
        <v>2619</v>
      </c>
      <c r="O159" s="1" t="s">
        <v>42</v>
      </c>
      <c r="Q159" s="1" t="s">
        <v>2346</v>
      </c>
      <c r="R159" s="1" t="s">
        <v>2353</v>
      </c>
      <c r="S159" s="1" t="s">
        <v>2354</v>
      </c>
      <c r="T159" s="49">
        <v>7933254.6399999997</v>
      </c>
      <c r="U159" s="20">
        <v>0</v>
      </c>
      <c r="V159" s="20">
        <v>0</v>
      </c>
      <c r="W159" s="20">
        <v>0</v>
      </c>
      <c r="X159" s="20">
        <v>0</v>
      </c>
      <c r="Y159" s="20">
        <v>0</v>
      </c>
      <c r="Z159" s="20">
        <v>99193.91</v>
      </c>
      <c r="AA159" s="20">
        <v>125183.87</v>
      </c>
      <c r="AB159" s="20">
        <v>126769.42</v>
      </c>
      <c r="AC159" s="20">
        <v>1144877.72</v>
      </c>
      <c r="AD159" s="20">
        <v>2175525.071</v>
      </c>
      <c r="AE159" s="20">
        <v>0</v>
      </c>
      <c r="AF159" s="20">
        <v>0</v>
      </c>
      <c r="AG159" s="51">
        <f t="shared" si="9"/>
        <v>4261704.6490000002</v>
      </c>
      <c r="AH159" s="20">
        <v>5788324</v>
      </c>
      <c r="AI159" s="20">
        <v>5614716</v>
      </c>
      <c r="AJ159" s="20">
        <v>4800528</v>
      </c>
      <c r="AK159" s="20">
        <f t="shared" si="7"/>
        <v>5401189.333333333</v>
      </c>
      <c r="AL159" s="26">
        <f t="shared" si="8"/>
        <v>0.46879773146260129</v>
      </c>
      <c r="AM159" s="1" t="s">
        <v>3020</v>
      </c>
    </row>
    <row r="160" spans="1:39" x14ac:dyDescent="0.3">
      <c r="A160" s="1">
        <v>151</v>
      </c>
      <c r="B160" s="1" t="s">
        <v>114</v>
      </c>
      <c r="C160" s="1" t="s">
        <v>2347</v>
      </c>
      <c r="D160" s="1" t="s">
        <v>2344</v>
      </c>
      <c r="E160" s="1" t="s">
        <v>702</v>
      </c>
      <c r="F160" s="1" t="s">
        <v>2539</v>
      </c>
      <c r="H160" s="1" t="s">
        <v>2639</v>
      </c>
      <c r="I160" s="3" t="s">
        <v>30</v>
      </c>
      <c r="J160" s="1" t="s">
        <v>2345</v>
      </c>
      <c r="K160" s="1" t="s">
        <v>710</v>
      </c>
      <c r="L160" s="1" t="s">
        <v>2541</v>
      </c>
      <c r="M160" s="1" t="s">
        <v>2618</v>
      </c>
      <c r="N160" s="1" t="s">
        <v>2619</v>
      </c>
      <c r="O160" s="1" t="s">
        <v>42</v>
      </c>
      <c r="Q160" s="1" t="s">
        <v>2346</v>
      </c>
      <c r="R160" s="1" t="s">
        <v>2353</v>
      </c>
      <c r="S160" s="1" t="s">
        <v>2354</v>
      </c>
      <c r="T160" s="49">
        <v>3309730.12</v>
      </c>
      <c r="U160" s="20">
        <v>0</v>
      </c>
      <c r="V160" s="20">
        <v>0</v>
      </c>
      <c r="W160" s="20">
        <v>0</v>
      </c>
      <c r="X160" s="20">
        <v>0</v>
      </c>
      <c r="Y160" s="20">
        <v>0</v>
      </c>
      <c r="Z160" s="20">
        <v>41383.4</v>
      </c>
      <c r="AA160" s="20">
        <v>52226.34</v>
      </c>
      <c r="AB160" s="20">
        <v>52887.82</v>
      </c>
      <c r="AC160" s="20">
        <v>477639.56</v>
      </c>
      <c r="AD160" s="20">
        <v>454698.26</v>
      </c>
      <c r="AE160" s="20">
        <v>0</v>
      </c>
      <c r="AF160" s="20">
        <v>0</v>
      </c>
      <c r="AG160" s="51">
        <f t="shared" si="9"/>
        <v>2230894.7400000002</v>
      </c>
      <c r="AH160" s="20">
        <v>1129140</v>
      </c>
      <c r="AI160" s="20">
        <v>780024</v>
      </c>
      <c r="AJ160" s="20">
        <v>712856</v>
      </c>
      <c r="AK160" s="20">
        <f t="shared" si="7"/>
        <v>874006.66666666663</v>
      </c>
      <c r="AL160" s="26">
        <f t="shared" si="8"/>
        <v>2.7868476823212642</v>
      </c>
      <c r="AM160" s="1" t="s">
        <v>3020</v>
      </c>
    </row>
    <row r="161" spans="1:39" x14ac:dyDescent="0.3">
      <c r="A161" s="1">
        <v>152</v>
      </c>
      <c r="B161" s="1" t="s">
        <v>114</v>
      </c>
      <c r="C161" s="1" t="s">
        <v>2347</v>
      </c>
      <c r="D161" s="1" t="s">
        <v>2344</v>
      </c>
      <c r="E161" s="1" t="s">
        <v>563</v>
      </c>
      <c r="F161" s="1" t="s">
        <v>573</v>
      </c>
      <c r="G161" s="1" t="s">
        <v>563</v>
      </c>
      <c r="H161" s="1" t="s">
        <v>2640</v>
      </c>
      <c r="I161" s="3" t="s">
        <v>30</v>
      </c>
      <c r="J161" s="1" t="s">
        <v>2345</v>
      </c>
      <c r="K161" s="1" t="s">
        <v>564</v>
      </c>
      <c r="L161" s="1" t="s">
        <v>548</v>
      </c>
      <c r="M161" s="1" t="s">
        <v>2618</v>
      </c>
      <c r="N161" s="1" t="s">
        <v>2619</v>
      </c>
      <c r="O161" s="1" t="s">
        <v>42</v>
      </c>
      <c r="Q161" s="1" t="s">
        <v>2346</v>
      </c>
      <c r="R161" s="1" t="s">
        <v>2353</v>
      </c>
      <c r="S161" s="1" t="s">
        <v>2354</v>
      </c>
      <c r="T161" s="49">
        <v>3567289.87</v>
      </c>
      <c r="U161" s="20">
        <v>0</v>
      </c>
      <c r="V161" s="20">
        <v>0</v>
      </c>
      <c r="W161" s="20">
        <v>0</v>
      </c>
      <c r="X161" s="20">
        <v>0</v>
      </c>
      <c r="Y161" s="20">
        <v>0</v>
      </c>
      <c r="Z161" s="20">
        <v>44603.81</v>
      </c>
      <c r="AA161" s="20">
        <v>56290.54</v>
      </c>
      <c r="AB161" s="20">
        <v>57003.5</v>
      </c>
      <c r="AC161" s="20">
        <v>514808.98</v>
      </c>
      <c r="AD161" s="20">
        <v>490082.41</v>
      </c>
      <c r="AE161" s="20">
        <v>0</v>
      </c>
      <c r="AF161" s="20">
        <v>0</v>
      </c>
      <c r="AG161" s="51">
        <f t="shared" si="9"/>
        <v>2404500.63</v>
      </c>
      <c r="AH161" s="20">
        <v>4700400</v>
      </c>
      <c r="AI161" s="20">
        <v>4277500</v>
      </c>
      <c r="AJ161" s="20">
        <v>8367850</v>
      </c>
      <c r="AK161" s="20">
        <f t="shared" si="7"/>
        <v>5781916.666666667</v>
      </c>
      <c r="AL161" s="26">
        <f t="shared" si="8"/>
        <v>-0.38302641223354428</v>
      </c>
      <c r="AM161" s="1" t="s">
        <v>3019</v>
      </c>
    </row>
    <row r="162" spans="1:39" x14ac:dyDescent="0.3">
      <c r="A162" s="1">
        <v>153</v>
      </c>
      <c r="B162" s="1" t="s">
        <v>114</v>
      </c>
      <c r="C162" s="1" t="s">
        <v>2347</v>
      </c>
      <c r="D162" s="1" t="s">
        <v>2344</v>
      </c>
      <c r="E162" s="1" t="s">
        <v>555</v>
      </c>
      <c r="F162" s="1" t="s">
        <v>573</v>
      </c>
      <c r="G162" s="1" t="s">
        <v>555</v>
      </c>
      <c r="H162" s="1" t="s">
        <v>2641</v>
      </c>
      <c r="I162" s="3" t="s">
        <v>30</v>
      </c>
      <c r="J162" s="1" t="s">
        <v>2345</v>
      </c>
      <c r="K162" s="1" t="s">
        <v>557</v>
      </c>
      <c r="L162" s="1" t="s">
        <v>548</v>
      </c>
      <c r="M162" s="1" t="s">
        <v>2618</v>
      </c>
      <c r="N162" s="1" t="s">
        <v>2619</v>
      </c>
      <c r="O162" s="1" t="s">
        <v>42</v>
      </c>
      <c r="Q162" s="1" t="s">
        <v>2346</v>
      </c>
      <c r="R162" s="1" t="s">
        <v>2353</v>
      </c>
      <c r="S162" s="1" t="s">
        <v>2354</v>
      </c>
      <c r="T162" s="49">
        <v>6990643.9699999997</v>
      </c>
      <c r="U162" s="20">
        <v>0</v>
      </c>
      <c r="V162" s="20">
        <v>0</v>
      </c>
      <c r="W162" s="20">
        <v>0</v>
      </c>
      <c r="X162" s="20">
        <v>0</v>
      </c>
      <c r="Y162" s="20">
        <v>0</v>
      </c>
      <c r="Z162" s="20">
        <v>87407.91</v>
      </c>
      <c r="AA162" s="20">
        <v>110309.83</v>
      </c>
      <c r="AB162" s="20">
        <v>111706.98</v>
      </c>
      <c r="AC162" s="20">
        <v>1008846.04</v>
      </c>
      <c r="AD162" s="20">
        <v>960390.61</v>
      </c>
      <c r="AE162" s="20">
        <v>0</v>
      </c>
      <c r="AF162" s="20">
        <v>0</v>
      </c>
      <c r="AG162" s="51">
        <f t="shared" si="9"/>
        <v>4711982.5999999996</v>
      </c>
      <c r="AH162" s="20">
        <v>5328000</v>
      </c>
      <c r="AI162" s="20">
        <v>7298400</v>
      </c>
      <c r="AJ162" s="20">
        <v>7830050</v>
      </c>
      <c r="AK162" s="20">
        <f t="shared" si="7"/>
        <v>6818816.666666667</v>
      </c>
      <c r="AL162" s="26">
        <f t="shared" si="8"/>
        <v>2.5198991516123259E-2</v>
      </c>
    </row>
    <row r="163" spans="1:39" x14ac:dyDescent="0.3">
      <c r="A163" s="1">
        <v>154</v>
      </c>
      <c r="B163" s="1" t="s">
        <v>114</v>
      </c>
      <c r="C163" s="1" t="s">
        <v>2347</v>
      </c>
      <c r="D163" s="1" t="s">
        <v>2344</v>
      </c>
      <c r="E163" s="1" t="s">
        <v>2642</v>
      </c>
      <c r="F163" s="1" t="s">
        <v>573</v>
      </c>
      <c r="G163" s="1" t="s">
        <v>637</v>
      </c>
      <c r="H163" s="1" t="s">
        <v>2643</v>
      </c>
      <c r="I163" s="3" t="s">
        <v>30</v>
      </c>
      <c r="J163" s="1" t="s">
        <v>2345</v>
      </c>
      <c r="K163" s="1" t="s">
        <v>638</v>
      </c>
      <c r="L163" s="1" t="s">
        <v>548</v>
      </c>
      <c r="M163" s="1" t="s">
        <v>2618</v>
      </c>
      <c r="N163" s="1" t="s">
        <v>2619</v>
      </c>
      <c r="O163" s="1" t="s">
        <v>42</v>
      </c>
      <c r="Q163" s="1" t="s">
        <v>2346</v>
      </c>
      <c r="R163" s="1" t="s">
        <v>2353</v>
      </c>
      <c r="S163" s="1" t="s">
        <v>2354</v>
      </c>
      <c r="T163" s="49">
        <v>5403117.0899999999</v>
      </c>
      <c r="U163" s="20">
        <v>0</v>
      </c>
      <c r="V163" s="20">
        <v>0</v>
      </c>
      <c r="W163" s="20">
        <v>0</v>
      </c>
      <c r="X163" s="20">
        <v>0</v>
      </c>
      <c r="Y163" s="20">
        <v>0</v>
      </c>
      <c r="Z163" s="20">
        <v>67558.179999999993</v>
      </c>
      <c r="AA163" s="20">
        <v>85259.23</v>
      </c>
      <c r="AB163" s="20">
        <v>86339.1</v>
      </c>
      <c r="AC163" s="20">
        <v>779744.08</v>
      </c>
      <c r="AD163" s="20">
        <v>742292.54</v>
      </c>
      <c r="AE163" s="20">
        <v>0</v>
      </c>
      <c r="AF163" s="20">
        <v>0</v>
      </c>
      <c r="AG163" s="51">
        <f t="shared" si="9"/>
        <v>3641923.96</v>
      </c>
      <c r="AH163" s="20">
        <v>4654350</v>
      </c>
      <c r="AI163" s="20">
        <v>3559950</v>
      </c>
      <c r="AJ163" s="20">
        <v>6683400</v>
      </c>
      <c r="AK163" s="20">
        <f t="shared" si="7"/>
        <v>4965900</v>
      </c>
      <c r="AL163" s="26">
        <f t="shared" si="8"/>
        <v>8.8043877242795832E-2</v>
      </c>
    </row>
    <row r="164" spans="1:39" x14ac:dyDescent="0.3">
      <c r="A164" s="1">
        <v>155</v>
      </c>
      <c r="B164" s="1" t="s">
        <v>114</v>
      </c>
      <c r="C164" s="1" t="s">
        <v>2347</v>
      </c>
      <c r="D164" s="1" t="s">
        <v>2344</v>
      </c>
      <c r="F164" s="1" t="s">
        <v>2375</v>
      </c>
      <c r="H164" s="1" t="s">
        <v>2644</v>
      </c>
      <c r="I164" s="3" t="s">
        <v>30</v>
      </c>
      <c r="J164" s="1" t="s">
        <v>2345</v>
      </c>
      <c r="K164" s="1" t="s">
        <v>2645</v>
      </c>
      <c r="L164" s="1" t="s">
        <v>2646</v>
      </c>
      <c r="M164" s="1" t="s">
        <v>2618</v>
      </c>
      <c r="N164" s="1" t="s">
        <v>2619</v>
      </c>
      <c r="O164" s="1" t="s">
        <v>42</v>
      </c>
      <c r="Q164" s="1" t="s">
        <v>2346</v>
      </c>
      <c r="R164" s="1" t="s">
        <v>2353</v>
      </c>
      <c r="S164" s="1" t="s">
        <v>2354</v>
      </c>
      <c r="T164" s="49">
        <v>5870129.8700000001</v>
      </c>
      <c r="U164" s="20">
        <v>0</v>
      </c>
      <c r="V164" s="20">
        <v>0</v>
      </c>
      <c r="W164" s="20">
        <v>0</v>
      </c>
      <c r="X164" s="20">
        <v>0</v>
      </c>
      <c r="Y164" s="20">
        <v>0</v>
      </c>
      <c r="Z164" s="20">
        <v>703796.1872388511</v>
      </c>
      <c r="AA164" s="20">
        <v>92628.51</v>
      </c>
      <c r="AB164" s="20">
        <v>1093801.72</v>
      </c>
      <c r="AC164" s="20">
        <v>1847140.45</v>
      </c>
      <c r="AD164" s="20">
        <v>1806451.81</v>
      </c>
      <c r="AE164" s="20">
        <v>0</v>
      </c>
      <c r="AF164" s="20">
        <v>0</v>
      </c>
      <c r="AG164" s="51">
        <f t="shared" si="9"/>
        <v>326311.19276114833</v>
      </c>
      <c r="AH164" s="20">
        <v>0</v>
      </c>
      <c r="AI164" s="20">
        <v>0</v>
      </c>
      <c r="AJ164" s="20">
        <v>0</v>
      </c>
      <c r="AK164" s="20">
        <f t="shared" si="7"/>
        <v>0</v>
      </c>
      <c r="AL164" s="26">
        <f t="shared" si="8"/>
        <v>0</v>
      </c>
    </row>
    <row r="165" spans="1:39" x14ac:dyDescent="0.3">
      <c r="A165" s="1">
        <v>156</v>
      </c>
      <c r="B165" s="1" t="s">
        <v>114</v>
      </c>
      <c r="C165" s="1" t="s">
        <v>2347</v>
      </c>
      <c r="D165" s="1" t="s">
        <v>2344</v>
      </c>
      <c r="F165" s="1" t="s">
        <v>2375</v>
      </c>
      <c r="H165" s="1" t="s">
        <v>2647</v>
      </c>
      <c r="I165" s="3" t="s">
        <v>30</v>
      </c>
      <c r="J165" s="1" t="s">
        <v>2345</v>
      </c>
      <c r="K165" s="1" t="s">
        <v>2648</v>
      </c>
      <c r="L165" s="1" t="s">
        <v>2649</v>
      </c>
      <c r="M165" s="1" t="s">
        <v>2618</v>
      </c>
      <c r="N165" s="1" t="s">
        <v>2619</v>
      </c>
      <c r="O165" s="1" t="s">
        <v>42</v>
      </c>
      <c r="Q165" s="1" t="s">
        <v>2346</v>
      </c>
      <c r="R165" s="1" t="s">
        <v>2353</v>
      </c>
      <c r="S165" s="1" t="s">
        <v>2354</v>
      </c>
      <c r="T165" s="49">
        <v>5870129.8700000001</v>
      </c>
      <c r="U165" s="20">
        <v>0</v>
      </c>
      <c r="V165" s="20">
        <v>0</v>
      </c>
      <c r="W165" s="20">
        <v>0</v>
      </c>
      <c r="X165" s="20">
        <v>0</v>
      </c>
      <c r="Y165" s="20">
        <v>0</v>
      </c>
      <c r="Z165" s="20">
        <v>703796.1872388511</v>
      </c>
      <c r="AA165" s="20">
        <v>92628.51</v>
      </c>
      <c r="AB165" s="20">
        <v>93801.72</v>
      </c>
      <c r="AC165" s="20">
        <v>1847140.45</v>
      </c>
      <c r="AD165" s="20">
        <v>1806451.81</v>
      </c>
      <c r="AE165" s="20">
        <v>0</v>
      </c>
      <c r="AF165" s="20">
        <v>0</v>
      </c>
      <c r="AG165" s="51">
        <f t="shared" si="9"/>
        <v>1326311.1927611483</v>
      </c>
      <c r="AH165" s="20">
        <v>0</v>
      </c>
      <c r="AI165" s="20">
        <v>0</v>
      </c>
      <c r="AJ165" s="20">
        <v>0</v>
      </c>
      <c r="AK165" s="20">
        <f t="shared" si="7"/>
        <v>0</v>
      </c>
      <c r="AL165" s="26">
        <f t="shared" si="8"/>
        <v>0</v>
      </c>
    </row>
    <row r="166" spans="1:39" x14ac:dyDescent="0.3">
      <c r="A166" s="1">
        <v>157</v>
      </c>
      <c r="B166" s="1" t="s">
        <v>114</v>
      </c>
      <c r="C166" s="1" t="s">
        <v>2347</v>
      </c>
      <c r="D166" s="1" t="s">
        <v>2344</v>
      </c>
      <c r="F166" s="1" t="s">
        <v>2375</v>
      </c>
      <c r="H166" s="1" t="s">
        <v>2650</v>
      </c>
      <c r="I166" s="3" t="s">
        <v>30</v>
      </c>
      <c r="J166" s="1" t="s">
        <v>2345</v>
      </c>
      <c r="K166" s="1" t="s">
        <v>2651</v>
      </c>
      <c r="L166" s="1" t="s">
        <v>2652</v>
      </c>
      <c r="M166" s="1" t="s">
        <v>2618</v>
      </c>
      <c r="N166" s="1" t="s">
        <v>2619</v>
      </c>
      <c r="O166" s="1" t="s">
        <v>42</v>
      </c>
      <c r="Q166" s="1" t="s">
        <v>2346</v>
      </c>
      <c r="R166" s="1" t="s">
        <v>2353</v>
      </c>
      <c r="S166" s="1" t="s">
        <v>2354</v>
      </c>
      <c r="T166" s="49">
        <v>5870129.8700000001</v>
      </c>
      <c r="U166" s="20">
        <v>0</v>
      </c>
      <c r="V166" s="20">
        <v>0</v>
      </c>
      <c r="W166" s="20">
        <v>0</v>
      </c>
      <c r="X166" s="20">
        <v>0</v>
      </c>
      <c r="Y166" s="20">
        <v>0</v>
      </c>
      <c r="Z166" s="20">
        <v>703796.1872388511</v>
      </c>
      <c r="AA166" s="20">
        <v>92628.51</v>
      </c>
      <c r="AB166" s="20">
        <v>93801.72</v>
      </c>
      <c r="AC166" s="20">
        <v>1847140.45</v>
      </c>
      <c r="AD166" s="20">
        <v>1806451.81</v>
      </c>
      <c r="AE166" s="20">
        <v>0</v>
      </c>
      <c r="AF166" s="20">
        <v>0</v>
      </c>
      <c r="AG166" s="51">
        <f t="shared" si="9"/>
        <v>1326311.1927611483</v>
      </c>
      <c r="AH166" s="20">
        <v>0</v>
      </c>
      <c r="AI166" s="20">
        <v>0</v>
      </c>
      <c r="AJ166" s="20">
        <v>0</v>
      </c>
      <c r="AK166" s="20">
        <f t="shared" si="7"/>
        <v>0</v>
      </c>
      <c r="AL166" s="26">
        <f t="shared" si="8"/>
        <v>0</v>
      </c>
    </row>
    <row r="167" spans="1:39" x14ac:dyDescent="0.3">
      <c r="A167" s="1">
        <v>158</v>
      </c>
      <c r="B167" s="1" t="s">
        <v>114</v>
      </c>
      <c r="C167" s="1" t="s">
        <v>2347</v>
      </c>
      <c r="D167" s="1" t="s">
        <v>2344</v>
      </c>
      <c r="F167" s="1" t="s">
        <v>2375</v>
      </c>
      <c r="H167" s="1" t="s">
        <v>2653</v>
      </c>
      <c r="I167" s="3" t="s">
        <v>30</v>
      </c>
      <c r="J167" s="1" t="s">
        <v>2345</v>
      </c>
      <c r="K167" s="1" t="s">
        <v>2654</v>
      </c>
      <c r="L167" s="1" t="s">
        <v>2654</v>
      </c>
      <c r="M167" s="1" t="s">
        <v>2618</v>
      </c>
      <c r="N167" s="1" t="s">
        <v>2619</v>
      </c>
      <c r="O167" s="1" t="s">
        <v>42</v>
      </c>
      <c r="Q167" s="1" t="s">
        <v>2346</v>
      </c>
      <c r="R167" s="1" t="s">
        <v>2353</v>
      </c>
      <c r="S167" s="1" t="s">
        <v>2354</v>
      </c>
      <c r="T167" s="49">
        <v>5870129.8700000001</v>
      </c>
      <c r="U167" s="20">
        <v>0</v>
      </c>
      <c r="V167" s="20">
        <v>0</v>
      </c>
      <c r="W167" s="20">
        <v>0</v>
      </c>
      <c r="X167" s="20">
        <v>0</v>
      </c>
      <c r="Y167" s="20">
        <v>0</v>
      </c>
      <c r="Z167" s="20">
        <v>703796.1872388511</v>
      </c>
      <c r="AA167" s="20">
        <v>92628.51</v>
      </c>
      <c r="AB167" s="20">
        <v>93801.72</v>
      </c>
      <c r="AC167" s="20">
        <v>1847140.45</v>
      </c>
      <c r="AD167" s="20">
        <v>1806451.81</v>
      </c>
      <c r="AE167" s="20">
        <v>0</v>
      </c>
      <c r="AF167" s="20">
        <v>0</v>
      </c>
      <c r="AG167" s="51">
        <f t="shared" si="9"/>
        <v>1326311.1927611483</v>
      </c>
      <c r="AH167" s="20">
        <v>0</v>
      </c>
      <c r="AI167" s="20">
        <v>0</v>
      </c>
      <c r="AJ167" s="20">
        <v>0</v>
      </c>
      <c r="AK167" s="20">
        <f t="shared" si="7"/>
        <v>0</v>
      </c>
      <c r="AL167" s="26">
        <f t="shared" si="8"/>
        <v>0</v>
      </c>
    </row>
    <row r="168" spans="1:39" x14ac:dyDescent="0.3">
      <c r="A168" s="1">
        <v>159</v>
      </c>
      <c r="B168" s="1" t="s">
        <v>114</v>
      </c>
      <c r="C168" s="1" t="s">
        <v>2347</v>
      </c>
      <c r="D168" s="1" t="s">
        <v>2344</v>
      </c>
      <c r="F168" s="1" t="s">
        <v>2375</v>
      </c>
      <c r="H168" s="1" t="s">
        <v>2655</v>
      </c>
      <c r="I168" s="3" t="s">
        <v>30</v>
      </c>
      <c r="J168" s="1" t="s">
        <v>2345</v>
      </c>
      <c r="K168" s="1" t="s">
        <v>2656</v>
      </c>
      <c r="L168" s="1" t="s">
        <v>2656</v>
      </c>
      <c r="M168" s="1" t="s">
        <v>2618</v>
      </c>
      <c r="N168" s="1" t="s">
        <v>2619</v>
      </c>
      <c r="O168" s="1" t="s">
        <v>42</v>
      </c>
      <c r="Q168" s="1" t="s">
        <v>2346</v>
      </c>
      <c r="R168" s="1" t="s">
        <v>2353</v>
      </c>
      <c r="S168" s="1" t="s">
        <v>2354</v>
      </c>
      <c r="T168" s="49">
        <v>5870129.8700000001</v>
      </c>
      <c r="U168" s="20">
        <v>0</v>
      </c>
      <c r="V168" s="20">
        <v>0</v>
      </c>
      <c r="W168" s="20">
        <v>0</v>
      </c>
      <c r="X168" s="20">
        <v>0</v>
      </c>
      <c r="Y168" s="20">
        <v>0</v>
      </c>
      <c r="Z168" s="20">
        <v>703796.1872388511</v>
      </c>
      <c r="AA168" s="20">
        <v>92628.51</v>
      </c>
      <c r="AB168" s="20">
        <v>93801.72</v>
      </c>
      <c r="AC168" s="20">
        <v>1847140.45</v>
      </c>
      <c r="AD168" s="20">
        <v>1806451.81</v>
      </c>
      <c r="AE168" s="20">
        <v>0</v>
      </c>
      <c r="AF168" s="20">
        <v>0</v>
      </c>
      <c r="AG168" s="51">
        <f t="shared" si="9"/>
        <v>1326311.1927611483</v>
      </c>
      <c r="AH168" s="20">
        <v>0</v>
      </c>
      <c r="AI168" s="20">
        <v>0</v>
      </c>
      <c r="AJ168" s="20">
        <v>0</v>
      </c>
      <c r="AK168" s="20">
        <f t="shared" si="7"/>
        <v>0</v>
      </c>
      <c r="AL168" s="26">
        <f t="shared" si="8"/>
        <v>0</v>
      </c>
    </row>
    <row r="169" spans="1:39" x14ac:dyDescent="0.3">
      <c r="A169" s="1">
        <v>160</v>
      </c>
      <c r="B169" s="1" t="s">
        <v>114</v>
      </c>
      <c r="C169" s="1" t="s">
        <v>2347</v>
      </c>
      <c r="D169" s="1" t="s">
        <v>2344</v>
      </c>
      <c r="F169" s="1" t="s">
        <v>2375</v>
      </c>
      <c r="H169" s="1" t="s">
        <v>2657</v>
      </c>
      <c r="I169" s="3" t="s">
        <v>30</v>
      </c>
      <c r="J169" s="1" t="s">
        <v>2345</v>
      </c>
      <c r="K169" s="1" t="s">
        <v>2658</v>
      </c>
      <c r="M169" s="1" t="s">
        <v>2618</v>
      </c>
      <c r="N169" s="1" t="s">
        <v>2619</v>
      </c>
      <c r="O169" s="1" t="s">
        <v>42</v>
      </c>
      <c r="Q169" s="1" t="s">
        <v>2346</v>
      </c>
      <c r="R169" s="1" t="s">
        <v>2353</v>
      </c>
      <c r="S169" s="1" t="s">
        <v>2354</v>
      </c>
      <c r="T169" s="49">
        <v>5870129.8700000001</v>
      </c>
      <c r="U169" s="20">
        <v>0</v>
      </c>
      <c r="V169" s="20">
        <v>0</v>
      </c>
      <c r="W169" s="20">
        <v>0</v>
      </c>
      <c r="X169" s="20">
        <v>0</v>
      </c>
      <c r="Y169" s="20">
        <v>0</v>
      </c>
      <c r="Z169" s="20">
        <v>703796.1872388511</v>
      </c>
      <c r="AA169" s="20">
        <v>92628.51</v>
      </c>
      <c r="AB169" s="20">
        <v>93801.72</v>
      </c>
      <c r="AC169" s="20">
        <v>1847140.45</v>
      </c>
      <c r="AD169" s="20">
        <v>1806451.81</v>
      </c>
      <c r="AE169" s="20">
        <v>0</v>
      </c>
      <c r="AF169" s="20">
        <v>0</v>
      </c>
      <c r="AG169" s="51">
        <f t="shared" si="9"/>
        <v>1326311.1927611483</v>
      </c>
      <c r="AH169" s="20">
        <v>0</v>
      </c>
      <c r="AI169" s="20">
        <v>0</v>
      </c>
      <c r="AJ169" s="20">
        <v>0</v>
      </c>
      <c r="AK169" s="20">
        <f t="shared" si="7"/>
        <v>0</v>
      </c>
      <c r="AL169" s="26">
        <f t="shared" si="8"/>
        <v>0</v>
      </c>
    </row>
    <row r="170" spans="1:39" x14ac:dyDescent="0.3">
      <c r="A170" s="1">
        <v>161</v>
      </c>
      <c r="B170" s="1" t="s">
        <v>114</v>
      </c>
      <c r="C170" s="1" t="s">
        <v>2347</v>
      </c>
      <c r="D170" s="1" t="s">
        <v>2344</v>
      </c>
      <c r="F170" s="1" t="s">
        <v>2375</v>
      </c>
      <c r="H170" s="1" t="s">
        <v>2659</v>
      </c>
      <c r="I170" s="3" t="s">
        <v>30</v>
      </c>
      <c r="J170" s="1" t="s">
        <v>2345</v>
      </c>
      <c r="K170" s="1" t="s">
        <v>2660</v>
      </c>
      <c r="M170" s="1" t="s">
        <v>2618</v>
      </c>
      <c r="N170" s="1" t="s">
        <v>2619</v>
      </c>
      <c r="O170" s="1" t="s">
        <v>42</v>
      </c>
      <c r="Q170" s="1" t="s">
        <v>2346</v>
      </c>
      <c r="R170" s="1" t="s">
        <v>2353</v>
      </c>
      <c r="S170" s="1" t="s">
        <v>2354</v>
      </c>
      <c r="T170" s="49">
        <v>5870129.8700000001</v>
      </c>
      <c r="U170" s="20">
        <v>0</v>
      </c>
      <c r="V170" s="20">
        <v>0</v>
      </c>
      <c r="W170" s="20">
        <v>0</v>
      </c>
      <c r="X170" s="20">
        <v>0</v>
      </c>
      <c r="Y170" s="20">
        <v>0</v>
      </c>
      <c r="Z170" s="20">
        <v>703796.1872388511</v>
      </c>
      <c r="AA170" s="20">
        <v>92628.51</v>
      </c>
      <c r="AB170" s="20">
        <v>93801.72</v>
      </c>
      <c r="AC170" s="20">
        <v>1847140.45</v>
      </c>
      <c r="AD170" s="20">
        <v>1806451.81</v>
      </c>
      <c r="AE170" s="20">
        <v>0</v>
      </c>
      <c r="AF170" s="20">
        <v>0</v>
      </c>
      <c r="AG170" s="51">
        <f t="shared" si="9"/>
        <v>1326311.1927611483</v>
      </c>
      <c r="AH170" s="20">
        <v>0</v>
      </c>
      <c r="AI170" s="20">
        <v>0</v>
      </c>
      <c r="AJ170" s="20">
        <v>0</v>
      </c>
      <c r="AK170" s="20">
        <f t="shared" si="7"/>
        <v>0</v>
      </c>
      <c r="AL170" s="26">
        <f t="shared" si="8"/>
        <v>0</v>
      </c>
    </row>
    <row r="171" spans="1:39" x14ac:dyDescent="0.3">
      <c r="A171" s="1">
        <v>162</v>
      </c>
      <c r="B171" s="1" t="s">
        <v>114</v>
      </c>
      <c r="C171" s="1" t="s">
        <v>2347</v>
      </c>
      <c r="D171" s="1" t="s">
        <v>2344</v>
      </c>
      <c r="F171" s="1" t="s">
        <v>2375</v>
      </c>
      <c r="H171" s="1" t="s">
        <v>2661</v>
      </c>
      <c r="I171" s="3" t="s">
        <v>30</v>
      </c>
      <c r="J171" s="1" t="s">
        <v>2345</v>
      </c>
      <c r="K171" s="1" t="s">
        <v>2662</v>
      </c>
      <c r="L171" s="1" t="s">
        <v>2662</v>
      </c>
      <c r="M171" s="1" t="s">
        <v>2618</v>
      </c>
      <c r="N171" s="1" t="s">
        <v>2619</v>
      </c>
      <c r="O171" s="1" t="s">
        <v>42</v>
      </c>
      <c r="Q171" s="1" t="s">
        <v>2346</v>
      </c>
      <c r="R171" s="1" t="s">
        <v>2353</v>
      </c>
      <c r="S171" s="1" t="s">
        <v>2354</v>
      </c>
      <c r="T171" s="49">
        <v>5870129.8700000001</v>
      </c>
      <c r="U171" s="20">
        <v>0</v>
      </c>
      <c r="V171" s="20">
        <v>0</v>
      </c>
      <c r="W171" s="20">
        <v>0</v>
      </c>
      <c r="X171" s="20">
        <v>0</v>
      </c>
      <c r="Y171" s="20">
        <v>0</v>
      </c>
      <c r="Z171" s="20">
        <v>703796.1872388511</v>
      </c>
      <c r="AA171" s="20">
        <v>92628.51</v>
      </c>
      <c r="AB171" s="20">
        <v>93801.72</v>
      </c>
      <c r="AC171" s="20">
        <v>1847140.45</v>
      </c>
      <c r="AD171" s="20">
        <v>1806451.81</v>
      </c>
      <c r="AE171" s="20">
        <v>0</v>
      </c>
      <c r="AF171" s="20">
        <v>0</v>
      </c>
      <c r="AG171" s="51">
        <f t="shared" si="9"/>
        <v>1326311.1927611483</v>
      </c>
      <c r="AH171" s="20">
        <v>0</v>
      </c>
      <c r="AI171" s="20">
        <v>0</v>
      </c>
      <c r="AJ171" s="20">
        <v>0</v>
      </c>
      <c r="AK171" s="20">
        <f t="shared" si="7"/>
        <v>0</v>
      </c>
      <c r="AL171" s="26">
        <f t="shared" si="8"/>
        <v>0</v>
      </c>
    </row>
    <row r="172" spans="1:39" x14ac:dyDescent="0.3">
      <c r="A172" s="1">
        <v>163</v>
      </c>
      <c r="B172" s="1" t="s">
        <v>114</v>
      </c>
      <c r="C172" s="1" t="s">
        <v>2347</v>
      </c>
      <c r="D172" s="1" t="s">
        <v>2344</v>
      </c>
      <c r="F172" s="1" t="s">
        <v>2375</v>
      </c>
      <c r="H172" s="1" t="s">
        <v>2663</v>
      </c>
      <c r="I172" s="3" t="s">
        <v>30</v>
      </c>
      <c r="J172" s="1" t="s">
        <v>2345</v>
      </c>
      <c r="K172" s="1" t="s">
        <v>2664</v>
      </c>
      <c r="L172" s="1" t="s">
        <v>2665</v>
      </c>
      <c r="M172" s="1" t="s">
        <v>2618</v>
      </c>
      <c r="N172" s="1" t="s">
        <v>2619</v>
      </c>
      <c r="O172" s="1" t="s">
        <v>42</v>
      </c>
      <c r="Q172" s="1" t="s">
        <v>2346</v>
      </c>
      <c r="R172" s="1" t="s">
        <v>2353</v>
      </c>
      <c r="S172" s="1" t="s">
        <v>2354</v>
      </c>
      <c r="T172" s="49">
        <v>5870129.8700000001</v>
      </c>
      <c r="U172" s="20">
        <v>0</v>
      </c>
      <c r="V172" s="20">
        <v>0</v>
      </c>
      <c r="W172" s="20">
        <v>0</v>
      </c>
      <c r="X172" s="20">
        <v>0</v>
      </c>
      <c r="Y172" s="20">
        <v>0</v>
      </c>
      <c r="Z172" s="20">
        <v>703796.1872388511</v>
      </c>
      <c r="AA172" s="20">
        <v>92628.51</v>
      </c>
      <c r="AB172" s="20">
        <v>93801.72</v>
      </c>
      <c r="AC172" s="20">
        <v>1847140.45</v>
      </c>
      <c r="AD172" s="20">
        <v>1806451.81</v>
      </c>
      <c r="AE172" s="20">
        <v>0</v>
      </c>
      <c r="AF172" s="20">
        <v>0</v>
      </c>
      <c r="AG172" s="51">
        <f t="shared" si="9"/>
        <v>1326311.1927611483</v>
      </c>
      <c r="AH172" s="20">
        <v>0</v>
      </c>
      <c r="AI172" s="20">
        <v>0</v>
      </c>
      <c r="AJ172" s="20">
        <v>0</v>
      </c>
      <c r="AK172" s="20">
        <f t="shared" si="7"/>
        <v>0</v>
      </c>
      <c r="AL172" s="26">
        <f t="shared" si="8"/>
        <v>0</v>
      </c>
    </row>
    <row r="173" spans="1:39" x14ac:dyDescent="0.3">
      <c r="A173" s="1">
        <v>164</v>
      </c>
      <c r="B173" s="1" t="s">
        <v>114</v>
      </c>
      <c r="C173" s="1" t="s">
        <v>2347</v>
      </c>
      <c r="D173" s="1" t="s">
        <v>2344</v>
      </c>
      <c r="F173" s="1" t="s">
        <v>2375</v>
      </c>
      <c r="H173" s="1" t="s">
        <v>2666</v>
      </c>
      <c r="I173" s="3" t="s">
        <v>30</v>
      </c>
      <c r="J173" s="1" t="s">
        <v>2345</v>
      </c>
      <c r="K173" s="1" t="s">
        <v>2667</v>
      </c>
      <c r="L173" s="1" t="s">
        <v>2667</v>
      </c>
      <c r="M173" s="1" t="s">
        <v>2618</v>
      </c>
      <c r="N173" s="1" t="s">
        <v>2619</v>
      </c>
      <c r="O173" s="1" t="s">
        <v>42</v>
      </c>
      <c r="Q173" s="1" t="s">
        <v>2346</v>
      </c>
      <c r="R173" s="1" t="s">
        <v>2353</v>
      </c>
      <c r="S173" s="1" t="s">
        <v>2354</v>
      </c>
      <c r="T173" s="49">
        <v>5870129.8700000001</v>
      </c>
      <c r="U173" s="20">
        <v>0</v>
      </c>
      <c r="V173" s="20">
        <v>0</v>
      </c>
      <c r="W173" s="20">
        <v>0</v>
      </c>
      <c r="X173" s="20">
        <v>0</v>
      </c>
      <c r="Y173" s="20">
        <v>0</v>
      </c>
      <c r="Z173" s="20">
        <v>703796.1872388511</v>
      </c>
      <c r="AA173" s="20">
        <v>92628.51</v>
      </c>
      <c r="AB173" s="20">
        <v>93801.72</v>
      </c>
      <c r="AC173" s="20">
        <v>1847140.45</v>
      </c>
      <c r="AD173" s="20">
        <v>1806451.81</v>
      </c>
      <c r="AE173" s="20">
        <v>0</v>
      </c>
      <c r="AF173" s="20">
        <v>0</v>
      </c>
      <c r="AG173" s="51">
        <f t="shared" si="9"/>
        <v>1326311.1927611483</v>
      </c>
      <c r="AH173" s="20">
        <v>0</v>
      </c>
      <c r="AI173" s="20">
        <v>0</v>
      </c>
      <c r="AJ173" s="20">
        <v>0</v>
      </c>
      <c r="AK173" s="20">
        <f t="shared" si="7"/>
        <v>0</v>
      </c>
      <c r="AL173" s="26">
        <f t="shared" si="8"/>
        <v>0</v>
      </c>
    </row>
    <row r="174" spans="1:39" x14ac:dyDescent="0.3">
      <c r="A174" s="1">
        <v>165</v>
      </c>
      <c r="B174" s="1" t="s">
        <v>114</v>
      </c>
      <c r="C174" s="1" t="s">
        <v>2347</v>
      </c>
      <c r="D174" s="1" t="s">
        <v>2344</v>
      </c>
      <c r="F174" s="1" t="s">
        <v>2375</v>
      </c>
      <c r="H174" s="1" t="s">
        <v>2668</v>
      </c>
      <c r="I174" s="3" t="s">
        <v>30</v>
      </c>
      <c r="J174" s="1" t="s">
        <v>2345</v>
      </c>
      <c r="K174" s="1" t="s">
        <v>2669</v>
      </c>
      <c r="M174" s="1" t="s">
        <v>2618</v>
      </c>
      <c r="N174" s="1" t="s">
        <v>2619</v>
      </c>
      <c r="O174" s="1" t="s">
        <v>42</v>
      </c>
      <c r="Q174" s="1" t="s">
        <v>2346</v>
      </c>
      <c r="R174" s="1" t="s">
        <v>2353</v>
      </c>
      <c r="S174" s="1" t="s">
        <v>2354</v>
      </c>
      <c r="T174" s="49">
        <v>5870129.8700000001</v>
      </c>
      <c r="U174" s="20">
        <v>0</v>
      </c>
      <c r="V174" s="20">
        <v>0</v>
      </c>
      <c r="W174" s="20">
        <v>0</v>
      </c>
      <c r="X174" s="20">
        <v>0</v>
      </c>
      <c r="Y174" s="20">
        <v>0</v>
      </c>
      <c r="Z174" s="20">
        <v>703796.1872388511</v>
      </c>
      <c r="AA174" s="20">
        <v>92628.51</v>
      </c>
      <c r="AB174" s="20">
        <v>93801.72</v>
      </c>
      <c r="AC174" s="20">
        <v>1847140.45</v>
      </c>
      <c r="AD174" s="20">
        <v>1806451.81</v>
      </c>
      <c r="AE174" s="20">
        <v>0</v>
      </c>
      <c r="AF174" s="20">
        <v>0</v>
      </c>
      <c r="AG174" s="51">
        <f t="shared" si="9"/>
        <v>1326311.1927611483</v>
      </c>
      <c r="AH174" s="20">
        <v>0</v>
      </c>
      <c r="AI174" s="20">
        <v>0</v>
      </c>
      <c r="AJ174" s="20">
        <v>0</v>
      </c>
      <c r="AK174" s="20">
        <f t="shared" si="7"/>
        <v>0</v>
      </c>
      <c r="AL174" s="26">
        <f t="shared" si="8"/>
        <v>0</v>
      </c>
    </row>
    <row r="175" spans="1:39" x14ac:dyDescent="0.3">
      <c r="A175" s="1">
        <v>166</v>
      </c>
      <c r="B175" s="1" t="s">
        <v>114</v>
      </c>
      <c r="C175" s="1" t="s">
        <v>2347</v>
      </c>
      <c r="D175" s="1" t="s">
        <v>2344</v>
      </c>
      <c r="F175" s="1" t="s">
        <v>2375</v>
      </c>
      <c r="H175" s="1" t="s">
        <v>2670</v>
      </c>
      <c r="I175" s="3" t="s">
        <v>30</v>
      </c>
      <c r="J175" s="1" t="s">
        <v>2345</v>
      </c>
      <c r="K175" s="1" t="s">
        <v>2671</v>
      </c>
      <c r="L175" s="1" t="s">
        <v>2671</v>
      </c>
      <c r="M175" s="1" t="s">
        <v>2618</v>
      </c>
      <c r="N175" s="1" t="s">
        <v>2619</v>
      </c>
      <c r="O175" s="1" t="s">
        <v>42</v>
      </c>
      <c r="Q175" s="1" t="s">
        <v>2346</v>
      </c>
      <c r="R175" s="1" t="s">
        <v>2353</v>
      </c>
      <c r="S175" s="1" t="s">
        <v>2354</v>
      </c>
      <c r="T175" s="49">
        <v>5870129.8700000001</v>
      </c>
      <c r="U175" s="20">
        <v>0</v>
      </c>
      <c r="V175" s="20">
        <v>0</v>
      </c>
      <c r="W175" s="20">
        <v>0</v>
      </c>
      <c r="X175" s="20">
        <v>0</v>
      </c>
      <c r="Y175" s="20">
        <v>0</v>
      </c>
      <c r="Z175" s="20">
        <v>703796.1872388511</v>
      </c>
      <c r="AA175" s="20">
        <v>92628.51</v>
      </c>
      <c r="AB175" s="20">
        <v>93801.72</v>
      </c>
      <c r="AC175" s="20">
        <v>1847140.45</v>
      </c>
      <c r="AD175" s="20">
        <v>1806451.81</v>
      </c>
      <c r="AE175" s="20">
        <v>0</v>
      </c>
      <c r="AF175" s="20">
        <v>0</v>
      </c>
      <c r="AG175" s="51">
        <f t="shared" si="9"/>
        <v>1326311.1927611483</v>
      </c>
      <c r="AH175" s="20">
        <v>0</v>
      </c>
      <c r="AI175" s="20">
        <v>0</v>
      </c>
      <c r="AJ175" s="20">
        <v>0</v>
      </c>
      <c r="AK175" s="20">
        <f t="shared" si="7"/>
        <v>0</v>
      </c>
      <c r="AL175" s="26">
        <f t="shared" si="8"/>
        <v>0</v>
      </c>
    </row>
    <row r="176" spans="1:39" x14ac:dyDescent="0.3">
      <c r="A176" s="1">
        <v>167</v>
      </c>
      <c r="B176" s="1" t="s">
        <v>114</v>
      </c>
      <c r="C176" s="1" t="s">
        <v>2347</v>
      </c>
      <c r="D176" s="1" t="s">
        <v>2344</v>
      </c>
      <c r="F176" s="1" t="s">
        <v>2375</v>
      </c>
      <c r="H176" s="1" t="s">
        <v>2672</v>
      </c>
      <c r="I176" s="3" t="s">
        <v>30</v>
      </c>
      <c r="J176" s="1" t="s">
        <v>2345</v>
      </c>
      <c r="K176" s="1" t="s">
        <v>2673</v>
      </c>
      <c r="M176" s="1" t="s">
        <v>2618</v>
      </c>
      <c r="N176" s="1" t="s">
        <v>2619</v>
      </c>
      <c r="O176" s="1" t="s">
        <v>42</v>
      </c>
      <c r="Q176" s="1" t="s">
        <v>2346</v>
      </c>
      <c r="R176" s="1" t="s">
        <v>2353</v>
      </c>
      <c r="S176" s="1" t="s">
        <v>2354</v>
      </c>
      <c r="T176" s="49">
        <v>5870129.8700000001</v>
      </c>
      <c r="U176" s="20">
        <v>0</v>
      </c>
      <c r="V176" s="20">
        <v>0</v>
      </c>
      <c r="W176" s="20">
        <v>0</v>
      </c>
      <c r="X176" s="20">
        <v>0</v>
      </c>
      <c r="Y176" s="20">
        <v>0</v>
      </c>
      <c r="Z176" s="20">
        <v>703796.1872388511</v>
      </c>
      <c r="AA176" s="20">
        <v>92628.51</v>
      </c>
      <c r="AB176" s="20">
        <v>93801.72</v>
      </c>
      <c r="AC176" s="20">
        <v>1847140.45</v>
      </c>
      <c r="AD176" s="20">
        <v>1806451.81</v>
      </c>
      <c r="AE176" s="20">
        <v>0</v>
      </c>
      <c r="AF176" s="20">
        <v>0</v>
      </c>
      <c r="AG176" s="51">
        <f t="shared" si="9"/>
        <v>1326311.1927611483</v>
      </c>
      <c r="AH176" s="20">
        <v>0</v>
      </c>
      <c r="AI176" s="20">
        <v>0</v>
      </c>
      <c r="AJ176" s="20">
        <v>0</v>
      </c>
      <c r="AK176" s="20">
        <f t="shared" si="7"/>
        <v>0</v>
      </c>
      <c r="AL176" s="26">
        <f t="shared" si="8"/>
        <v>0</v>
      </c>
    </row>
    <row r="177" spans="1:39" x14ac:dyDescent="0.3">
      <c r="A177" s="1">
        <v>168</v>
      </c>
      <c r="B177" s="1" t="s">
        <v>114</v>
      </c>
      <c r="C177" s="1" t="s">
        <v>2347</v>
      </c>
      <c r="D177" s="1" t="s">
        <v>2344</v>
      </c>
      <c r="F177" s="1" t="s">
        <v>2375</v>
      </c>
      <c r="H177" s="1" t="s">
        <v>2674</v>
      </c>
      <c r="I177" s="3" t="s">
        <v>30</v>
      </c>
      <c r="J177" s="1" t="s">
        <v>2345</v>
      </c>
      <c r="K177" s="1" t="s">
        <v>2675</v>
      </c>
      <c r="L177" s="1" t="s">
        <v>2675</v>
      </c>
      <c r="M177" s="1" t="s">
        <v>2618</v>
      </c>
      <c r="N177" s="1" t="s">
        <v>2619</v>
      </c>
      <c r="O177" s="1" t="s">
        <v>42</v>
      </c>
      <c r="Q177" s="1" t="s">
        <v>2346</v>
      </c>
      <c r="R177" s="1" t="s">
        <v>2353</v>
      </c>
      <c r="S177" s="1" t="s">
        <v>2354</v>
      </c>
      <c r="T177" s="49">
        <v>5870129.8700000001</v>
      </c>
      <c r="U177" s="20">
        <v>0</v>
      </c>
      <c r="V177" s="20">
        <v>0</v>
      </c>
      <c r="W177" s="20">
        <v>0</v>
      </c>
      <c r="X177" s="20">
        <v>0</v>
      </c>
      <c r="Y177" s="20">
        <v>0</v>
      </c>
      <c r="Z177" s="20">
        <v>703796.1872388511</v>
      </c>
      <c r="AA177" s="20">
        <v>92628.51</v>
      </c>
      <c r="AB177" s="20">
        <v>93801.72</v>
      </c>
      <c r="AC177" s="20">
        <v>1847140.45</v>
      </c>
      <c r="AD177" s="20">
        <v>1806451.81</v>
      </c>
      <c r="AE177" s="20">
        <v>0</v>
      </c>
      <c r="AF177" s="20">
        <v>0</v>
      </c>
      <c r="AG177" s="51">
        <f t="shared" si="9"/>
        <v>1326311.1927611483</v>
      </c>
      <c r="AH177" s="20">
        <v>0</v>
      </c>
      <c r="AI177" s="20">
        <v>0</v>
      </c>
      <c r="AJ177" s="20">
        <v>0</v>
      </c>
      <c r="AK177" s="20">
        <f t="shared" si="7"/>
        <v>0</v>
      </c>
      <c r="AL177" s="26">
        <f t="shared" si="8"/>
        <v>0</v>
      </c>
    </row>
    <row r="178" spans="1:39" x14ac:dyDescent="0.3">
      <c r="A178" s="1">
        <v>169</v>
      </c>
      <c r="B178" s="1" t="s">
        <v>114</v>
      </c>
      <c r="C178" s="1" t="s">
        <v>2347</v>
      </c>
      <c r="D178" s="1" t="s">
        <v>2344</v>
      </c>
      <c r="F178" s="1" t="s">
        <v>2375</v>
      </c>
      <c r="H178" s="1" t="s">
        <v>2676</v>
      </c>
      <c r="I178" s="3" t="s">
        <v>30</v>
      </c>
      <c r="J178" s="1" t="s">
        <v>2345</v>
      </c>
      <c r="K178" s="1" t="s">
        <v>2677</v>
      </c>
      <c r="L178" s="1" t="s">
        <v>2677</v>
      </c>
      <c r="M178" s="1" t="s">
        <v>2618</v>
      </c>
      <c r="N178" s="1" t="s">
        <v>2619</v>
      </c>
      <c r="O178" s="1" t="s">
        <v>42</v>
      </c>
      <c r="Q178" s="1" t="s">
        <v>2346</v>
      </c>
      <c r="R178" s="1" t="s">
        <v>2353</v>
      </c>
      <c r="S178" s="1" t="s">
        <v>2354</v>
      </c>
      <c r="T178" s="49">
        <v>5870129.8700000001</v>
      </c>
      <c r="U178" s="20">
        <v>0</v>
      </c>
      <c r="V178" s="20">
        <v>0</v>
      </c>
      <c r="W178" s="20">
        <v>0</v>
      </c>
      <c r="X178" s="20">
        <v>0</v>
      </c>
      <c r="Y178" s="20">
        <v>0</v>
      </c>
      <c r="Z178" s="20">
        <v>703796.1872388511</v>
      </c>
      <c r="AA178" s="20">
        <v>92628.51</v>
      </c>
      <c r="AB178" s="20">
        <v>93801.72</v>
      </c>
      <c r="AC178" s="20">
        <v>1847140.45</v>
      </c>
      <c r="AD178" s="20">
        <v>1806451.81</v>
      </c>
      <c r="AE178" s="20">
        <v>0</v>
      </c>
      <c r="AF178" s="20">
        <v>0</v>
      </c>
      <c r="AG178" s="51">
        <f t="shared" si="9"/>
        <v>1326311.1927611483</v>
      </c>
      <c r="AH178" s="20">
        <v>0</v>
      </c>
      <c r="AI178" s="20">
        <v>0</v>
      </c>
      <c r="AJ178" s="20">
        <v>0</v>
      </c>
      <c r="AK178" s="20">
        <f t="shared" si="7"/>
        <v>0</v>
      </c>
      <c r="AL178" s="26">
        <f t="shared" si="8"/>
        <v>0</v>
      </c>
    </row>
    <row r="179" spans="1:39" x14ac:dyDescent="0.3">
      <c r="A179" s="1">
        <v>170</v>
      </c>
      <c r="B179" s="1" t="s">
        <v>114</v>
      </c>
      <c r="C179" s="1" t="s">
        <v>2347</v>
      </c>
      <c r="D179" s="1" t="s">
        <v>2344</v>
      </c>
      <c r="F179" s="1" t="s">
        <v>2375</v>
      </c>
      <c r="H179" s="1" t="s">
        <v>2678</v>
      </c>
      <c r="I179" s="3" t="s">
        <v>30</v>
      </c>
      <c r="J179" s="1" t="s">
        <v>2345</v>
      </c>
      <c r="K179" s="1" t="s">
        <v>2679</v>
      </c>
      <c r="L179" s="1" t="s">
        <v>2679</v>
      </c>
      <c r="M179" s="1" t="s">
        <v>2618</v>
      </c>
      <c r="N179" s="1" t="s">
        <v>2619</v>
      </c>
      <c r="O179" s="1" t="s">
        <v>42</v>
      </c>
      <c r="Q179" s="1" t="s">
        <v>2346</v>
      </c>
      <c r="R179" s="1" t="s">
        <v>2353</v>
      </c>
      <c r="S179" s="1" t="s">
        <v>2354</v>
      </c>
      <c r="T179" s="49">
        <v>5870129.8700000001</v>
      </c>
      <c r="U179" s="20">
        <v>0</v>
      </c>
      <c r="V179" s="20">
        <v>0</v>
      </c>
      <c r="W179" s="20">
        <v>0</v>
      </c>
      <c r="X179" s="20">
        <v>0</v>
      </c>
      <c r="Y179" s="20">
        <v>0</v>
      </c>
      <c r="Z179" s="20">
        <v>703796.1872388511</v>
      </c>
      <c r="AA179" s="20">
        <v>92628.51</v>
      </c>
      <c r="AB179" s="20">
        <v>93801.72</v>
      </c>
      <c r="AC179" s="20">
        <v>1847140.45</v>
      </c>
      <c r="AD179" s="20">
        <v>1806451.81</v>
      </c>
      <c r="AE179" s="20">
        <v>0</v>
      </c>
      <c r="AF179" s="20">
        <v>0</v>
      </c>
      <c r="AG179" s="51">
        <f t="shared" si="9"/>
        <v>1326311.1927611483</v>
      </c>
      <c r="AH179" s="20">
        <v>0</v>
      </c>
      <c r="AI179" s="20">
        <v>0</v>
      </c>
      <c r="AJ179" s="20">
        <v>0</v>
      </c>
      <c r="AK179" s="20">
        <f t="shared" si="7"/>
        <v>0</v>
      </c>
      <c r="AL179" s="26">
        <f t="shared" si="8"/>
        <v>0</v>
      </c>
    </row>
    <row r="180" spans="1:39" x14ac:dyDescent="0.3">
      <c r="A180" s="1">
        <v>171</v>
      </c>
      <c r="B180" s="1" t="s">
        <v>114</v>
      </c>
      <c r="C180" s="1" t="s">
        <v>2347</v>
      </c>
      <c r="D180" s="1" t="s">
        <v>2344</v>
      </c>
      <c r="F180" s="1" t="s">
        <v>2375</v>
      </c>
      <c r="H180" s="1" t="s">
        <v>2680</v>
      </c>
      <c r="I180" s="3" t="s">
        <v>30</v>
      </c>
      <c r="J180" s="1" t="s">
        <v>2345</v>
      </c>
      <c r="K180" s="1" t="s">
        <v>2681</v>
      </c>
      <c r="L180" s="1" t="s">
        <v>2681</v>
      </c>
      <c r="M180" s="1" t="s">
        <v>2618</v>
      </c>
      <c r="N180" s="1" t="s">
        <v>2619</v>
      </c>
      <c r="O180" s="1" t="s">
        <v>42</v>
      </c>
      <c r="Q180" s="1" t="s">
        <v>2346</v>
      </c>
      <c r="R180" s="1" t="s">
        <v>2353</v>
      </c>
      <c r="S180" s="1" t="s">
        <v>2354</v>
      </c>
      <c r="T180" s="49">
        <v>5870129.8700000001</v>
      </c>
      <c r="U180" s="20">
        <v>0</v>
      </c>
      <c r="V180" s="20">
        <v>0</v>
      </c>
      <c r="W180" s="20">
        <v>0</v>
      </c>
      <c r="X180" s="20">
        <v>0</v>
      </c>
      <c r="Y180" s="20">
        <v>0</v>
      </c>
      <c r="Z180" s="20">
        <v>703796.1872388511</v>
      </c>
      <c r="AA180" s="20">
        <v>92628.51</v>
      </c>
      <c r="AB180" s="20">
        <v>93801.72</v>
      </c>
      <c r="AC180" s="20">
        <v>1847140.45</v>
      </c>
      <c r="AD180" s="20">
        <v>1806451.81</v>
      </c>
      <c r="AE180" s="20">
        <v>0</v>
      </c>
      <c r="AF180" s="20">
        <v>0</v>
      </c>
      <c r="AG180" s="51">
        <f t="shared" si="9"/>
        <v>1326311.1927611483</v>
      </c>
      <c r="AH180" s="20">
        <v>0</v>
      </c>
      <c r="AI180" s="20">
        <v>0</v>
      </c>
      <c r="AJ180" s="20">
        <v>0</v>
      </c>
      <c r="AK180" s="20">
        <f t="shared" si="7"/>
        <v>0</v>
      </c>
      <c r="AL180" s="26">
        <f t="shared" si="8"/>
        <v>0</v>
      </c>
    </row>
    <row r="181" spans="1:39" x14ac:dyDescent="0.3">
      <c r="A181" s="1">
        <v>172</v>
      </c>
      <c r="B181" s="1" t="s">
        <v>114</v>
      </c>
      <c r="C181" s="1" t="s">
        <v>2347</v>
      </c>
      <c r="D181" s="1" t="s">
        <v>2344</v>
      </c>
      <c r="F181" s="1" t="s">
        <v>2375</v>
      </c>
      <c r="H181" s="1" t="s">
        <v>2682</v>
      </c>
      <c r="I181" s="3" t="s">
        <v>30</v>
      </c>
      <c r="J181" s="1" t="s">
        <v>2345</v>
      </c>
      <c r="K181" s="1" t="s">
        <v>2683</v>
      </c>
      <c r="L181" s="1" t="s">
        <v>2683</v>
      </c>
      <c r="M181" s="1" t="s">
        <v>2618</v>
      </c>
      <c r="N181" s="1" t="s">
        <v>2619</v>
      </c>
      <c r="O181" s="1" t="s">
        <v>42</v>
      </c>
      <c r="Q181" s="1" t="s">
        <v>2346</v>
      </c>
      <c r="R181" s="1" t="s">
        <v>2353</v>
      </c>
      <c r="S181" s="1" t="s">
        <v>2354</v>
      </c>
      <c r="T181" s="49">
        <v>5870129.8700000001</v>
      </c>
      <c r="U181" s="20">
        <v>0</v>
      </c>
      <c r="V181" s="20">
        <v>0</v>
      </c>
      <c r="W181" s="20">
        <v>0</v>
      </c>
      <c r="X181" s="20">
        <v>0</v>
      </c>
      <c r="Y181" s="20">
        <v>0</v>
      </c>
      <c r="Z181" s="20">
        <v>703796.1872388511</v>
      </c>
      <c r="AA181" s="20">
        <v>92628.51</v>
      </c>
      <c r="AB181" s="20">
        <v>93801.72</v>
      </c>
      <c r="AC181" s="20">
        <v>1847140.45</v>
      </c>
      <c r="AD181" s="20">
        <v>1806451.81</v>
      </c>
      <c r="AE181" s="20">
        <v>0</v>
      </c>
      <c r="AF181" s="20">
        <v>0</v>
      </c>
      <c r="AG181" s="51">
        <f t="shared" si="9"/>
        <v>1326311.1927611483</v>
      </c>
      <c r="AH181" s="20">
        <v>0</v>
      </c>
      <c r="AI181" s="20">
        <v>0</v>
      </c>
      <c r="AJ181" s="20">
        <v>0</v>
      </c>
      <c r="AK181" s="20">
        <f t="shared" si="7"/>
        <v>0</v>
      </c>
      <c r="AL181" s="26">
        <f t="shared" si="8"/>
        <v>0</v>
      </c>
    </row>
    <row r="182" spans="1:39" x14ac:dyDescent="0.3">
      <c r="A182" s="1">
        <v>173</v>
      </c>
      <c r="B182" s="1" t="s">
        <v>114</v>
      </c>
      <c r="C182" s="1" t="s">
        <v>2347</v>
      </c>
      <c r="D182" s="1" t="s">
        <v>2344</v>
      </c>
      <c r="F182" s="1" t="s">
        <v>2375</v>
      </c>
      <c r="H182" s="1" t="s">
        <v>2684</v>
      </c>
      <c r="I182" s="3" t="s">
        <v>30</v>
      </c>
      <c r="J182" s="1" t="s">
        <v>2345</v>
      </c>
      <c r="K182" s="1" t="s">
        <v>2685</v>
      </c>
      <c r="L182" s="1" t="s">
        <v>2685</v>
      </c>
      <c r="M182" s="1" t="s">
        <v>2618</v>
      </c>
      <c r="N182" s="1" t="s">
        <v>2619</v>
      </c>
      <c r="O182" s="1" t="s">
        <v>42</v>
      </c>
      <c r="Q182" s="1" t="s">
        <v>2346</v>
      </c>
      <c r="R182" s="1" t="s">
        <v>2353</v>
      </c>
      <c r="S182" s="1" t="s">
        <v>2354</v>
      </c>
      <c r="T182" s="49">
        <v>5870129.8700000001</v>
      </c>
      <c r="U182" s="20">
        <v>0</v>
      </c>
      <c r="V182" s="20">
        <v>0</v>
      </c>
      <c r="W182" s="20">
        <v>0</v>
      </c>
      <c r="X182" s="20">
        <v>0</v>
      </c>
      <c r="Y182" s="20">
        <v>0</v>
      </c>
      <c r="Z182" s="20">
        <v>703796.1872388511</v>
      </c>
      <c r="AA182" s="20">
        <v>92628.51</v>
      </c>
      <c r="AB182" s="20">
        <v>93801.72</v>
      </c>
      <c r="AC182" s="20">
        <v>1847140.45</v>
      </c>
      <c r="AD182" s="20">
        <v>1806451.81</v>
      </c>
      <c r="AE182" s="20">
        <v>0</v>
      </c>
      <c r="AF182" s="20">
        <v>0</v>
      </c>
      <c r="AG182" s="51">
        <f t="shared" si="9"/>
        <v>1326311.1927611483</v>
      </c>
      <c r="AH182" s="20">
        <v>0</v>
      </c>
      <c r="AI182" s="20">
        <v>0</v>
      </c>
      <c r="AJ182" s="20">
        <v>0</v>
      </c>
      <c r="AK182" s="20">
        <f t="shared" si="7"/>
        <v>0</v>
      </c>
      <c r="AL182" s="26">
        <f t="shared" si="8"/>
        <v>0</v>
      </c>
    </row>
    <row r="183" spans="1:39" x14ac:dyDescent="0.3">
      <c r="A183" s="1">
        <v>174</v>
      </c>
      <c r="B183" s="1" t="s">
        <v>114</v>
      </c>
      <c r="C183" s="1" t="s">
        <v>2347</v>
      </c>
      <c r="D183" s="1" t="s">
        <v>2344</v>
      </c>
      <c r="F183" s="1" t="s">
        <v>2375</v>
      </c>
      <c r="H183" s="1" t="s">
        <v>2686</v>
      </c>
      <c r="I183" s="3" t="s">
        <v>30</v>
      </c>
      <c r="J183" s="1" t="s">
        <v>2345</v>
      </c>
      <c r="K183" s="1" t="s">
        <v>2687</v>
      </c>
      <c r="L183" s="1" t="s">
        <v>2687</v>
      </c>
      <c r="M183" s="1" t="s">
        <v>2618</v>
      </c>
      <c r="N183" s="1" t="s">
        <v>2619</v>
      </c>
      <c r="O183" s="1" t="s">
        <v>42</v>
      </c>
      <c r="Q183" s="1" t="s">
        <v>2346</v>
      </c>
      <c r="R183" s="1" t="s">
        <v>2353</v>
      </c>
      <c r="S183" s="1" t="s">
        <v>2354</v>
      </c>
      <c r="T183" s="49">
        <v>5870129.8700000001</v>
      </c>
      <c r="U183" s="20">
        <v>0</v>
      </c>
      <c r="V183" s="20">
        <v>0</v>
      </c>
      <c r="W183" s="20">
        <v>0</v>
      </c>
      <c r="X183" s="20">
        <v>0</v>
      </c>
      <c r="Y183" s="20">
        <v>0</v>
      </c>
      <c r="Z183" s="20">
        <v>703796.1872388511</v>
      </c>
      <c r="AA183" s="20">
        <v>92628.51</v>
      </c>
      <c r="AB183" s="20">
        <v>93801.72</v>
      </c>
      <c r="AC183" s="20">
        <v>1847140.45</v>
      </c>
      <c r="AD183" s="20">
        <v>1806451.81</v>
      </c>
      <c r="AE183" s="20">
        <v>0</v>
      </c>
      <c r="AF183" s="20">
        <v>0</v>
      </c>
      <c r="AG183" s="51">
        <f t="shared" si="9"/>
        <v>1326311.1927611483</v>
      </c>
      <c r="AH183" s="20">
        <v>0</v>
      </c>
      <c r="AI183" s="20">
        <v>0</v>
      </c>
      <c r="AJ183" s="20">
        <v>0</v>
      </c>
      <c r="AK183" s="20">
        <f t="shared" si="7"/>
        <v>0</v>
      </c>
      <c r="AL183" s="26">
        <f t="shared" si="8"/>
        <v>0</v>
      </c>
    </row>
    <row r="184" spans="1:39" x14ac:dyDescent="0.3">
      <c r="A184" s="1">
        <v>175</v>
      </c>
      <c r="B184" s="1" t="s">
        <v>114</v>
      </c>
      <c r="C184" s="1" t="s">
        <v>2347</v>
      </c>
      <c r="D184" s="1" t="s">
        <v>2344</v>
      </c>
      <c r="F184" s="1" t="s">
        <v>2375</v>
      </c>
      <c r="H184" s="1" t="s">
        <v>2688</v>
      </c>
      <c r="I184" s="3" t="s">
        <v>30</v>
      </c>
      <c r="J184" s="1" t="s">
        <v>2345</v>
      </c>
      <c r="K184" s="1" t="s">
        <v>2689</v>
      </c>
      <c r="L184" s="1" t="s">
        <v>2689</v>
      </c>
      <c r="M184" s="1" t="s">
        <v>2618</v>
      </c>
      <c r="N184" s="1" t="s">
        <v>2619</v>
      </c>
      <c r="O184" s="1" t="s">
        <v>42</v>
      </c>
      <c r="Q184" s="1" t="s">
        <v>2346</v>
      </c>
      <c r="R184" s="1" t="s">
        <v>2353</v>
      </c>
      <c r="S184" s="1" t="s">
        <v>2354</v>
      </c>
      <c r="T184" s="49">
        <v>5870129.8700000001</v>
      </c>
      <c r="U184" s="20">
        <v>0</v>
      </c>
      <c r="V184" s="20">
        <v>0</v>
      </c>
      <c r="W184" s="20">
        <v>0</v>
      </c>
      <c r="X184" s="20">
        <v>0</v>
      </c>
      <c r="Y184" s="20">
        <v>0</v>
      </c>
      <c r="Z184" s="20">
        <v>703796.1872388511</v>
      </c>
      <c r="AA184" s="20">
        <v>92628.51</v>
      </c>
      <c r="AB184" s="20">
        <v>93801.72</v>
      </c>
      <c r="AC184" s="20">
        <v>1847140.45</v>
      </c>
      <c r="AD184" s="20">
        <v>1806451.81</v>
      </c>
      <c r="AE184" s="20">
        <v>0</v>
      </c>
      <c r="AF184" s="20">
        <v>0</v>
      </c>
      <c r="AG184" s="51">
        <f t="shared" si="9"/>
        <v>1326311.1927611483</v>
      </c>
      <c r="AH184" s="20">
        <v>0</v>
      </c>
      <c r="AI184" s="20">
        <v>0</v>
      </c>
      <c r="AJ184" s="20">
        <v>0</v>
      </c>
      <c r="AK184" s="20">
        <f t="shared" si="7"/>
        <v>0</v>
      </c>
      <c r="AL184" s="26">
        <f t="shared" si="8"/>
        <v>0</v>
      </c>
    </row>
    <row r="185" spans="1:39" x14ac:dyDescent="0.3">
      <c r="A185" s="1">
        <v>176</v>
      </c>
      <c r="B185" s="1" t="s">
        <v>114</v>
      </c>
      <c r="C185" s="1" t="s">
        <v>2347</v>
      </c>
      <c r="D185" s="1" t="s">
        <v>2344</v>
      </c>
      <c r="F185" s="1" t="s">
        <v>2375</v>
      </c>
      <c r="H185" s="1" t="s">
        <v>2690</v>
      </c>
      <c r="I185" s="3" t="s">
        <v>30</v>
      </c>
      <c r="J185" s="1" t="s">
        <v>2345</v>
      </c>
      <c r="K185" s="1" t="s">
        <v>2691</v>
      </c>
      <c r="M185" s="1" t="s">
        <v>2618</v>
      </c>
      <c r="N185" s="1" t="s">
        <v>2619</v>
      </c>
      <c r="O185" s="1" t="s">
        <v>42</v>
      </c>
      <c r="Q185" s="1" t="s">
        <v>2346</v>
      </c>
      <c r="R185" s="1" t="s">
        <v>2353</v>
      </c>
      <c r="S185" s="1" t="s">
        <v>2354</v>
      </c>
      <c r="T185" s="49">
        <v>5870129.8700000001</v>
      </c>
      <c r="U185" s="20">
        <v>0</v>
      </c>
      <c r="V185" s="20">
        <v>0</v>
      </c>
      <c r="W185" s="20">
        <v>0</v>
      </c>
      <c r="X185" s="20">
        <v>0</v>
      </c>
      <c r="Y185" s="20">
        <v>0</v>
      </c>
      <c r="Z185" s="20">
        <v>703796.1872388511</v>
      </c>
      <c r="AA185" s="20">
        <v>92628.51</v>
      </c>
      <c r="AB185" s="20">
        <v>93801.72</v>
      </c>
      <c r="AC185" s="20">
        <v>1847140.45</v>
      </c>
      <c r="AD185" s="20">
        <v>1806451.81</v>
      </c>
      <c r="AE185" s="20">
        <v>0</v>
      </c>
      <c r="AF185" s="20">
        <v>0</v>
      </c>
      <c r="AG185" s="51">
        <f t="shared" si="9"/>
        <v>1326311.1927611483</v>
      </c>
      <c r="AH185" s="20">
        <v>0</v>
      </c>
      <c r="AI185" s="20">
        <v>0</v>
      </c>
      <c r="AJ185" s="20">
        <v>0</v>
      </c>
      <c r="AK185" s="20">
        <f t="shared" si="7"/>
        <v>0</v>
      </c>
      <c r="AL185" s="26">
        <f t="shared" si="8"/>
        <v>0</v>
      </c>
    </row>
    <row r="186" spans="1:39" x14ac:dyDescent="0.3">
      <c r="A186" s="1">
        <v>177</v>
      </c>
      <c r="B186" s="1" t="s">
        <v>114</v>
      </c>
      <c r="C186" s="1" t="s">
        <v>2347</v>
      </c>
      <c r="D186" s="1" t="s">
        <v>2344</v>
      </c>
      <c r="F186" s="1" t="s">
        <v>2375</v>
      </c>
      <c r="H186" s="1" t="s">
        <v>2692</v>
      </c>
      <c r="I186" s="3" t="s">
        <v>30</v>
      </c>
      <c r="J186" s="1" t="s">
        <v>2345</v>
      </c>
      <c r="K186" s="1" t="s">
        <v>2693</v>
      </c>
      <c r="L186" s="1" t="s">
        <v>2694</v>
      </c>
      <c r="M186" s="1" t="s">
        <v>2618</v>
      </c>
      <c r="N186" s="1" t="s">
        <v>2619</v>
      </c>
      <c r="O186" s="1" t="s">
        <v>42</v>
      </c>
      <c r="Q186" s="1" t="s">
        <v>2346</v>
      </c>
      <c r="R186" s="1" t="s">
        <v>2353</v>
      </c>
      <c r="S186" s="1" t="s">
        <v>2354</v>
      </c>
      <c r="T186" s="49">
        <v>5870129.8700000001</v>
      </c>
      <c r="U186" s="20">
        <v>0</v>
      </c>
      <c r="V186" s="20">
        <v>0</v>
      </c>
      <c r="W186" s="20">
        <v>0</v>
      </c>
      <c r="X186" s="20">
        <v>0</v>
      </c>
      <c r="Y186" s="20">
        <v>0</v>
      </c>
      <c r="Z186" s="20">
        <v>703796.1872388511</v>
      </c>
      <c r="AA186" s="20">
        <v>92628.51</v>
      </c>
      <c r="AB186" s="20">
        <v>93801.72</v>
      </c>
      <c r="AC186" s="20">
        <v>1847140.45</v>
      </c>
      <c r="AD186" s="20">
        <v>1806451.81</v>
      </c>
      <c r="AE186" s="20">
        <v>0</v>
      </c>
      <c r="AF186" s="20">
        <v>0</v>
      </c>
      <c r="AG186" s="51">
        <f t="shared" si="9"/>
        <v>1326311.1927611483</v>
      </c>
      <c r="AH186" s="20">
        <v>0</v>
      </c>
      <c r="AI186" s="20">
        <v>0</v>
      </c>
      <c r="AJ186" s="20">
        <v>0</v>
      </c>
      <c r="AK186" s="20">
        <f t="shared" si="7"/>
        <v>0</v>
      </c>
      <c r="AL186" s="26">
        <f t="shared" si="8"/>
        <v>0</v>
      </c>
    </row>
    <row r="187" spans="1:39" x14ac:dyDescent="0.3">
      <c r="A187" s="1">
        <v>178</v>
      </c>
      <c r="B187" s="1" t="s">
        <v>114</v>
      </c>
      <c r="C187" s="1" t="s">
        <v>2347</v>
      </c>
      <c r="D187" s="1" t="s">
        <v>2344</v>
      </c>
      <c r="E187" s="1" t="s">
        <v>1137</v>
      </c>
      <c r="F187" s="1" t="s">
        <v>2615</v>
      </c>
      <c r="H187" s="1" t="s">
        <v>2695</v>
      </c>
      <c r="I187" s="3" t="s">
        <v>30</v>
      </c>
      <c r="J187" s="1" t="s">
        <v>2345</v>
      </c>
      <c r="K187" s="1" t="s">
        <v>2696</v>
      </c>
      <c r="M187" s="1" t="s">
        <v>2697</v>
      </c>
      <c r="N187" s="1" t="s">
        <v>2698</v>
      </c>
      <c r="O187" s="1" t="s">
        <v>42</v>
      </c>
      <c r="Q187" s="1" t="s">
        <v>2346</v>
      </c>
      <c r="R187" s="1" t="s">
        <v>2353</v>
      </c>
      <c r="S187" s="1" t="s">
        <v>2354</v>
      </c>
      <c r="T187" s="49">
        <v>10000000</v>
      </c>
      <c r="U187" s="20">
        <v>0</v>
      </c>
      <c r="V187" s="20">
        <v>0</v>
      </c>
      <c r="W187" s="20">
        <v>0</v>
      </c>
      <c r="X187" s="20">
        <v>0</v>
      </c>
      <c r="Y187" s="20">
        <v>0</v>
      </c>
      <c r="Z187" s="20">
        <v>125035.58</v>
      </c>
      <c r="AA187" s="20">
        <v>157796.35999999999</v>
      </c>
      <c r="AB187" s="20">
        <v>159794.97</v>
      </c>
      <c r="AC187" s="20">
        <v>1443137.49</v>
      </c>
      <c r="AD187" s="20">
        <v>1373822.78</v>
      </c>
      <c r="AE187" s="20">
        <v>0</v>
      </c>
      <c r="AF187" s="20">
        <v>0</v>
      </c>
      <c r="AG187" s="51">
        <f t="shared" si="9"/>
        <v>6740412.8200000003</v>
      </c>
      <c r="AH187" s="20">
        <v>0</v>
      </c>
      <c r="AI187" s="20">
        <v>0</v>
      </c>
      <c r="AJ187" s="20">
        <v>0</v>
      </c>
      <c r="AK187" s="20">
        <f t="shared" si="7"/>
        <v>0</v>
      </c>
      <c r="AL187" s="26">
        <f t="shared" si="8"/>
        <v>0</v>
      </c>
    </row>
    <row r="188" spans="1:39" x14ac:dyDescent="0.3">
      <c r="A188" s="1">
        <v>179</v>
      </c>
      <c r="B188" s="1" t="s">
        <v>114</v>
      </c>
      <c r="C188" s="1" t="s">
        <v>2347</v>
      </c>
      <c r="D188" s="1" t="s">
        <v>2344</v>
      </c>
      <c r="E188" s="1" t="s">
        <v>1137</v>
      </c>
      <c r="F188" s="1" t="s">
        <v>2615</v>
      </c>
      <c r="H188" s="1" t="s">
        <v>2699</v>
      </c>
      <c r="I188" s="3" t="s">
        <v>30</v>
      </c>
      <c r="J188" s="1" t="s">
        <v>2345</v>
      </c>
      <c r="K188" s="1" t="s">
        <v>2700</v>
      </c>
      <c r="M188" s="1" t="s">
        <v>2697</v>
      </c>
      <c r="N188" s="1" t="s">
        <v>2698</v>
      </c>
      <c r="O188" s="1" t="s">
        <v>42</v>
      </c>
      <c r="Q188" s="1" t="s">
        <v>2346</v>
      </c>
      <c r="R188" s="1" t="s">
        <v>2353</v>
      </c>
      <c r="S188" s="1" t="s">
        <v>2354</v>
      </c>
      <c r="T188" s="49">
        <v>10000000</v>
      </c>
      <c r="U188" s="20">
        <v>0</v>
      </c>
      <c r="V188" s="20">
        <v>0</v>
      </c>
      <c r="W188" s="20">
        <v>0</v>
      </c>
      <c r="X188" s="20">
        <v>0</v>
      </c>
      <c r="Y188" s="20">
        <v>0</v>
      </c>
      <c r="Z188" s="20">
        <v>125035.58</v>
      </c>
      <c r="AA188" s="20">
        <v>157796.35999999999</v>
      </c>
      <c r="AB188" s="20">
        <v>159794.97</v>
      </c>
      <c r="AC188" s="20">
        <v>1443137.49</v>
      </c>
      <c r="AD188" s="20">
        <v>1373822.78</v>
      </c>
      <c r="AE188" s="20">
        <v>0</v>
      </c>
      <c r="AF188" s="20">
        <v>0</v>
      </c>
      <c r="AG188" s="51">
        <f t="shared" si="9"/>
        <v>6740412.8200000003</v>
      </c>
      <c r="AH188" s="20">
        <v>0</v>
      </c>
      <c r="AI188" s="20">
        <v>0</v>
      </c>
      <c r="AJ188" s="20">
        <v>0</v>
      </c>
      <c r="AK188" s="20">
        <f t="shared" ref="AK188:AK251" si="10">IFERROR(SUM(AH188:AJ188)/COUNTIFS(AH188:AJ188,"&lt;&gt;0"),0)</f>
        <v>0</v>
      </c>
      <c r="AL188" s="26">
        <f t="shared" ref="AL188:AL251" si="11">IFERROR((T188/AK188)-100%,0)</f>
        <v>0</v>
      </c>
    </row>
    <row r="189" spans="1:39" x14ac:dyDescent="0.3">
      <c r="A189" s="1">
        <v>180</v>
      </c>
      <c r="B189" s="1" t="s">
        <v>114</v>
      </c>
      <c r="C189" s="1" t="s">
        <v>2347</v>
      </c>
      <c r="D189" s="1" t="s">
        <v>2344</v>
      </c>
      <c r="E189" s="1" t="s">
        <v>714</v>
      </c>
      <c r="F189" s="1" t="s">
        <v>2539</v>
      </c>
      <c r="H189" s="1" t="s">
        <v>2701</v>
      </c>
      <c r="I189" s="3" t="s">
        <v>30</v>
      </c>
      <c r="J189" s="1" t="s">
        <v>2345</v>
      </c>
      <c r="K189" s="1" t="s">
        <v>720</v>
      </c>
      <c r="L189" s="1" t="s">
        <v>2636</v>
      </c>
      <c r="M189" s="1" t="s">
        <v>2697</v>
      </c>
      <c r="N189" s="1" t="s">
        <v>2698</v>
      </c>
      <c r="O189" s="1" t="s">
        <v>42</v>
      </c>
      <c r="Q189" s="1" t="s">
        <v>2346</v>
      </c>
      <c r="R189" s="1" t="s">
        <v>2353</v>
      </c>
      <c r="S189" s="1" t="s">
        <v>2354</v>
      </c>
      <c r="T189" s="49">
        <v>5911142.9000000004</v>
      </c>
      <c r="U189" s="20">
        <v>0</v>
      </c>
      <c r="V189" s="20">
        <v>0</v>
      </c>
      <c r="W189" s="20">
        <v>0</v>
      </c>
      <c r="X189" s="20">
        <v>0</v>
      </c>
      <c r="Y189" s="20">
        <v>0</v>
      </c>
      <c r="Z189" s="20">
        <v>73910.320000000007</v>
      </c>
      <c r="AA189" s="20">
        <v>93275.69</v>
      </c>
      <c r="AB189" s="20">
        <v>94457.09</v>
      </c>
      <c r="AC189" s="20">
        <v>853059.19</v>
      </c>
      <c r="AD189" s="20">
        <v>812086.28</v>
      </c>
      <c r="AE189" s="20">
        <v>0</v>
      </c>
      <c r="AF189" s="20">
        <v>0</v>
      </c>
      <c r="AG189" s="51">
        <f t="shared" si="9"/>
        <v>3984354.33</v>
      </c>
      <c r="AH189" s="20">
        <v>1953912</v>
      </c>
      <c r="AI189" s="20">
        <v>822864</v>
      </c>
      <c r="AJ189" s="20">
        <v>462120</v>
      </c>
      <c r="AK189" s="20">
        <f t="shared" si="10"/>
        <v>1079632</v>
      </c>
      <c r="AL189" s="26">
        <f t="shared" si="11"/>
        <v>4.475146068289936</v>
      </c>
      <c r="AM189" s="1" t="s">
        <v>3020</v>
      </c>
    </row>
    <row r="190" spans="1:39" x14ac:dyDescent="0.3">
      <c r="A190" s="1">
        <v>181</v>
      </c>
      <c r="B190" s="1" t="s">
        <v>114</v>
      </c>
      <c r="C190" s="1" t="s">
        <v>2347</v>
      </c>
      <c r="D190" s="1" t="s">
        <v>2344</v>
      </c>
      <c r="E190" s="1" t="s">
        <v>714</v>
      </c>
      <c r="F190" s="1" t="s">
        <v>2539</v>
      </c>
      <c r="H190" s="1" t="s">
        <v>2702</v>
      </c>
      <c r="I190" s="3" t="s">
        <v>30</v>
      </c>
      <c r="J190" s="1" t="s">
        <v>2345</v>
      </c>
      <c r="K190" s="1" t="s">
        <v>722</v>
      </c>
      <c r="L190" s="1" t="s">
        <v>2636</v>
      </c>
      <c r="M190" s="1" t="s">
        <v>2697</v>
      </c>
      <c r="N190" s="1" t="s">
        <v>2698</v>
      </c>
      <c r="O190" s="1" t="s">
        <v>42</v>
      </c>
      <c r="Q190" s="1" t="s">
        <v>2346</v>
      </c>
      <c r="R190" s="1" t="s">
        <v>2353</v>
      </c>
      <c r="S190" s="1" t="s">
        <v>2354</v>
      </c>
      <c r="T190" s="49">
        <v>8479377.5299999993</v>
      </c>
      <c r="U190" s="20">
        <v>0</v>
      </c>
      <c r="V190" s="20">
        <v>0</v>
      </c>
      <c r="W190" s="20">
        <v>0</v>
      </c>
      <c r="X190" s="20">
        <v>0</v>
      </c>
      <c r="Y190" s="20">
        <v>0</v>
      </c>
      <c r="Z190" s="20">
        <v>106022.39</v>
      </c>
      <c r="AA190" s="20">
        <v>133801.49</v>
      </c>
      <c r="AB190" s="20">
        <v>135496.19</v>
      </c>
      <c r="AC190" s="20">
        <v>1223690.76</v>
      </c>
      <c r="AD190" s="20">
        <v>1164916.2</v>
      </c>
      <c r="AE190" s="20">
        <v>0</v>
      </c>
      <c r="AF190" s="20">
        <v>0</v>
      </c>
      <c r="AG190" s="51">
        <f t="shared" si="9"/>
        <v>5715450.4999999991</v>
      </c>
      <c r="AH190" s="20">
        <v>2757108</v>
      </c>
      <c r="AI190" s="20">
        <v>4791524</v>
      </c>
      <c r="AJ190" s="20">
        <v>2159808</v>
      </c>
      <c r="AK190" s="20">
        <f t="shared" si="10"/>
        <v>3236146.6666666665</v>
      </c>
      <c r="AL190" s="26">
        <f t="shared" si="11"/>
        <v>1.6202080447528129</v>
      </c>
      <c r="AM190" s="1" t="s">
        <v>3020</v>
      </c>
    </row>
    <row r="191" spans="1:39" x14ac:dyDescent="0.3">
      <c r="A191" s="1">
        <v>182</v>
      </c>
      <c r="B191" s="1" t="s">
        <v>114</v>
      </c>
      <c r="C191" s="1" t="s">
        <v>2347</v>
      </c>
      <c r="D191" s="1" t="s">
        <v>2344</v>
      </c>
      <c r="E191" s="1" t="s">
        <v>714</v>
      </c>
      <c r="F191" s="1" t="s">
        <v>2539</v>
      </c>
      <c r="H191" s="1" t="s">
        <v>2703</v>
      </c>
      <c r="I191" s="3" t="s">
        <v>30</v>
      </c>
      <c r="J191" s="1" t="s">
        <v>2345</v>
      </c>
      <c r="K191" s="1" t="s">
        <v>718</v>
      </c>
      <c r="L191" s="1" t="s">
        <v>2636</v>
      </c>
      <c r="M191" s="1" t="s">
        <v>2697</v>
      </c>
      <c r="N191" s="1" t="s">
        <v>2698</v>
      </c>
      <c r="O191" s="1" t="s">
        <v>42</v>
      </c>
      <c r="Q191" s="1" t="s">
        <v>2346</v>
      </c>
      <c r="R191" s="1" t="s">
        <v>2353</v>
      </c>
      <c r="S191" s="1" t="s">
        <v>2354</v>
      </c>
      <c r="T191" s="49">
        <v>9871939.0099999998</v>
      </c>
      <c r="U191" s="20">
        <v>0</v>
      </c>
      <c r="V191" s="20">
        <v>0</v>
      </c>
      <c r="W191" s="20">
        <v>0</v>
      </c>
      <c r="X191" s="20">
        <v>0</v>
      </c>
      <c r="Y191" s="20">
        <v>0</v>
      </c>
      <c r="Z191" s="20">
        <v>123434.36</v>
      </c>
      <c r="AA191" s="20">
        <v>155775.60999999999</v>
      </c>
      <c r="AB191" s="20">
        <v>157748.62</v>
      </c>
      <c r="AC191" s="20">
        <v>1424656.53</v>
      </c>
      <c r="AD191" s="20">
        <v>1356229.47</v>
      </c>
      <c r="AE191" s="20">
        <v>0</v>
      </c>
      <c r="AF191" s="20">
        <v>0</v>
      </c>
      <c r="AG191" s="51">
        <f t="shared" si="9"/>
        <v>6654094.4199999999</v>
      </c>
      <c r="AH191" s="20">
        <v>5429960</v>
      </c>
      <c r="AI191" s="20">
        <v>6250840</v>
      </c>
      <c r="AJ191" s="20">
        <v>4639808</v>
      </c>
      <c r="AK191" s="20">
        <f t="shared" si="10"/>
        <v>5440202.666666667</v>
      </c>
      <c r="AL191" s="26">
        <f t="shared" si="11"/>
        <v>0.8146270672023983</v>
      </c>
      <c r="AM191" s="1" t="s">
        <v>3020</v>
      </c>
    </row>
    <row r="192" spans="1:39" x14ac:dyDescent="0.3">
      <c r="A192" s="1">
        <v>183</v>
      </c>
      <c r="B192" s="1" t="s">
        <v>114</v>
      </c>
      <c r="C192" s="1" t="s">
        <v>2347</v>
      </c>
      <c r="D192" s="1" t="s">
        <v>2344</v>
      </c>
      <c r="E192" s="1" t="s">
        <v>600</v>
      </c>
      <c r="F192" s="1" t="s">
        <v>573</v>
      </c>
      <c r="G192" s="1" t="s">
        <v>600</v>
      </c>
      <c r="H192" s="1" t="s">
        <v>2704</v>
      </c>
      <c r="I192" s="3" t="s">
        <v>30</v>
      </c>
      <c r="J192" s="1" t="s">
        <v>2345</v>
      </c>
      <c r="K192" s="1" t="s">
        <v>601</v>
      </c>
      <c r="L192" s="1" t="s">
        <v>548</v>
      </c>
      <c r="M192" s="1" t="s">
        <v>2697</v>
      </c>
      <c r="N192" s="1" t="s">
        <v>2698</v>
      </c>
      <c r="O192" s="1" t="s">
        <v>42</v>
      </c>
      <c r="Q192" s="1" t="s">
        <v>2346</v>
      </c>
      <c r="R192" s="1" t="s">
        <v>2353</v>
      </c>
      <c r="S192" s="1" t="s">
        <v>2354</v>
      </c>
      <c r="T192" s="49">
        <v>6890468.2400000002</v>
      </c>
      <c r="U192" s="20">
        <v>0</v>
      </c>
      <c r="V192" s="20">
        <v>0</v>
      </c>
      <c r="W192" s="20">
        <v>0</v>
      </c>
      <c r="X192" s="20">
        <v>0</v>
      </c>
      <c r="Y192" s="20">
        <v>0</v>
      </c>
      <c r="Z192" s="20">
        <v>86155.36</v>
      </c>
      <c r="AA192" s="20">
        <v>108729.09</v>
      </c>
      <c r="AB192" s="20">
        <v>110106.23</v>
      </c>
      <c r="AC192" s="20">
        <v>994389.3</v>
      </c>
      <c r="AD192" s="20">
        <v>946628.23</v>
      </c>
      <c r="AE192" s="20">
        <v>0</v>
      </c>
      <c r="AF192" s="20">
        <v>0</v>
      </c>
      <c r="AG192" s="51">
        <f t="shared" si="9"/>
        <v>4644460.03</v>
      </c>
      <c r="AH192" s="20">
        <v>8405550</v>
      </c>
      <c r="AI192" s="20">
        <v>5081550</v>
      </c>
      <c r="AJ192" s="20">
        <v>6993900</v>
      </c>
      <c r="AK192" s="20">
        <f t="shared" si="10"/>
        <v>6827000</v>
      </c>
      <c r="AL192" s="26">
        <f t="shared" si="11"/>
        <v>9.296651530686928E-3</v>
      </c>
    </row>
    <row r="193" spans="1:39" x14ac:dyDescent="0.3">
      <c r="A193" s="1">
        <v>184</v>
      </c>
      <c r="B193" s="1" t="s">
        <v>114</v>
      </c>
      <c r="C193" s="1" t="s">
        <v>2347</v>
      </c>
      <c r="D193" s="1" t="s">
        <v>2344</v>
      </c>
      <c r="E193" s="1" t="s">
        <v>593</v>
      </c>
      <c r="F193" s="1" t="s">
        <v>573</v>
      </c>
      <c r="G193" s="1" t="s">
        <v>593</v>
      </c>
      <c r="H193" s="1" t="s">
        <v>2705</v>
      </c>
      <c r="I193" s="3" t="s">
        <v>30</v>
      </c>
      <c r="J193" s="1" t="s">
        <v>2345</v>
      </c>
      <c r="K193" s="1" t="s">
        <v>595</v>
      </c>
      <c r="L193" s="1" t="s">
        <v>548</v>
      </c>
      <c r="M193" s="1" t="s">
        <v>2697</v>
      </c>
      <c r="N193" s="1" t="s">
        <v>2698</v>
      </c>
      <c r="O193" s="1" t="s">
        <v>42</v>
      </c>
      <c r="Q193" s="1" t="s">
        <v>2346</v>
      </c>
      <c r="R193" s="1" t="s">
        <v>2353</v>
      </c>
      <c r="S193" s="1" t="s">
        <v>2354</v>
      </c>
      <c r="T193" s="49">
        <v>6016292.3899999997</v>
      </c>
      <c r="U193" s="20">
        <v>0</v>
      </c>
      <c r="V193" s="20">
        <v>0</v>
      </c>
      <c r="W193" s="20">
        <v>0</v>
      </c>
      <c r="X193" s="20">
        <v>0</v>
      </c>
      <c r="Y193" s="20">
        <v>0</v>
      </c>
      <c r="Z193" s="20">
        <v>75225.05</v>
      </c>
      <c r="AA193" s="20">
        <v>94934.91</v>
      </c>
      <c r="AB193" s="20">
        <v>96137.33</v>
      </c>
      <c r="AC193" s="20">
        <v>868233.71</v>
      </c>
      <c r="AD193" s="20">
        <v>826531.96</v>
      </c>
      <c r="AE193" s="20">
        <v>0</v>
      </c>
      <c r="AF193" s="20">
        <v>0</v>
      </c>
      <c r="AG193" s="51">
        <f t="shared" si="9"/>
        <v>4055229.4299999997</v>
      </c>
      <c r="AH193" s="20">
        <v>6712950</v>
      </c>
      <c r="AI193" s="20">
        <v>4642350</v>
      </c>
      <c r="AJ193" s="20">
        <v>7027200</v>
      </c>
      <c r="AK193" s="20">
        <f t="shared" si="10"/>
        <v>6127500</v>
      </c>
      <c r="AL193" s="26">
        <f t="shared" si="11"/>
        <v>-1.8148936760505996E-2</v>
      </c>
    </row>
    <row r="194" spans="1:39" x14ac:dyDescent="0.3">
      <c r="A194" s="1">
        <v>185</v>
      </c>
      <c r="B194" s="1" t="s">
        <v>114</v>
      </c>
      <c r="C194" s="1" t="s">
        <v>2347</v>
      </c>
      <c r="D194" s="1" t="s">
        <v>2344</v>
      </c>
      <c r="E194" s="1" t="s">
        <v>589</v>
      </c>
      <c r="F194" s="1" t="s">
        <v>573</v>
      </c>
      <c r="G194" s="1" t="s">
        <v>589</v>
      </c>
      <c r="H194" s="1" t="s">
        <v>2706</v>
      </c>
      <c r="I194" s="3" t="s">
        <v>30</v>
      </c>
      <c r="J194" s="1" t="s">
        <v>2345</v>
      </c>
      <c r="K194" s="1" t="s">
        <v>590</v>
      </c>
      <c r="L194" s="1" t="s">
        <v>548</v>
      </c>
      <c r="M194" s="1" t="s">
        <v>2697</v>
      </c>
      <c r="N194" s="1" t="s">
        <v>2698</v>
      </c>
      <c r="O194" s="1" t="s">
        <v>42</v>
      </c>
      <c r="Q194" s="1" t="s">
        <v>2346</v>
      </c>
      <c r="R194" s="1" t="s">
        <v>2353</v>
      </c>
      <c r="S194" s="1" t="s">
        <v>2354</v>
      </c>
      <c r="T194" s="49">
        <v>10760557.98</v>
      </c>
      <c r="U194" s="20">
        <v>0</v>
      </c>
      <c r="V194" s="20">
        <v>0</v>
      </c>
      <c r="W194" s="20">
        <v>0</v>
      </c>
      <c r="X194" s="20">
        <v>0</v>
      </c>
      <c r="Y194" s="20">
        <v>0</v>
      </c>
      <c r="Z194" s="20">
        <v>134545.25</v>
      </c>
      <c r="AA194" s="20">
        <v>169797.71</v>
      </c>
      <c r="AB194" s="20">
        <v>171948.32</v>
      </c>
      <c r="AC194" s="20">
        <v>1552896.46</v>
      </c>
      <c r="AD194" s="20">
        <v>1478309.99</v>
      </c>
      <c r="AE194" s="20">
        <v>0</v>
      </c>
      <c r="AF194" s="20">
        <v>0</v>
      </c>
      <c r="AG194" s="51">
        <f t="shared" si="9"/>
        <v>7253060.25</v>
      </c>
      <c r="AH194" s="20">
        <v>9748250</v>
      </c>
      <c r="AI194" s="20">
        <v>7291650</v>
      </c>
      <c r="AJ194" s="20">
        <v>5694150</v>
      </c>
      <c r="AK194" s="20">
        <f t="shared" si="10"/>
        <v>7578016.666666667</v>
      </c>
      <c r="AL194" s="26">
        <f t="shared" si="11"/>
        <v>0.41997021824092062</v>
      </c>
      <c r="AM194" s="1" t="s">
        <v>3021</v>
      </c>
    </row>
    <row r="195" spans="1:39" x14ac:dyDescent="0.3">
      <c r="A195" s="1">
        <v>186</v>
      </c>
      <c r="B195" s="1" t="s">
        <v>114</v>
      </c>
      <c r="C195" s="1" t="s">
        <v>2347</v>
      </c>
      <c r="D195" s="1" t="s">
        <v>2344</v>
      </c>
      <c r="E195" s="1" t="s">
        <v>604</v>
      </c>
      <c r="F195" s="1" t="s">
        <v>573</v>
      </c>
      <c r="G195" s="1" t="s">
        <v>604</v>
      </c>
      <c r="H195" s="1" t="s">
        <v>2707</v>
      </c>
      <c r="I195" s="3" t="s">
        <v>30</v>
      </c>
      <c r="J195" s="1" t="s">
        <v>2345</v>
      </c>
      <c r="K195" s="1" t="s">
        <v>605</v>
      </c>
      <c r="L195" s="1" t="s">
        <v>548</v>
      </c>
      <c r="M195" s="1" t="s">
        <v>2697</v>
      </c>
      <c r="N195" s="1" t="s">
        <v>2698</v>
      </c>
      <c r="O195" s="1" t="s">
        <v>42</v>
      </c>
      <c r="Q195" s="1" t="s">
        <v>2346</v>
      </c>
      <c r="R195" s="1" t="s">
        <v>2353</v>
      </c>
      <c r="S195" s="1" t="s">
        <v>2354</v>
      </c>
      <c r="T195" s="49">
        <v>5855111.0599999996</v>
      </c>
      <c r="U195" s="20">
        <v>0</v>
      </c>
      <c r="V195" s="20">
        <v>0</v>
      </c>
      <c r="W195" s="20">
        <v>0</v>
      </c>
      <c r="X195" s="20">
        <v>0</v>
      </c>
      <c r="Y195" s="20">
        <v>0</v>
      </c>
      <c r="Z195" s="20">
        <v>73209.710000000006</v>
      </c>
      <c r="AA195" s="20">
        <v>92391.53</v>
      </c>
      <c r="AB195" s="20">
        <v>93561.74</v>
      </c>
      <c r="AC195" s="20">
        <v>844973.03</v>
      </c>
      <c r="AD195" s="20">
        <v>804388.51</v>
      </c>
      <c r="AE195" s="20">
        <v>0</v>
      </c>
      <c r="AF195" s="20">
        <v>0</v>
      </c>
      <c r="AG195" s="51">
        <f t="shared" si="9"/>
        <v>3946586.5399999996</v>
      </c>
      <c r="AH195" s="20">
        <v>7049350</v>
      </c>
      <c r="AI195" s="20">
        <v>3969000</v>
      </c>
      <c r="AJ195" s="20">
        <v>6516000</v>
      </c>
      <c r="AK195" s="20">
        <f t="shared" si="10"/>
        <v>5844783.333333333</v>
      </c>
      <c r="AL195" s="26">
        <f t="shared" si="11"/>
        <v>1.7669990618414122E-3</v>
      </c>
    </row>
    <row r="196" spans="1:39" x14ac:dyDescent="0.3">
      <c r="A196" s="1">
        <v>187</v>
      </c>
      <c r="B196" s="1" t="s">
        <v>114</v>
      </c>
      <c r="C196" s="1" t="s">
        <v>2347</v>
      </c>
      <c r="D196" s="1" t="s">
        <v>2344</v>
      </c>
      <c r="E196" s="1" t="s">
        <v>632</v>
      </c>
      <c r="F196" s="1" t="s">
        <v>573</v>
      </c>
      <c r="G196" s="1" t="s">
        <v>632</v>
      </c>
      <c r="H196" s="1" t="s">
        <v>2708</v>
      </c>
      <c r="I196" s="3" t="s">
        <v>30</v>
      </c>
      <c r="J196" s="1" t="s">
        <v>2345</v>
      </c>
      <c r="K196" s="1" t="s">
        <v>634</v>
      </c>
      <c r="L196" s="1" t="s">
        <v>548</v>
      </c>
      <c r="M196" s="1" t="s">
        <v>2697</v>
      </c>
      <c r="N196" s="1" t="s">
        <v>2698</v>
      </c>
      <c r="O196" s="1" t="s">
        <v>42</v>
      </c>
      <c r="Q196" s="1" t="s">
        <v>2346</v>
      </c>
      <c r="R196" s="1" t="s">
        <v>2353</v>
      </c>
      <c r="S196" s="1" t="s">
        <v>2354</v>
      </c>
      <c r="T196" s="49">
        <v>12325447.279999999</v>
      </c>
      <c r="U196" s="20">
        <v>0</v>
      </c>
      <c r="V196" s="20">
        <v>0</v>
      </c>
      <c r="W196" s="20">
        <v>0</v>
      </c>
      <c r="X196" s="20">
        <v>0</v>
      </c>
      <c r="Y196" s="20">
        <v>0</v>
      </c>
      <c r="Z196" s="20">
        <v>154111.93</v>
      </c>
      <c r="AA196" s="20">
        <v>194491.09</v>
      </c>
      <c r="AB196" s="20">
        <v>196954.46</v>
      </c>
      <c r="AC196" s="20">
        <v>1778731.51</v>
      </c>
      <c r="AD196" s="20">
        <v>1693298.05</v>
      </c>
      <c r="AE196" s="20">
        <v>0</v>
      </c>
      <c r="AF196" s="20">
        <v>0</v>
      </c>
      <c r="AG196" s="51">
        <f t="shared" si="9"/>
        <v>8307860.2399999993</v>
      </c>
      <c r="AH196" s="20">
        <v>13779450</v>
      </c>
      <c r="AI196" s="20">
        <v>13629600</v>
      </c>
      <c r="AJ196" s="20">
        <v>12684600</v>
      </c>
      <c r="AK196" s="20">
        <f t="shared" si="10"/>
        <v>13364550</v>
      </c>
      <c r="AL196" s="26">
        <f t="shared" si="11"/>
        <v>-7.7750670243292963E-2</v>
      </c>
    </row>
    <row r="197" spans="1:39" x14ac:dyDescent="0.3">
      <c r="A197" s="1">
        <v>188</v>
      </c>
      <c r="B197" s="1" t="s">
        <v>114</v>
      </c>
      <c r="C197" s="1" t="s">
        <v>2347</v>
      </c>
      <c r="D197" s="1" t="s">
        <v>2344</v>
      </c>
      <c r="E197" s="1" t="s">
        <v>596</v>
      </c>
      <c r="F197" s="1" t="s">
        <v>573</v>
      </c>
      <c r="G197" s="1" t="s">
        <v>596</v>
      </c>
      <c r="H197" s="1" t="s">
        <v>2709</v>
      </c>
      <c r="I197" s="3" t="s">
        <v>30</v>
      </c>
      <c r="J197" s="1" t="s">
        <v>2345</v>
      </c>
      <c r="K197" s="1" t="s">
        <v>597</v>
      </c>
      <c r="L197" s="1" t="s">
        <v>548</v>
      </c>
      <c r="M197" s="1" t="s">
        <v>2697</v>
      </c>
      <c r="N197" s="1" t="s">
        <v>2698</v>
      </c>
      <c r="O197" s="1" t="s">
        <v>42</v>
      </c>
      <c r="Q197" s="1" t="s">
        <v>2346</v>
      </c>
      <c r="R197" s="1" t="s">
        <v>2353</v>
      </c>
      <c r="S197" s="1" t="s">
        <v>2354</v>
      </c>
      <c r="T197" s="49">
        <v>8626253.4199999999</v>
      </c>
      <c r="U197" s="20">
        <v>0</v>
      </c>
      <c r="V197" s="20">
        <v>0</v>
      </c>
      <c r="W197" s="20">
        <v>0</v>
      </c>
      <c r="X197" s="20">
        <v>0</v>
      </c>
      <c r="Y197" s="20">
        <v>0</v>
      </c>
      <c r="Z197" s="20">
        <v>107858.85</v>
      </c>
      <c r="AA197" s="20">
        <v>136119.15</v>
      </c>
      <c r="AB197" s="20">
        <v>137843.20000000001</v>
      </c>
      <c r="AC197" s="20">
        <v>1244886.97</v>
      </c>
      <c r="AD197" s="20">
        <v>1185094.3600000001</v>
      </c>
      <c r="AE197" s="20">
        <v>0</v>
      </c>
      <c r="AF197" s="20">
        <v>0</v>
      </c>
      <c r="AG197" s="51">
        <f t="shared" si="9"/>
        <v>5814450.8899999997</v>
      </c>
      <c r="AH197" s="20">
        <v>5658000</v>
      </c>
      <c r="AI197" s="20">
        <v>8397900</v>
      </c>
      <c r="AJ197" s="20">
        <v>6631800</v>
      </c>
      <c r="AK197" s="20">
        <f t="shared" si="10"/>
        <v>6895900</v>
      </c>
      <c r="AL197" s="26">
        <f t="shared" si="11"/>
        <v>0.25092495830856021</v>
      </c>
      <c r="AM197" s="1" t="s">
        <v>3021</v>
      </c>
    </row>
    <row r="198" spans="1:39" x14ac:dyDescent="0.3">
      <c r="A198" s="1">
        <v>189</v>
      </c>
      <c r="B198" s="1" t="s">
        <v>114</v>
      </c>
      <c r="C198" s="1" t="s">
        <v>2347</v>
      </c>
      <c r="D198" s="1" t="s">
        <v>2344</v>
      </c>
      <c r="E198" s="1" t="s">
        <v>545</v>
      </c>
      <c r="F198" s="1" t="s">
        <v>573</v>
      </c>
      <c r="G198" s="1" t="s">
        <v>545</v>
      </c>
      <c r="H198" s="1" t="s">
        <v>2710</v>
      </c>
      <c r="I198" s="3" t="s">
        <v>30</v>
      </c>
      <c r="J198" s="1" t="s">
        <v>2345</v>
      </c>
      <c r="K198" s="1" t="s">
        <v>547</v>
      </c>
      <c r="L198" s="1" t="s">
        <v>548</v>
      </c>
      <c r="M198" s="1" t="s">
        <v>2697</v>
      </c>
      <c r="N198" s="1" t="s">
        <v>2698</v>
      </c>
      <c r="O198" s="1" t="s">
        <v>42</v>
      </c>
      <c r="Q198" s="1" t="s">
        <v>2346</v>
      </c>
      <c r="R198" s="1" t="s">
        <v>2353</v>
      </c>
      <c r="S198" s="1" t="s">
        <v>2354</v>
      </c>
      <c r="T198" s="49">
        <v>4922870.72</v>
      </c>
      <c r="U198" s="20">
        <v>0</v>
      </c>
      <c r="V198" s="20">
        <v>0</v>
      </c>
      <c r="W198" s="20">
        <v>0</v>
      </c>
      <c r="X198" s="20">
        <v>0</v>
      </c>
      <c r="Y198" s="20">
        <v>0</v>
      </c>
      <c r="Z198" s="20">
        <v>61553.39</v>
      </c>
      <c r="AA198" s="20">
        <v>77681.119999999995</v>
      </c>
      <c r="AB198" s="20">
        <v>78665</v>
      </c>
      <c r="AC198" s="20">
        <v>710437.93</v>
      </c>
      <c r="AD198" s="20">
        <v>676315.2</v>
      </c>
      <c r="AE198" s="20">
        <v>0</v>
      </c>
      <c r="AF198" s="20">
        <v>0</v>
      </c>
      <c r="AG198" s="51">
        <f t="shared" si="9"/>
        <v>3318218.0799999996</v>
      </c>
      <c r="AH198" s="20">
        <v>6130200</v>
      </c>
      <c r="AI198" s="20">
        <v>4921800</v>
      </c>
      <c r="AJ198" s="20">
        <v>7236300</v>
      </c>
      <c r="AK198" s="20">
        <f t="shared" si="10"/>
        <v>6096100</v>
      </c>
      <c r="AL198" s="26">
        <f t="shared" si="11"/>
        <v>-0.19245571430914854</v>
      </c>
    </row>
    <row r="199" spans="1:39" x14ac:dyDescent="0.3">
      <c r="A199" s="1">
        <v>190</v>
      </c>
      <c r="B199" s="1" t="s">
        <v>114</v>
      </c>
      <c r="C199" s="1" t="s">
        <v>2347</v>
      </c>
      <c r="D199" s="1" t="s">
        <v>2344</v>
      </c>
      <c r="E199" s="1" t="s">
        <v>632</v>
      </c>
      <c r="F199" s="1" t="s">
        <v>573</v>
      </c>
      <c r="G199" s="1" t="s">
        <v>608</v>
      </c>
      <c r="I199" s="3" t="s">
        <v>30</v>
      </c>
      <c r="J199" s="1" t="s">
        <v>2345</v>
      </c>
      <c r="K199" s="1" t="s">
        <v>609</v>
      </c>
      <c r="L199" s="1" t="s">
        <v>548</v>
      </c>
      <c r="M199" s="1" t="s">
        <v>2697</v>
      </c>
      <c r="N199" s="1" t="s">
        <v>2698</v>
      </c>
      <c r="O199" s="1" t="s">
        <v>42</v>
      </c>
      <c r="Q199" s="1" t="s">
        <v>2346</v>
      </c>
      <c r="R199" s="1" t="s">
        <v>2353</v>
      </c>
      <c r="S199" s="1" t="s">
        <v>2354</v>
      </c>
      <c r="T199" s="49">
        <v>12325447.279999999</v>
      </c>
      <c r="U199" s="20">
        <v>0</v>
      </c>
      <c r="V199" s="20">
        <v>0</v>
      </c>
      <c r="W199" s="20">
        <v>0</v>
      </c>
      <c r="X199" s="20">
        <v>0</v>
      </c>
      <c r="Y199" s="20">
        <v>0</v>
      </c>
      <c r="Z199" s="20">
        <v>154111.93</v>
      </c>
      <c r="AA199" s="20">
        <v>194491.09</v>
      </c>
      <c r="AB199" s="20">
        <v>196954.46</v>
      </c>
      <c r="AC199" s="20">
        <v>1778731.51</v>
      </c>
      <c r="AD199" s="20">
        <v>1693298.05</v>
      </c>
      <c r="AE199" s="20">
        <v>0</v>
      </c>
      <c r="AF199" s="20">
        <v>0</v>
      </c>
      <c r="AG199" s="51">
        <f t="shared" si="9"/>
        <v>8307860.2399999993</v>
      </c>
      <c r="AH199" s="20">
        <v>0</v>
      </c>
      <c r="AI199" s="20">
        <v>12501500</v>
      </c>
      <c r="AJ199" s="20">
        <v>5228550</v>
      </c>
      <c r="AK199" s="20">
        <f t="shared" si="10"/>
        <v>8865025</v>
      </c>
      <c r="AL199" s="26">
        <f t="shared" si="11"/>
        <v>0.39034546208273513</v>
      </c>
      <c r="AM199" s="1" t="s">
        <v>3021</v>
      </c>
    </row>
    <row r="200" spans="1:39" x14ac:dyDescent="0.3">
      <c r="A200" s="1">
        <v>191</v>
      </c>
      <c r="B200" s="1" t="s">
        <v>114</v>
      </c>
      <c r="C200" s="1" t="s">
        <v>2347</v>
      </c>
      <c r="D200" s="1" t="s">
        <v>2344</v>
      </c>
      <c r="E200" s="1" t="s">
        <v>549</v>
      </c>
      <c r="F200" s="1" t="s">
        <v>573</v>
      </c>
      <c r="G200" s="1" t="s">
        <v>549</v>
      </c>
      <c r="H200" s="1" t="s">
        <v>2711</v>
      </c>
      <c r="I200" s="3" t="s">
        <v>30</v>
      </c>
      <c r="J200" s="1" t="s">
        <v>2345</v>
      </c>
      <c r="K200" s="1" t="s">
        <v>551</v>
      </c>
      <c r="L200" s="1" t="s">
        <v>548</v>
      </c>
      <c r="M200" s="1" t="s">
        <v>2697</v>
      </c>
      <c r="N200" s="1" t="s">
        <v>2698</v>
      </c>
      <c r="O200" s="1" t="s">
        <v>42</v>
      </c>
      <c r="Q200" s="1" t="s">
        <v>2346</v>
      </c>
      <c r="R200" s="1" t="s">
        <v>2353</v>
      </c>
      <c r="S200" s="1" t="s">
        <v>2354</v>
      </c>
      <c r="T200" s="49">
        <v>3439485.6</v>
      </c>
      <c r="U200" s="20">
        <v>0</v>
      </c>
      <c r="V200" s="20">
        <v>0</v>
      </c>
      <c r="W200" s="20">
        <v>0</v>
      </c>
      <c r="X200" s="20">
        <v>0</v>
      </c>
      <c r="Y200" s="20">
        <v>0</v>
      </c>
      <c r="Z200" s="20">
        <v>43005.8</v>
      </c>
      <c r="AA200" s="20">
        <v>54273.84</v>
      </c>
      <c r="AB200" s="20">
        <v>54961.25</v>
      </c>
      <c r="AC200" s="20">
        <v>496365.06</v>
      </c>
      <c r="AD200" s="20">
        <v>472524.37</v>
      </c>
      <c r="AE200" s="20">
        <v>0</v>
      </c>
      <c r="AF200" s="20">
        <v>0</v>
      </c>
      <c r="AG200" s="51">
        <f t="shared" si="9"/>
        <v>2318355.2800000003</v>
      </c>
      <c r="AH200" s="20">
        <v>4972350</v>
      </c>
      <c r="AI200" s="20">
        <v>5462250</v>
      </c>
      <c r="AJ200" s="20">
        <v>5610000</v>
      </c>
      <c r="AK200" s="20">
        <f t="shared" si="10"/>
        <v>5348200</v>
      </c>
      <c r="AL200" s="26">
        <f t="shared" si="11"/>
        <v>-0.35688912157361352</v>
      </c>
      <c r="AM200" s="1" t="s">
        <v>3019</v>
      </c>
    </row>
    <row r="201" spans="1:39" x14ac:dyDescent="0.3">
      <c r="A201" s="1">
        <v>192</v>
      </c>
      <c r="B201" s="1" t="s">
        <v>114</v>
      </c>
      <c r="C201" s="1" t="s">
        <v>2347</v>
      </c>
      <c r="D201" s="1" t="s">
        <v>2344</v>
      </c>
      <c r="E201" s="1" t="s">
        <v>591</v>
      </c>
      <c r="F201" s="1" t="s">
        <v>573</v>
      </c>
      <c r="G201" s="1" t="s">
        <v>591</v>
      </c>
      <c r="H201" s="1" t="s">
        <v>2712</v>
      </c>
      <c r="I201" s="3" t="s">
        <v>30</v>
      </c>
      <c r="J201" s="1" t="s">
        <v>2345</v>
      </c>
      <c r="K201" s="1" t="s">
        <v>592</v>
      </c>
      <c r="L201" s="1" t="s">
        <v>548</v>
      </c>
      <c r="M201" s="1" t="s">
        <v>2697</v>
      </c>
      <c r="N201" s="1" t="s">
        <v>2698</v>
      </c>
      <c r="O201" s="1" t="s">
        <v>42</v>
      </c>
      <c r="Q201" s="1" t="s">
        <v>2346</v>
      </c>
      <c r="R201" s="1" t="s">
        <v>2353</v>
      </c>
      <c r="S201" s="1" t="s">
        <v>2354</v>
      </c>
      <c r="T201" s="49">
        <v>3254730.9</v>
      </c>
      <c r="U201" s="20">
        <v>0</v>
      </c>
      <c r="V201" s="20">
        <v>0</v>
      </c>
      <c r="W201" s="20">
        <v>0</v>
      </c>
      <c r="X201" s="20">
        <v>0</v>
      </c>
      <c r="Y201" s="20">
        <v>0</v>
      </c>
      <c r="Z201" s="20">
        <v>40695.71</v>
      </c>
      <c r="AA201" s="20">
        <v>51358.47</v>
      </c>
      <c r="AB201" s="20">
        <v>52008.97</v>
      </c>
      <c r="AC201" s="20">
        <v>469702.42</v>
      </c>
      <c r="AD201" s="20">
        <v>447142.35</v>
      </c>
      <c r="AE201" s="20">
        <v>0</v>
      </c>
      <c r="AF201" s="20">
        <v>0</v>
      </c>
      <c r="AG201" s="51">
        <f t="shared" si="9"/>
        <v>2193822.98</v>
      </c>
      <c r="AH201" s="20">
        <v>4709850</v>
      </c>
      <c r="AI201" s="20">
        <v>3602400</v>
      </c>
      <c r="AJ201" s="20">
        <v>4134000</v>
      </c>
      <c r="AK201" s="20">
        <f t="shared" si="10"/>
        <v>4148750</v>
      </c>
      <c r="AL201" s="26">
        <f t="shared" si="11"/>
        <v>-0.21549119614341672</v>
      </c>
    </row>
    <row r="202" spans="1:39" x14ac:dyDescent="0.3">
      <c r="A202" s="1">
        <v>193</v>
      </c>
      <c r="B202" s="1" t="s">
        <v>114</v>
      </c>
      <c r="C202" s="1" t="s">
        <v>2347</v>
      </c>
      <c r="D202" s="1" t="s">
        <v>2344</v>
      </c>
      <c r="E202" s="1" t="s">
        <v>587</v>
      </c>
      <c r="F202" s="1" t="s">
        <v>573</v>
      </c>
      <c r="G202" s="1" t="s">
        <v>587</v>
      </c>
      <c r="H202" s="1" t="s">
        <v>2713</v>
      </c>
      <c r="I202" s="3" t="s">
        <v>30</v>
      </c>
      <c r="J202" s="1" t="s">
        <v>2345</v>
      </c>
      <c r="K202" s="1" t="s">
        <v>588</v>
      </c>
      <c r="L202" s="1" t="s">
        <v>548</v>
      </c>
      <c r="M202" s="1" t="s">
        <v>2697</v>
      </c>
      <c r="N202" s="1" t="s">
        <v>2698</v>
      </c>
      <c r="O202" s="1" t="s">
        <v>42</v>
      </c>
      <c r="Q202" s="1" t="s">
        <v>2346</v>
      </c>
      <c r="R202" s="1" t="s">
        <v>2353</v>
      </c>
      <c r="S202" s="1" t="s">
        <v>2354</v>
      </c>
      <c r="T202" s="49">
        <v>1537394.45</v>
      </c>
      <c r="U202" s="20">
        <v>0</v>
      </c>
      <c r="V202" s="20">
        <v>0</v>
      </c>
      <c r="W202" s="20">
        <v>0</v>
      </c>
      <c r="X202" s="20">
        <v>0</v>
      </c>
      <c r="Y202" s="20">
        <v>0</v>
      </c>
      <c r="Z202" s="20">
        <v>19222.900000000001</v>
      </c>
      <c r="AA202" s="20">
        <v>24259.53</v>
      </c>
      <c r="AB202" s="20">
        <v>24566.79</v>
      </c>
      <c r="AC202" s="20">
        <v>221867.16</v>
      </c>
      <c r="AD202" s="20">
        <v>211210.75</v>
      </c>
      <c r="AE202" s="20">
        <v>0</v>
      </c>
      <c r="AF202" s="20">
        <v>0</v>
      </c>
      <c r="AG202" s="51">
        <f t="shared" ref="AG202:AG265" si="12">T202-SUM(U202:AF202)</f>
        <v>1036267.32</v>
      </c>
      <c r="AH202" s="20">
        <v>3944400</v>
      </c>
      <c r="AI202" s="20">
        <v>3470700</v>
      </c>
      <c r="AJ202" s="20">
        <v>5294100</v>
      </c>
      <c r="AK202" s="20">
        <f t="shared" si="10"/>
        <v>4236400</v>
      </c>
      <c r="AL202" s="26">
        <f t="shared" si="11"/>
        <v>-0.63709884571806252</v>
      </c>
      <c r="AM202" s="1" t="s">
        <v>3019</v>
      </c>
    </row>
    <row r="203" spans="1:39" x14ac:dyDescent="0.3">
      <c r="A203" s="1">
        <v>194</v>
      </c>
      <c r="B203" s="1" t="s">
        <v>114</v>
      </c>
      <c r="C203" s="1" t="s">
        <v>2347</v>
      </c>
      <c r="D203" s="1" t="s">
        <v>2344</v>
      </c>
      <c r="E203" s="1" t="s">
        <v>552</v>
      </c>
      <c r="F203" s="1" t="s">
        <v>573</v>
      </c>
      <c r="G203" s="1" t="s">
        <v>552</v>
      </c>
      <c r="H203" s="1" t="s">
        <v>2714</v>
      </c>
      <c r="I203" s="3" t="s">
        <v>30</v>
      </c>
      <c r="J203" s="1" t="s">
        <v>2345</v>
      </c>
      <c r="K203" s="1" t="s">
        <v>554</v>
      </c>
      <c r="L203" s="1" t="s">
        <v>548</v>
      </c>
      <c r="M203" s="1" t="s">
        <v>2697</v>
      </c>
      <c r="N203" s="1" t="s">
        <v>2698</v>
      </c>
      <c r="O203" s="1" t="s">
        <v>42</v>
      </c>
      <c r="Q203" s="1" t="s">
        <v>2346</v>
      </c>
      <c r="R203" s="1" t="s">
        <v>2353</v>
      </c>
      <c r="S203" s="1" t="s">
        <v>2354</v>
      </c>
      <c r="T203" s="49">
        <v>5733010.75</v>
      </c>
      <c r="U203" s="20">
        <v>0</v>
      </c>
      <c r="V203" s="20">
        <v>0</v>
      </c>
      <c r="W203" s="20">
        <v>0</v>
      </c>
      <c r="X203" s="20">
        <v>0</v>
      </c>
      <c r="Y203" s="20">
        <v>0</v>
      </c>
      <c r="Z203" s="20">
        <v>71683.02</v>
      </c>
      <c r="AA203" s="20">
        <v>90464.83</v>
      </c>
      <c r="AB203" s="20">
        <v>91610.64</v>
      </c>
      <c r="AC203" s="20">
        <v>827352.27</v>
      </c>
      <c r="AD203" s="20">
        <v>787614.09</v>
      </c>
      <c r="AE203" s="20">
        <v>0</v>
      </c>
      <c r="AF203" s="20">
        <v>0</v>
      </c>
      <c r="AG203" s="51">
        <f t="shared" si="12"/>
        <v>3864285.9</v>
      </c>
      <c r="AH203" s="20">
        <v>7523100</v>
      </c>
      <c r="AI203" s="20">
        <v>5256450</v>
      </c>
      <c r="AJ203" s="20">
        <v>5102100</v>
      </c>
      <c r="AK203" s="20">
        <f t="shared" si="10"/>
        <v>5960550</v>
      </c>
      <c r="AL203" s="26">
        <f t="shared" si="11"/>
        <v>-3.8174203722810773E-2</v>
      </c>
    </row>
    <row r="204" spans="1:39" x14ac:dyDescent="0.3">
      <c r="A204" s="1">
        <v>195</v>
      </c>
      <c r="B204" s="1" t="s">
        <v>114</v>
      </c>
      <c r="C204" s="1" t="s">
        <v>2347</v>
      </c>
      <c r="D204" s="1" t="s">
        <v>2344</v>
      </c>
      <c r="E204" s="1" t="s">
        <v>585</v>
      </c>
      <c r="F204" s="1" t="s">
        <v>573</v>
      </c>
      <c r="G204" s="1" t="s">
        <v>585</v>
      </c>
      <c r="H204" s="1" t="s">
        <v>2715</v>
      </c>
      <c r="I204" s="3" t="s">
        <v>30</v>
      </c>
      <c r="J204" s="1" t="s">
        <v>2345</v>
      </c>
      <c r="K204" s="1" t="s">
        <v>586</v>
      </c>
      <c r="L204" s="1" t="s">
        <v>548</v>
      </c>
      <c r="M204" s="1" t="s">
        <v>2697</v>
      </c>
      <c r="N204" s="1" t="s">
        <v>2698</v>
      </c>
      <c r="O204" s="1" t="s">
        <v>42</v>
      </c>
      <c r="Q204" s="1" t="s">
        <v>2346</v>
      </c>
      <c r="R204" s="1" t="s">
        <v>2353</v>
      </c>
      <c r="S204" s="1" t="s">
        <v>2354</v>
      </c>
      <c r="T204" s="49">
        <v>11972381.300000001</v>
      </c>
      <c r="U204" s="20">
        <v>0</v>
      </c>
      <c r="V204" s="20">
        <v>0</v>
      </c>
      <c r="W204" s="20">
        <v>0</v>
      </c>
      <c r="X204" s="20">
        <v>0</v>
      </c>
      <c r="Y204" s="20">
        <v>0</v>
      </c>
      <c r="Z204" s="20">
        <v>149697.35</v>
      </c>
      <c r="AA204" s="20">
        <v>188919.84</v>
      </c>
      <c r="AB204" s="20">
        <v>191312.65</v>
      </c>
      <c r="AC204" s="20">
        <v>1727779.23</v>
      </c>
      <c r="AD204" s="20">
        <v>1644793.04</v>
      </c>
      <c r="AE204" s="20">
        <v>0</v>
      </c>
      <c r="AF204" s="20">
        <v>0</v>
      </c>
      <c r="AG204" s="51">
        <f t="shared" si="12"/>
        <v>8069879.1900000013</v>
      </c>
      <c r="AH204" s="20">
        <v>8851050</v>
      </c>
      <c r="AI204" s="20">
        <v>10231950</v>
      </c>
      <c r="AJ204" s="20">
        <v>11653800</v>
      </c>
      <c r="AK204" s="20">
        <f t="shared" si="10"/>
        <v>10245600</v>
      </c>
      <c r="AL204" s="26">
        <f t="shared" si="11"/>
        <v>0.1685388166627626</v>
      </c>
    </row>
    <row r="205" spans="1:39" x14ac:dyDescent="0.3">
      <c r="A205" s="1">
        <v>196</v>
      </c>
      <c r="B205" s="1" t="s">
        <v>114</v>
      </c>
      <c r="C205" s="1" t="s">
        <v>2347</v>
      </c>
      <c r="D205" s="1" t="s">
        <v>2344</v>
      </c>
      <c r="E205" s="1" t="s">
        <v>581</v>
      </c>
      <c r="F205" s="1" t="s">
        <v>573</v>
      </c>
      <c r="G205" s="1" t="s">
        <v>581</v>
      </c>
      <c r="H205" s="1" t="s">
        <v>2716</v>
      </c>
      <c r="I205" s="3" t="s">
        <v>30</v>
      </c>
      <c r="J205" s="1" t="s">
        <v>2345</v>
      </c>
      <c r="K205" s="1" t="s">
        <v>582</v>
      </c>
      <c r="L205" s="1" t="s">
        <v>548</v>
      </c>
      <c r="M205" s="1" t="s">
        <v>2697</v>
      </c>
      <c r="N205" s="1" t="s">
        <v>2698</v>
      </c>
      <c r="O205" s="1" t="s">
        <v>42</v>
      </c>
      <c r="Q205" s="1" t="s">
        <v>2346</v>
      </c>
      <c r="R205" s="1" t="s">
        <v>2353</v>
      </c>
      <c r="S205" s="1" t="s">
        <v>2354</v>
      </c>
      <c r="T205" s="49">
        <v>7866112.1299999999</v>
      </c>
      <c r="U205" s="20">
        <v>0</v>
      </c>
      <c r="V205" s="20">
        <v>0</v>
      </c>
      <c r="W205" s="20">
        <v>0</v>
      </c>
      <c r="X205" s="20">
        <v>0</v>
      </c>
      <c r="Y205" s="20">
        <v>0</v>
      </c>
      <c r="Z205" s="20">
        <v>98354.38</v>
      </c>
      <c r="AA205" s="20">
        <v>124124.4</v>
      </c>
      <c r="AB205" s="20">
        <v>125696.53</v>
      </c>
      <c r="AC205" s="20">
        <v>1135188.1299999999</v>
      </c>
      <c r="AD205" s="20">
        <v>1080664.42</v>
      </c>
      <c r="AE205" s="20">
        <v>0</v>
      </c>
      <c r="AF205" s="20">
        <v>0</v>
      </c>
      <c r="AG205" s="51">
        <f t="shared" si="12"/>
        <v>5302084.2699999996</v>
      </c>
      <c r="AH205" s="20">
        <v>5714700</v>
      </c>
      <c r="AI205" s="20">
        <v>8400000</v>
      </c>
      <c r="AJ205" s="20">
        <v>10416450</v>
      </c>
      <c r="AK205" s="20">
        <f t="shared" si="10"/>
        <v>8177050</v>
      </c>
      <c r="AL205" s="26">
        <f t="shared" si="11"/>
        <v>-3.8025677964547144E-2</v>
      </c>
    </row>
    <row r="206" spans="1:39" x14ac:dyDescent="0.3">
      <c r="A206" s="1">
        <v>197</v>
      </c>
      <c r="B206" s="1" t="s">
        <v>114</v>
      </c>
      <c r="C206" s="1" t="s">
        <v>2347</v>
      </c>
      <c r="D206" s="1" t="s">
        <v>2344</v>
      </c>
      <c r="E206" s="1" t="s">
        <v>577</v>
      </c>
      <c r="F206" s="1" t="s">
        <v>573</v>
      </c>
      <c r="G206" s="1" t="s">
        <v>577</v>
      </c>
      <c r="H206" s="1" t="s">
        <v>2717</v>
      </c>
      <c r="I206" s="3" t="s">
        <v>30</v>
      </c>
      <c r="J206" s="1" t="s">
        <v>2345</v>
      </c>
      <c r="K206" s="1" t="s">
        <v>578</v>
      </c>
      <c r="L206" s="1" t="s">
        <v>548</v>
      </c>
      <c r="M206" s="1" t="s">
        <v>2697</v>
      </c>
      <c r="N206" s="1" t="s">
        <v>2698</v>
      </c>
      <c r="O206" s="1" t="s">
        <v>42</v>
      </c>
      <c r="Q206" s="1" t="s">
        <v>2346</v>
      </c>
      <c r="R206" s="1" t="s">
        <v>2353</v>
      </c>
      <c r="S206" s="1" t="s">
        <v>2354</v>
      </c>
      <c r="T206" s="49">
        <v>26322510.23</v>
      </c>
      <c r="U206" s="20">
        <v>0</v>
      </c>
      <c r="V206" s="20">
        <v>0</v>
      </c>
      <c r="W206" s="20">
        <v>0</v>
      </c>
      <c r="X206" s="20">
        <v>0</v>
      </c>
      <c r="Y206" s="20">
        <v>0</v>
      </c>
      <c r="Z206" s="20">
        <v>329125</v>
      </c>
      <c r="AA206" s="20">
        <v>415359.68</v>
      </c>
      <c r="AB206" s="20">
        <v>420620.51</v>
      </c>
      <c r="AC206" s="20">
        <v>3798700.14</v>
      </c>
      <c r="AD206" s="20">
        <v>3616246.46</v>
      </c>
      <c r="AE206" s="20">
        <v>0</v>
      </c>
      <c r="AF206" s="20">
        <v>0</v>
      </c>
      <c r="AG206" s="51">
        <f t="shared" si="12"/>
        <v>17742458.440000001</v>
      </c>
      <c r="AH206" s="20">
        <v>20237700</v>
      </c>
      <c r="AI206" s="20">
        <v>19583500</v>
      </c>
      <c r="AJ206" s="20">
        <v>20132700</v>
      </c>
      <c r="AK206" s="20">
        <f t="shared" si="10"/>
        <v>19984633.333333332</v>
      </c>
      <c r="AL206" s="26">
        <f t="shared" si="11"/>
        <v>0.31713751215517272</v>
      </c>
      <c r="AM206" s="1" t="s">
        <v>3021</v>
      </c>
    </row>
    <row r="207" spans="1:39" x14ac:dyDescent="0.3">
      <c r="A207" s="1">
        <v>198</v>
      </c>
      <c r="B207" s="1" t="s">
        <v>114</v>
      </c>
      <c r="C207" s="1" t="s">
        <v>2347</v>
      </c>
      <c r="D207" s="1" t="s">
        <v>2344</v>
      </c>
      <c r="E207" s="1" t="s">
        <v>569</v>
      </c>
      <c r="F207" s="1" t="s">
        <v>573</v>
      </c>
      <c r="G207" s="1" t="s">
        <v>569</v>
      </c>
      <c r="H207" s="1" t="s">
        <v>2718</v>
      </c>
      <c r="I207" s="3" t="s">
        <v>30</v>
      </c>
      <c r="J207" s="1" t="s">
        <v>2345</v>
      </c>
      <c r="K207" s="1" t="s">
        <v>571</v>
      </c>
      <c r="L207" s="1" t="s">
        <v>548</v>
      </c>
      <c r="M207" s="1" t="s">
        <v>2697</v>
      </c>
      <c r="N207" s="1" t="s">
        <v>2698</v>
      </c>
      <c r="O207" s="1" t="s">
        <v>42</v>
      </c>
      <c r="Q207" s="1" t="s">
        <v>2346</v>
      </c>
      <c r="R207" s="1" t="s">
        <v>2353</v>
      </c>
      <c r="S207" s="1" t="s">
        <v>2354</v>
      </c>
      <c r="T207" s="49">
        <v>13838689.039999999</v>
      </c>
      <c r="U207" s="20">
        <v>0</v>
      </c>
      <c r="V207" s="20">
        <v>0</v>
      </c>
      <c r="W207" s="20">
        <v>0</v>
      </c>
      <c r="X207" s="20">
        <v>0</v>
      </c>
      <c r="Y207" s="20">
        <v>0</v>
      </c>
      <c r="Z207" s="20">
        <v>173032.83</v>
      </c>
      <c r="AA207" s="20">
        <v>218369.5</v>
      </c>
      <c r="AB207" s="20">
        <v>221135.31</v>
      </c>
      <c r="AC207" s="20">
        <v>1997113.1</v>
      </c>
      <c r="AD207" s="20">
        <v>1901190.65</v>
      </c>
      <c r="AE207" s="20">
        <v>0</v>
      </c>
      <c r="AF207" s="20">
        <v>0</v>
      </c>
      <c r="AG207" s="51">
        <f t="shared" si="12"/>
        <v>9327847.6499999985</v>
      </c>
      <c r="AH207" s="20">
        <v>12829050</v>
      </c>
      <c r="AI207" s="20">
        <v>15417900</v>
      </c>
      <c r="AJ207" s="20">
        <v>15016650</v>
      </c>
      <c r="AK207" s="20">
        <f t="shared" si="10"/>
        <v>14421200</v>
      </c>
      <c r="AL207" s="26">
        <f t="shared" si="11"/>
        <v>-4.03926829944804E-2</v>
      </c>
    </row>
    <row r="208" spans="1:39" x14ac:dyDescent="0.3">
      <c r="A208" s="1">
        <v>199</v>
      </c>
      <c r="B208" s="1" t="s">
        <v>114</v>
      </c>
      <c r="C208" s="1" t="s">
        <v>2347</v>
      </c>
      <c r="D208" s="1" t="s">
        <v>2344</v>
      </c>
      <c r="E208" s="1" t="s">
        <v>602</v>
      </c>
      <c r="F208" s="1" t="s">
        <v>573</v>
      </c>
      <c r="G208" s="1" t="s">
        <v>602</v>
      </c>
      <c r="H208" s="1" t="s">
        <v>2719</v>
      </c>
      <c r="I208" s="3" t="s">
        <v>30</v>
      </c>
      <c r="J208" s="1" t="s">
        <v>2345</v>
      </c>
      <c r="K208" s="1" t="s">
        <v>603</v>
      </c>
      <c r="L208" s="1" t="s">
        <v>548</v>
      </c>
      <c r="M208" s="1" t="s">
        <v>2697</v>
      </c>
      <c r="N208" s="1" t="s">
        <v>2698</v>
      </c>
      <c r="O208" s="1" t="s">
        <v>42</v>
      </c>
      <c r="Q208" s="1" t="s">
        <v>2346</v>
      </c>
      <c r="R208" s="1" t="s">
        <v>2353</v>
      </c>
      <c r="S208" s="1" t="s">
        <v>2354</v>
      </c>
      <c r="T208" s="49">
        <v>6707986.2000000002</v>
      </c>
      <c r="U208" s="20">
        <v>0</v>
      </c>
      <c r="V208" s="20">
        <v>0</v>
      </c>
      <c r="W208" s="20">
        <v>0</v>
      </c>
      <c r="X208" s="20">
        <v>0</v>
      </c>
      <c r="Y208" s="20">
        <v>0</v>
      </c>
      <c r="Z208" s="20">
        <v>83873.69</v>
      </c>
      <c r="AA208" s="20">
        <v>105849.59</v>
      </c>
      <c r="AB208" s="20">
        <v>107190.25</v>
      </c>
      <c r="AC208" s="20">
        <v>968054.64</v>
      </c>
      <c r="AD208" s="20">
        <v>921558.44</v>
      </c>
      <c r="AE208" s="20">
        <v>0</v>
      </c>
      <c r="AF208" s="20">
        <v>0</v>
      </c>
      <c r="AG208" s="51">
        <f t="shared" si="12"/>
        <v>4521459.59</v>
      </c>
      <c r="AH208" s="20">
        <v>5357800</v>
      </c>
      <c r="AI208" s="20">
        <v>7132950</v>
      </c>
      <c r="AJ208" s="20">
        <v>7129200</v>
      </c>
      <c r="AK208" s="20">
        <f t="shared" si="10"/>
        <v>6539983.333333333</v>
      </c>
      <c r="AL208" s="26">
        <f t="shared" si="11"/>
        <v>2.5688577188015316E-2</v>
      </c>
    </row>
    <row r="209" spans="1:39" x14ac:dyDescent="0.3">
      <c r="A209" s="1">
        <v>200</v>
      </c>
      <c r="B209" s="1" t="s">
        <v>114</v>
      </c>
      <c r="C209" s="1" t="s">
        <v>2347</v>
      </c>
      <c r="D209" s="1" t="s">
        <v>2344</v>
      </c>
      <c r="E209" s="1" t="s">
        <v>606</v>
      </c>
      <c r="F209" s="1" t="s">
        <v>573</v>
      </c>
      <c r="G209" s="1" t="s">
        <v>606</v>
      </c>
      <c r="H209" s="1" t="s">
        <v>2720</v>
      </c>
      <c r="I209" s="3" t="s">
        <v>30</v>
      </c>
      <c r="J209" s="1" t="s">
        <v>2345</v>
      </c>
      <c r="K209" s="1" t="s">
        <v>607</v>
      </c>
      <c r="L209" s="1" t="s">
        <v>548</v>
      </c>
      <c r="M209" s="1" t="s">
        <v>2697</v>
      </c>
      <c r="N209" s="1" t="s">
        <v>2698</v>
      </c>
      <c r="O209" s="1" t="s">
        <v>42</v>
      </c>
      <c r="Q209" s="1" t="s">
        <v>2346</v>
      </c>
      <c r="R209" s="1" t="s">
        <v>2353</v>
      </c>
      <c r="S209" s="1" t="s">
        <v>2354</v>
      </c>
      <c r="T209" s="49">
        <v>10238868.789999999</v>
      </c>
      <c r="U209" s="20">
        <v>0</v>
      </c>
      <c r="V209" s="20">
        <v>0</v>
      </c>
      <c r="W209" s="20">
        <v>0</v>
      </c>
      <c r="X209" s="20">
        <v>0</v>
      </c>
      <c r="Y209" s="20">
        <v>0</v>
      </c>
      <c r="Z209" s="20">
        <v>128022.28</v>
      </c>
      <c r="AA209" s="20">
        <v>161565.64000000001</v>
      </c>
      <c r="AB209" s="20">
        <v>163611.99</v>
      </c>
      <c r="AC209" s="20">
        <v>1477609.54</v>
      </c>
      <c r="AD209" s="20">
        <v>1406639.14</v>
      </c>
      <c r="AE209" s="20">
        <v>0</v>
      </c>
      <c r="AF209" s="20">
        <v>0</v>
      </c>
      <c r="AG209" s="51">
        <f t="shared" si="12"/>
        <v>6901420.1999999993</v>
      </c>
      <c r="AH209" s="20">
        <v>5618700</v>
      </c>
      <c r="AI209" s="20">
        <v>11183350</v>
      </c>
      <c r="AJ209" s="20">
        <v>13451300</v>
      </c>
      <c r="AK209" s="20">
        <f t="shared" si="10"/>
        <v>10084450</v>
      </c>
      <c r="AL209" s="26">
        <f t="shared" si="11"/>
        <v>1.5312564393695105E-2</v>
      </c>
    </row>
    <row r="210" spans="1:39" x14ac:dyDescent="0.3">
      <c r="A210" s="1">
        <v>201</v>
      </c>
      <c r="B210" s="1" t="s">
        <v>114</v>
      </c>
      <c r="C210" s="1" t="s">
        <v>2347</v>
      </c>
      <c r="D210" s="1" t="s">
        <v>2344</v>
      </c>
      <c r="E210" s="1" t="s">
        <v>598</v>
      </c>
      <c r="F210" s="1" t="s">
        <v>573</v>
      </c>
      <c r="G210" s="1" t="s">
        <v>598</v>
      </c>
      <c r="H210" s="1" t="s">
        <v>2721</v>
      </c>
      <c r="I210" s="3" t="s">
        <v>30</v>
      </c>
      <c r="J210" s="1" t="s">
        <v>2345</v>
      </c>
      <c r="K210" s="1" t="s">
        <v>599</v>
      </c>
      <c r="L210" s="1" t="s">
        <v>548</v>
      </c>
      <c r="M210" s="1" t="s">
        <v>2697</v>
      </c>
      <c r="N210" s="1" t="s">
        <v>2698</v>
      </c>
      <c r="O210" s="1" t="s">
        <v>42</v>
      </c>
      <c r="Q210" s="1" t="s">
        <v>2346</v>
      </c>
      <c r="R210" s="1" t="s">
        <v>2353</v>
      </c>
      <c r="S210" s="1" t="s">
        <v>2354</v>
      </c>
      <c r="T210" s="49">
        <v>4880224.7300000004</v>
      </c>
      <c r="U210" s="20">
        <v>0</v>
      </c>
      <c r="V210" s="20">
        <v>0</v>
      </c>
      <c r="W210" s="20">
        <v>0</v>
      </c>
      <c r="X210" s="20">
        <v>0</v>
      </c>
      <c r="Y210" s="20">
        <v>0</v>
      </c>
      <c r="Z210" s="20">
        <v>61020.17</v>
      </c>
      <c r="AA210" s="20">
        <v>77008.179999999993</v>
      </c>
      <c r="AB210" s="20">
        <v>77983.539999999994</v>
      </c>
      <c r="AC210" s="20">
        <v>704283.53</v>
      </c>
      <c r="AD210" s="20">
        <v>670456.4</v>
      </c>
      <c r="AE210" s="20">
        <v>0</v>
      </c>
      <c r="AF210" s="20">
        <v>0</v>
      </c>
      <c r="AG210" s="51">
        <f t="shared" si="12"/>
        <v>3289472.9100000006</v>
      </c>
      <c r="AH210" s="20">
        <v>6780150</v>
      </c>
      <c r="AI210" s="20">
        <v>3205200</v>
      </c>
      <c r="AJ210" s="20">
        <v>4775550</v>
      </c>
      <c r="AK210" s="20">
        <f t="shared" si="10"/>
        <v>4920300</v>
      </c>
      <c r="AL210" s="26">
        <f t="shared" si="11"/>
        <v>-8.1448834420664307E-3</v>
      </c>
    </row>
    <row r="211" spans="1:39" x14ac:dyDescent="0.3">
      <c r="A211" s="1">
        <v>202</v>
      </c>
      <c r="B211" s="1" t="s">
        <v>114</v>
      </c>
      <c r="C211" s="1" t="s">
        <v>2347</v>
      </c>
      <c r="D211" s="1" t="s">
        <v>2344</v>
      </c>
      <c r="E211" s="1" t="s">
        <v>575</v>
      </c>
      <c r="F211" s="1" t="s">
        <v>573</v>
      </c>
      <c r="G211" s="1" t="s">
        <v>575</v>
      </c>
      <c r="H211" s="1" t="s">
        <v>2722</v>
      </c>
      <c r="I211" s="3" t="s">
        <v>30</v>
      </c>
      <c r="J211" s="1" t="s">
        <v>2345</v>
      </c>
      <c r="K211" s="1" t="s">
        <v>576</v>
      </c>
      <c r="L211" s="1" t="s">
        <v>548</v>
      </c>
      <c r="M211" s="1" t="s">
        <v>2697</v>
      </c>
      <c r="N211" s="1" t="s">
        <v>2698</v>
      </c>
      <c r="O211" s="1" t="s">
        <v>42</v>
      </c>
      <c r="Q211" s="1" t="s">
        <v>2346</v>
      </c>
      <c r="R211" s="1" t="s">
        <v>2353</v>
      </c>
      <c r="S211" s="1" t="s">
        <v>2354</v>
      </c>
      <c r="T211" s="49">
        <v>5276337.75</v>
      </c>
      <c r="U211" s="20">
        <v>0</v>
      </c>
      <c r="V211" s="20">
        <v>0</v>
      </c>
      <c r="W211" s="20">
        <v>0</v>
      </c>
      <c r="X211" s="20">
        <v>0</v>
      </c>
      <c r="Y211" s="20">
        <v>0</v>
      </c>
      <c r="Z211" s="20">
        <v>65972.990000000005</v>
      </c>
      <c r="AA211" s="20">
        <v>83258.7</v>
      </c>
      <c r="AB211" s="20">
        <v>84313.23</v>
      </c>
      <c r="AC211" s="20">
        <v>761448.08</v>
      </c>
      <c r="AD211" s="20">
        <v>724875.31</v>
      </c>
      <c r="AE211" s="20">
        <v>0</v>
      </c>
      <c r="AF211" s="20">
        <v>0</v>
      </c>
      <c r="AG211" s="51">
        <f t="shared" si="12"/>
        <v>3556469.44</v>
      </c>
      <c r="AH211" s="20">
        <v>5955450</v>
      </c>
      <c r="AI211" s="20">
        <v>3959350</v>
      </c>
      <c r="AJ211" s="20">
        <v>6054400</v>
      </c>
      <c r="AK211" s="20">
        <f t="shared" si="10"/>
        <v>5323066.666666667</v>
      </c>
      <c r="AL211" s="26">
        <f t="shared" si="11"/>
        <v>-8.7785706234502214E-3</v>
      </c>
    </row>
    <row r="212" spans="1:39" x14ac:dyDescent="0.3">
      <c r="A212" s="1">
        <v>203</v>
      </c>
      <c r="B212" s="1" t="s">
        <v>114</v>
      </c>
      <c r="C212" s="1" t="s">
        <v>2347</v>
      </c>
      <c r="D212" s="1" t="s">
        <v>2344</v>
      </c>
      <c r="E212" s="1" t="s">
        <v>583</v>
      </c>
      <c r="F212" s="1" t="s">
        <v>573</v>
      </c>
      <c r="G212" s="1" t="s">
        <v>583</v>
      </c>
      <c r="H212" s="1" t="s">
        <v>2723</v>
      </c>
      <c r="I212" s="3" t="s">
        <v>30</v>
      </c>
      <c r="J212" s="1" t="s">
        <v>2345</v>
      </c>
      <c r="K212" s="1" t="s">
        <v>584</v>
      </c>
      <c r="L212" s="1" t="s">
        <v>548</v>
      </c>
      <c r="M212" s="1" t="s">
        <v>2697</v>
      </c>
      <c r="N212" s="1" t="s">
        <v>2698</v>
      </c>
      <c r="O212" s="1" t="s">
        <v>42</v>
      </c>
      <c r="Q212" s="1" t="s">
        <v>2346</v>
      </c>
      <c r="R212" s="1" t="s">
        <v>2353</v>
      </c>
      <c r="S212" s="1" t="s">
        <v>2354</v>
      </c>
      <c r="T212" s="49">
        <v>2626939.21</v>
      </c>
      <c r="U212" s="20">
        <v>0</v>
      </c>
      <c r="V212" s="20">
        <v>0</v>
      </c>
      <c r="W212" s="20">
        <v>0</v>
      </c>
      <c r="X212" s="20">
        <v>0</v>
      </c>
      <c r="Y212" s="20">
        <v>0</v>
      </c>
      <c r="Z212" s="20">
        <v>32846.080000000002</v>
      </c>
      <c r="AA212" s="20">
        <v>41452.15</v>
      </c>
      <c r="AB212" s="20">
        <v>41977.17</v>
      </c>
      <c r="AC212" s="20">
        <v>379103.45</v>
      </c>
      <c r="AD212" s="20">
        <v>360894.9</v>
      </c>
      <c r="AE212" s="20">
        <v>0</v>
      </c>
      <c r="AF212" s="20">
        <v>0</v>
      </c>
      <c r="AG212" s="51">
        <f t="shared" si="12"/>
        <v>1770665.46</v>
      </c>
      <c r="AH212" s="20">
        <v>4612200</v>
      </c>
      <c r="AI212" s="20">
        <v>4407750</v>
      </c>
      <c r="AJ212" s="20">
        <v>4087500</v>
      </c>
      <c r="AK212" s="20">
        <f t="shared" si="10"/>
        <v>4369150</v>
      </c>
      <c r="AL212" s="26">
        <f t="shared" si="11"/>
        <v>-0.39875279859926993</v>
      </c>
      <c r="AM212" s="1" t="s">
        <v>3019</v>
      </c>
    </row>
    <row r="213" spans="1:39" x14ac:dyDescent="0.3">
      <c r="A213" s="1">
        <v>204</v>
      </c>
      <c r="B213" s="1" t="s">
        <v>114</v>
      </c>
      <c r="C213" s="1" t="s">
        <v>2347</v>
      </c>
      <c r="D213" s="1" t="s">
        <v>2344</v>
      </c>
      <c r="E213" s="1" t="s">
        <v>572</v>
      </c>
      <c r="F213" s="1" t="s">
        <v>573</v>
      </c>
      <c r="G213" s="1" t="s">
        <v>572</v>
      </c>
      <c r="H213" s="1" t="s">
        <v>2724</v>
      </c>
      <c r="I213" s="3" t="s">
        <v>30</v>
      </c>
      <c r="J213" s="1" t="s">
        <v>2345</v>
      </c>
      <c r="K213" s="1" t="s">
        <v>574</v>
      </c>
      <c r="L213" s="1" t="s">
        <v>548</v>
      </c>
      <c r="M213" s="1" t="s">
        <v>2697</v>
      </c>
      <c r="N213" s="1" t="s">
        <v>2698</v>
      </c>
      <c r="O213" s="1" t="s">
        <v>42</v>
      </c>
      <c r="Q213" s="1" t="s">
        <v>2346</v>
      </c>
      <c r="R213" s="1" t="s">
        <v>2353</v>
      </c>
      <c r="S213" s="1" t="s">
        <v>2354</v>
      </c>
      <c r="T213" s="49">
        <v>2790972.52</v>
      </c>
      <c r="U213" s="20">
        <v>0</v>
      </c>
      <c r="V213" s="20">
        <v>0</v>
      </c>
      <c r="W213" s="20">
        <v>0</v>
      </c>
      <c r="X213" s="20">
        <v>0</v>
      </c>
      <c r="Y213" s="20">
        <v>0</v>
      </c>
      <c r="Z213" s="20">
        <v>34897.08</v>
      </c>
      <c r="AA213" s="20">
        <v>44040.54</v>
      </c>
      <c r="AB213" s="20">
        <v>44598.34</v>
      </c>
      <c r="AC213" s="20">
        <v>402775.71</v>
      </c>
      <c r="AD213" s="20">
        <v>383430.17</v>
      </c>
      <c r="AE213" s="20">
        <v>0</v>
      </c>
      <c r="AF213" s="20">
        <v>0</v>
      </c>
      <c r="AG213" s="51">
        <f t="shared" si="12"/>
        <v>1881230.68</v>
      </c>
      <c r="AH213" s="20">
        <v>2554950</v>
      </c>
      <c r="AI213" s="20">
        <v>3921300</v>
      </c>
      <c r="AJ213" s="20">
        <v>4394400</v>
      </c>
      <c r="AK213" s="20">
        <f t="shared" si="10"/>
        <v>3623550</v>
      </c>
      <c r="AL213" s="26">
        <f t="shared" si="11"/>
        <v>-0.22976845358833187</v>
      </c>
    </row>
    <row r="214" spans="1:39" x14ac:dyDescent="0.3">
      <c r="A214" s="1">
        <v>205</v>
      </c>
      <c r="B214" s="1" t="s">
        <v>114</v>
      </c>
      <c r="C214" s="1" t="s">
        <v>2347</v>
      </c>
      <c r="D214" s="1" t="s">
        <v>2344</v>
      </c>
      <c r="E214" s="1" t="s">
        <v>579</v>
      </c>
      <c r="F214" s="1" t="s">
        <v>573</v>
      </c>
      <c r="G214" s="1" t="s">
        <v>579</v>
      </c>
      <c r="H214" s="1" t="s">
        <v>2725</v>
      </c>
      <c r="I214" s="3" t="s">
        <v>30</v>
      </c>
      <c r="J214" s="1" t="s">
        <v>2345</v>
      </c>
      <c r="K214" s="1" t="s">
        <v>580</v>
      </c>
      <c r="L214" s="1" t="s">
        <v>548</v>
      </c>
      <c r="M214" s="1" t="s">
        <v>2697</v>
      </c>
      <c r="N214" s="1" t="s">
        <v>2698</v>
      </c>
      <c r="O214" s="1" t="s">
        <v>42</v>
      </c>
      <c r="Q214" s="1" t="s">
        <v>2346</v>
      </c>
      <c r="R214" s="1" t="s">
        <v>2353</v>
      </c>
      <c r="S214" s="1" t="s">
        <v>2354</v>
      </c>
      <c r="T214" s="49">
        <v>8249168.4400000004</v>
      </c>
      <c r="U214" s="20">
        <v>0</v>
      </c>
      <c r="V214" s="20">
        <v>0</v>
      </c>
      <c r="W214" s="20">
        <v>0</v>
      </c>
      <c r="X214" s="20">
        <v>0</v>
      </c>
      <c r="Y214" s="20">
        <v>0</v>
      </c>
      <c r="Z214" s="20">
        <v>103143.94</v>
      </c>
      <c r="AA214" s="20">
        <v>130168.89</v>
      </c>
      <c r="AB214" s="20">
        <v>131817.57</v>
      </c>
      <c r="AC214" s="20">
        <v>1190468.42</v>
      </c>
      <c r="AD214" s="20">
        <v>1133289.57</v>
      </c>
      <c r="AE214" s="20">
        <v>0</v>
      </c>
      <c r="AF214" s="20">
        <v>0</v>
      </c>
      <c r="AG214" s="51">
        <f t="shared" si="12"/>
        <v>5560280.0500000007</v>
      </c>
      <c r="AH214" s="20">
        <v>11464650</v>
      </c>
      <c r="AI214" s="20">
        <v>12071900</v>
      </c>
      <c r="AJ214" s="20">
        <v>11404650</v>
      </c>
      <c r="AK214" s="20">
        <f t="shared" si="10"/>
        <v>11647066.666666666</v>
      </c>
      <c r="AL214" s="26">
        <f t="shared" si="11"/>
        <v>-0.29173854017606715</v>
      </c>
      <c r="AM214" s="1" t="s">
        <v>3019</v>
      </c>
    </row>
    <row r="215" spans="1:39" x14ac:dyDescent="0.3">
      <c r="A215" s="1">
        <v>206</v>
      </c>
      <c r="B215" s="1" t="s">
        <v>114</v>
      </c>
      <c r="C215" s="1" t="s">
        <v>2347</v>
      </c>
      <c r="D215" s="1" t="s">
        <v>2344</v>
      </c>
      <c r="F215" s="1" t="s">
        <v>2375</v>
      </c>
      <c r="H215" s="1" t="s">
        <v>2726</v>
      </c>
      <c r="I215" s="3" t="s">
        <v>30</v>
      </c>
      <c r="J215" s="1" t="s">
        <v>2345</v>
      </c>
      <c r="K215" s="1" t="s">
        <v>2727</v>
      </c>
      <c r="L215" s="1" t="s">
        <v>2728</v>
      </c>
      <c r="M215" s="1" t="s">
        <v>2697</v>
      </c>
      <c r="N215" s="1" t="s">
        <v>2698</v>
      </c>
      <c r="O215" s="1" t="s">
        <v>42</v>
      </c>
      <c r="Q215" s="1" t="s">
        <v>2346</v>
      </c>
      <c r="R215" s="1" t="s">
        <v>2353</v>
      </c>
      <c r="S215" s="1" t="s">
        <v>2354</v>
      </c>
      <c r="T215" s="49">
        <v>5870129.8700000001</v>
      </c>
      <c r="U215" s="20">
        <v>0</v>
      </c>
      <c r="V215" s="20">
        <v>0</v>
      </c>
      <c r="W215" s="20">
        <v>0</v>
      </c>
      <c r="X215" s="20">
        <v>0</v>
      </c>
      <c r="Y215" s="20">
        <v>0</v>
      </c>
      <c r="Z215" s="20">
        <v>703796.1872388511</v>
      </c>
      <c r="AA215" s="20">
        <v>92628.51</v>
      </c>
      <c r="AB215" s="20">
        <v>93801.72</v>
      </c>
      <c r="AC215" s="20">
        <v>1847140.45</v>
      </c>
      <c r="AD215" s="20">
        <v>1806451.81</v>
      </c>
      <c r="AE215" s="20">
        <v>0</v>
      </c>
      <c r="AF215" s="20">
        <v>0</v>
      </c>
      <c r="AG215" s="51">
        <f t="shared" si="12"/>
        <v>1326311.1927611483</v>
      </c>
      <c r="AH215" s="20">
        <v>0</v>
      </c>
      <c r="AI215" s="20">
        <v>0</v>
      </c>
      <c r="AJ215" s="20">
        <v>0</v>
      </c>
      <c r="AK215" s="20">
        <f t="shared" si="10"/>
        <v>0</v>
      </c>
      <c r="AL215" s="26">
        <f t="shared" si="11"/>
        <v>0</v>
      </c>
    </row>
    <row r="216" spans="1:39" x14ac:dyDescent="0.3">
      <c r="A216" s="1">
        <v>207</v>
      </c>
      <c r="B216" s="1" t="s">
        <v>114</v>
      </c>
      <c r="C216" s="1" t="s">
        <v>2347</v>
      </c>
      <c r="D216" s="1" t="s">
        <v>2344</v>
      </c>
      <c r="F216" s="1" t="s">
        <v>2375</v>
      </c>
      <c r="H216" s="1" t="s">
        <v>2729</v>
      </c>
      <c r="I216" s="3" t="s">
        <v>30</v>
      </c>
      <c r="J216" s="1" t="s">
        <v>2345</v>
      </c>
      <c r="K216" s="1" t="s">
        <v>2730</v>
      </c>
      <c r="M216" s="1" t="s">
        <v>2697</v>
      </c>
      <c r="N216" s="1" t="s">
        <v>2698</v>
      </c>
      <c r="O216" s="1" t="s">
        <v>42</v>
      </c>
      <c r="Q216" s="1" t="s">
        <v>2346</v>
      </c>
      <c r="R216" s="1" t="s">
        <v>2353</v>
      </c>
      <c r="S216" s="1" t="s">
        <v>2354</v>
      </c>
      <c r="T216" s="49">
        <v>5870129.8700000001</v>
      </c>
      <c r="U216" s="20">
        <v>0</v>
      </c>
      <c r="V216" s="20">
        <v>0</v>
      </c>
      <c r="W216" s="20">
        <v>0</v>
      </c>
      <c r="X216" s="20">
        <v>0</v>
      </c>
      <c r="Y216" s="20">
        <v>0</v>
      </c>
      <c r="Z216" s="20">
        <v>703796.1872388511</v>
      </c>
      <c r="AA216" s="20">
        <v>92628.51</v>
      </c>
      <c r="AB216" s="20">
        <v>93801.72</v>
      </c>
      <c r="AC216" s="20">
        <v>1847140.45</v>
      </c>
      <c r="AD216" s="20">
        <v>1806451.81</v>
      </c>
      <c r="AE216" s="20">
        <v>0</v>
      </c>
      <c r="AF216" s="20">
        <v>0</v>
      </c>
      <c r="AG216" s="51">
        <f t="shared" si="12"/>
        <v>1326311.1927611483</v>
      </c>
      <c r="AH216" s="20">
        <v>0</v>
      </c>
      <c r="AI216" s="20">
        <v>0</v>
      </c>
      <c r="AJ216" s="20">
        <v>0</v>
      </c>
      <c r="AK216" s="20">
        <f t="shared" si="10"/>
        <v>0</v>
      </c>
      <c r="AL216" s="26">
        <f t="shared" si="11"/>
        <v>0</v>
      </c>
    </row>
    <row r="217" spans="1:39" x14ac:dyDescent="0.3">
      <c r="A217" s="1">
        <v>208</v>
      </c>
      <c r="B217" s="1" t="s">
        <v>114</v>
      </c>
      <c r="C217" s="1" t="s">
        <v>2347</v>
      </c>
      <c r="D217" s="1" t="s">
        <v>2344</v>
      </c>
      <c r="F217" s="1" t="s">
        <v>2375</v>
      </c>
      <c r="H217" s="1" t="s">
        <v>2731</v>
      </c>
      <c r="I217" s="3" t="s">
        <v>30</v>
      </c>
      <c r="J217" s="1" t="s">
        <v>2345</v>
      </c>
      <c r="K217" s="1" t="s">
        <v>2732</v>
      </c>
      <c r="L217" s="1" t="s">
        <v>2733</v>
      </c>
      <c r="M217" s="1" t="s">
        <v>2697</v>
      </c>
      <c r="N217" s="1" t="s">
        <v>2698</v>
      </c>
      <c r="O217" s="1" t="s">
        <v>42</v>
      </c>
      <c r="Q217" s="1" t="s">
        <v>2346</v>
      </c>
      <c r="R217" s="1" t="s">
        <v>2353</v>
      </c>
      <c r="S217" s="1" t="s">
        <v>2354</v>
      </c>
      <c r="T217" s="49">
        <v>5870129.8700000001</v>
      </c>
      <c r="U217" s="20">
        <v>0</v>
      </c>
      <c r="V217" s="20">
        <v>0</v>
      </c>
      <c r="W217" s="20">
        <v>0</v>
      </c>
      <c r="X217" s="20">
        <v>0</v>
      </c>
      <c r="Y217" s="20">
        <v>0</v>
      </c>
      <c r="Z217" s="20">
        <v>703796.1872388511</v>
      </c>
      <c r="AA217" s="20">
        <v>92628.51</v>
      </c>
      <c r="AB217" s="20">
        <v>93801.72</v>
      </c>
      <c r="AC217" s="20">
        <v>1847140.45</v>
      </c>
      <c r="AD217" s="20">
        <v>1806451.81</v>
      </c>
      <c r="AE217" s="20">
        <v>0</v>
      </c>
      <c r="AF217" s="20">
        <v>0</v>
      </c>
      <c r="AG217" s="51">
        <f t="shared" si="12"/>
        <v>1326311.1927611483</v>
      </c>
      <c r="AH217" s="20">
        <v>0</v>
      </c>
      <c r="AI217" s="20">
        <v>0</v>
      </c>
      <c r="AJ217" s="20">
        <v>0</v>
      </c>
      <c r="AK217" s="20">
        <f t="shared" si="10"/>
        <v>0</v>
      </c>
      <c r="AL217" s="26">
        <f t="shared" si="11"/>
        <v>0</v>
      </c>
    </row>
    <row r="218" spans="1:39" x14ac:dyDescent="0.3">
      <c r="A218" s="1">
        <v>209</v>
      </c>
      <c r="B218" s="1" t="s">
        <v>114</v>
      </c>
      <c r="C218" s="1" t="s">
        <v>2347</v>
      </c>
      <c r="D218" s="1" t="s">
        <v>2344</v>
      </c>
      <c r="F218" s="1" t="s">
        <v>2375</v>
      </c>
      <c r="H218" s="1" t="s">
        <v>2734</v>
      </c>
      <c r="I218" s="3" t="s">
        <v>30</v>
      </c>
      <c r="J218" s="1" t="s">
        <v>2345</v>
      </c>
      <c r="K218" s="1" t="s">
        <v>2735</v>
      </c>
      <c r="L218" s="1" t="s">
        <v>2736</v>
      </c>
      <c r="M218" s="1" t="s">
        <v>2697</v>
      </c>
      <c r="N218" s="1" t="s">
        <v>2698</v>
      </c>
      <c r="O218" s="1" t="s">
        <v>42</v>
      </c>
      <c r="Q218" s="1" t="s">
        <v>2346</v>
      </c>
      <c r="R218" s="1" t="s">
        <v>2353</v>
      </c>
      <c r="S218" s="1" t="s">
        <v>2354</v>
      </c>
      <c r="T218" s="49">
        <v>5870129.8700000001</v>
      </c>
      <c r="U218" s="20">
        <v>0</v>
      </c>
      <c r="V218" s="20">
        <v>0</v>
      </c>
      <c r="W218" s="20">
        <v>0</v>
      </c>
      <c r="X218" s="20">
        <v>0</v>
      </c>
      <c r="Y218" s="20">
        <v>0</v>
      </c>
      <c r="Z218" s="20">
        <v>703796.1872388511</v>
      </c>
      <c r="AA218" s="20">
        <v>92628.51</v>
      </c>
      <c r="AB218" s="20">
        <v>93801.72</v>
      </c>
      <c r="AC218" s="20">
        <v>1847140.45</v>
      </c>
      <c r="AD218" s="20">
        <v>1806451.81</v>
      </c>
      <c r="AE218" s="20">
        <v>0</v>
      </c>
      <c r="AF218" s="20">
        <v>0</v>
      </c>
      <c r="AG218" s="51">
        <f t="shared" si="12"/>
        <v>1326311.1927611483</v>
      </c>
      <c r="AH218" s="20">
        <v>0</v>
      </c>
      <c r="AI218" s="20">
        <v>0</v>
      </c>
      <c r="AJ218" s="20">
        <v>0</v>
      </c>
      <c r="AK218" s="20">
        <f t="shared" si="10"/>
        <v>0</v>
      </c>
      <c r="AL218" s="26">
        <f t="shared" si="11"/>
        <v>0</v>
      </c>
    </row>
    <row r="219" spans="1:39" x14ac:dyDescent="0.3">
      <c r="A219" s="1">
        <v>210</v>
      </c>
      <c r="B219" s="1" t="s">
        <v>114</v>
      </c>
      <c r="C219" s="1" t="s">
        <v>2347</v>
      </c>
      <c r="D219" s="1" t="s">
        <v>2344</v>
      </c>
      <c r="F219" s="1" t="s">
        <v>2375</v>
      </c>
      <c r="H219" s="1" t="s">
        <v>2737</v>
      </c>
      <c r="I219" s="3" t="s">
        <v>30</v>
      </c>
      <c r="J219" s="1" t="s">
        <v>2345</v>
      </c>
      <c r="K219" s="1" t="s">
        <v>2738</v>
      </c>
      <c r="L219" s="1" t="s">
        <v>2739</v>
      </c>
      <c r="M219" s="1" t="s">
        <v>2697</v>
      </c>
      <c r="N219" s="1" t="s">
        <v>2698</v>
      </c>
      <c r="O219" s="1" t="s">
        <v>42</v>
      </c>
      <c r="Q219" s="1" t="s">
        <v>2346</v>
      </c>
      <c r="R219" s="1" t="s">
        <v>2353</v>
      </c>
      <c r="S219" s="1" t="s">
        <v>2354</v>
      </c>
      <c r="T219" s="49">
        <v>5870129.8700000001</v>
      </c>
      <c r="U219" s="20">
        <v>0</v>
      </c>
      <c r="V219" s="20">
        <v>0</v>
      </c>
      <c r="W219" s="20">
        <v>0</v>
      </c>
      <c r="X219" s="20">
        <v>0</v>
      </c>
      <c r="Y219" s="20">
        <v>0</v>
      </c>
      <c r="Z219" s="20">
        <v>703796.1872388511</v>
      </c>
      <c r="AA219" s="20">
        <v>92628.51</v>
      </c>
      <c r="AB219" s="20">
        <v>93801.72</v>
      </c>
      <c r="AC219" s="20">
        <v>1847140.45</v>
      </c>
      <c r="AD219" s="20">
        <v>1806451.81</v>
      </c>
      <c r="AE219" s="20">
        <v>0</v>
      </c>
      <c r="AF219" s="20">
        <v>0</v>
      </c>
      <c r="AG219" s="51">
        <f t="shared" si="12"/>
        <v>1326311.1927611483</v>
      </c>
      <c r="AH219" s="20">
        <v>0</v>
      </c>
      <c r="AI219" s="20">
        <v>0</v>
      </c>
      <c r="AJ219" s="20">
        <v>0</v>
      </c>
      <c r="AK219" s="20">
        <f t="shared" si="10"/>
        <v>0</v>
      </c>
      <c r="AL219" s="26">
        <f t="shared" si="11"/>
        <v>0</v>
      </c>
    </row>
    <row r="220" spans="1:39" x14ac:dyDescent="0.3">
      <c r="A220" s="1">
        <v>211</v>
      </c>
      <c r="B220" s="1" t="s">
        <v>114</v>
      </c>
      <c r="C220" s="1" t="s">
        <v>2347</v>
      </c>
      <c r="D220" s="1" t="s">
        <v>2344</v>
      </c>
      <c r="F220" s="1" t="s">
        <v>2375</v>
      </c>
      <c r="H220" s="1" t="s">
        <v>2740</v>
      </c>
      <c r="I220" s="3" t="s">
        <v>30</v>
      </c>
      <c r="J220" s="1" t="s">
        <v>2345</v>
      </c>
      <c r="K220" s="1" t="s">
        <v>2741</v>
      </c>
      <c r="L220" s="1" t="s">
        <v>2742</v>
      </c>
      <c r="M220" s="1" t="s">
        <v>2697</v>
      </c>
      <c r="N220" s="1" t="s">
        <v>2698</v>
      </c>
      <c r="O220" s="1" t="s">
        <v>42</v>
      </c>
      <c r="Q220" s="1" t="s">
        <v>2346</v>
      </c>
      <c r="R220" s="1" t="s">
        <v>2353</v>
      </c>
      <c r="S220" s="1" t="s">
        <v>2354</v>
      </c>
      <c r="T220" s="49">
        <v>5870129.8700000001</v>
      </c>
      <c r="U220" s="20">
        <v>0</v>
      </c>
      <c r="V220" s="20">
        <v>0</v>
      </c>
      <c r="W220" s="20">
        <v>0</v>
      </c>
      <c r="X220" s="20">
        <v>0</v>
      </c>
      <c r="Y220" s="20">
        <v>0</v>
      </c>
      <c r="Z220" s="20">
        <v>703796.1872388511</v>
      </c>
      <c r="AA220" s="20">
        <v>92628.51</v>
      </c>
      <c r="AB220" s="20">
        <v>93801.72</v>
      </c>
      <c r="AC220" s="20">
        <v>1847140.45</v>
      </c>
      <c r="AD220" s="20">
        <v>1806451.81</v>
      </c>
      <c r="AE220" s="20">
        <v>0</v>
      </c>
      <c r="AF220" s="20">
        <v>0</v>
      </c>
      <c r="AG220" s="51">
        <f t="shared" si="12"/>
        <v>1326311.1927611483</v>
      </c>
      <c r="AH220" s="20">
        <v>0</v>
      </c>
      <c r="AI220" s="20">
        <v>0</v>
      </c>
      <c r="AJ220" s="20">
        <v>0</v>
      </c>
      <c r="AK220" s="20">
        <f t="shared" si="10"/>
        <v>0</v>
      </c>
      <c r="AL220" s="26">
        <f t="shared" si="11"/>
        <v>0</v>
      </c>
    </row>
    <row r="221" spans="1:39" x14ac:dyDescent="0.3">
      <c r="A221" s="1">
        <v>212</v>
      </c>
      <c r="B221" s="1" t="s">
        <v>114</v>
      </c>
      <c r="C221" s="1" t="s">
        <v>2347</v>
      </c>
      <c r="D221" s="1" t="s">
        <v>2344</v>
      </c>
      <c r="F221" s="1" t="s">
        <v>2375</v>
      </c>
      <c r="H221" s="1" t="s">
        <v>2743</v>
      </c>
      <c r="I221" s="3" t="s">
        <v>30</v>
      </c>
      <c r="J221" s="1" t="s">
        <v>2345</v>
      </c>
      <c r="K221" s="1" t="s">
        <v>2744</v>
      </c>
      <c r="L221" s="1" t="s">
        <v>2745</v>
      </c>
      <c r="M221" s="1" t="s">
        <v>2697</v>
      </c>
      <c r="N221" s="1" t="s">
        <v>2698</v>
      </c>
      <c r="O221" s="1" t="s">
        <v>42</v>
      </c>
      <c r="Q221" s="1" t="s">
        <v>2346</v>
      </c>
      <c r="R221" s="1" t="s">
        <v>2353</v>
      </c>
      <c r="S221" s="1" t="s">
        <v>2354</v>
      </c>
      <c r="T221" s="49">
        <v>5870129.8700000001</v>
      </c>
      <c r="U221" s="20">
        <v>0</v>
      </c>
      <c r="V221" s="20">
        <v>0</v>
      </c>
      <c r="W221" s="20">
        <v>0</v>
      </c>
      <c r="X221" s="20">
        <v>0</v>
      </c>
      <c r="Y221" s="20">
        <v>0</v>
      </c>
      <c r="Z221" s="20">
        <v>703796.1872388511</v>
      </c>
      <c r="AA221" s="20">
        <v>92628.51</v>
      </c>
      <c r="AB221" s="20">
        <v>93801.72</v>
      </c>
      <c r="AC221" s="20">
        <v>1847140.45</v>
      </c>
      <c r="AD221" s="20">
        <v>1806451.81</v>
      </c>
      <c r="AE221" s="20">
        <v>0</v>
      </c>
      <c r="AF221" s="20">
        <v>0</v>
      </c>
      <c r="AG221" s="51">
        <f t="shared" si="12"/>
        <v>1326311.1927611483</v>
      </c>
      <c r="AH221" s="20">
        <v>0</v>
      </c>
      <c r="AI221" s="20">
        <v>0</v>
      </c>
      <c r="AJ221" s="20">
        <v>0</v>
      </c>
      <c r="AK221" s="20">
        <f t="shared" si="10"/>
        <v>0</v>
      </c>
      <c r="AL221" s="26">
        <f t="shared" si="11"/>
        <v>0</v>
      </c>
    </row>
    <row r="222" spans="1:39" x14ac:dyDescent="0.3">
      <c r="A222" s="1">
        <v>213</v>
      </c>
      <c r="B222" s="1" t="s">
        <v>114</v>
      </c>
      <c r="C222" s="1" t="s">
        <v>2347</v>
      </c>
      <c r="D222" s="1" t="s">
        <v>2344</v>
      </c>
      <c r="F222" s="1" t="s">
        <v>2375</v>
      </c>
      <c r="H222" s="1" t="s">
        <v>2746</v>
      </c>
      <c r="I222" s="3" t="s">
        <v>30</v>
      </c>
      <c r="J222" s="1" t="s">
        <v>2345</v>
      </c>
      <c r="K222" s="1" t="s">
        <v>2747</v>
      </c>
      <c r="L222" s="1" t="s">
        <v>2748</v>
      </c>
      <c r="M222" s="1" t="s">
        <v>2697</v>
      </c>
      <c r="N222" s="1" t="s">
        <v>2698</v>
      </c>
      <c r="O222" s="1" t="s">
        <v>42</v>
      </c>
      <c r="Q222" s="1" t="s">
        <v>2346</v>
      </c>
      <c r="R222" s="1" t="s">
        <v>2353</v>
      </c>
      <c r="S222" s="1" t="s">
        <v>2354</v>
      </c>
      <c r="T222" s="49">
        <v>5870129.8700000001</v>
      </c>
      <c r="U222" s="20">
        <v>0</v>
      </c>
      <c r="V222" s="20">
        <v>0</v>
      </c>
      <c r="W222" s="20">
        <v>0</v>
      </c>
      <c r="X222" s="20">
        <v>0</v>
      </c>
      <c r="Y222" s="20">
        <v>0</v>
      </c>
      <c r="Z222" s="20">
        <v>703796.1872388511</v>
      </c>
      <c r="AA222" s="20">
        <v>92628.51</v>
      </c>
      <c r="AB222" s="20">
        <v>93801.72</v>
      </c>
      <c r="AC222" s="20">
        <v>1847140.45</v>
      </c>
      <c r="AD222" s="20">
        <v>1806451.81</v>
      </c>
      <c r="AE222" s="20">
        <v>0</v>
      </c>
      <c r="AF222" s="20">
        <v>0</v>
      </c>
      <c r="AG222" s="51">
        <f t="shared" si="12"/>
        <v>1326311.1927611483</v>
      </c>
      <c r="AH222" s="20">
        <v>0</v>
      </c>
      <c r="AI222" s="20">
        <v>0</v>
      </c>
      <c r="AJ222" s="20">
        <v>0</v>
      </c>
      <c r="AK222" s="20">
        <f t="shared" si="10"/>
        <v>0</v>
      </c>
      <c r="AL222" s="26">
        <f t="shared" si="11"/>
        <v>0</v>
      </c>
    </row>
    <row r="223" spans="1:39" x14ac:dyDescent="0.3">
      <c r="A223" s="1">
        <v>214</v>
      </c>
      <c r="B223" s="1" t="s">
        <v>114</v>
      </c>
      <c r="C223" s="1" t="s">
        <v>2347</v>
      </c>
      <c r="D223" s="1" t="s">
        <v>2344</v>
      </c>
      <c r="F223" s="1" t="s">
        <v>2375</v>
      </c>
      <c r="H223" s="1" t="s">
        <v>2749</v>
      </c>
      <c r="I223" s="3" t="s">
        <v>30</v>
      </c>
      <c r="J223" s="1" t="s">
        <v>2345</v>
      </c>
      <c r="K223" s="1" t="s">
        <v>2750</v>
      </c>
      <c r="M223" s="1" t="s">
        <v>2697</v>
      </c>
      <c r="N223" s="1" t="s">
        <v>2698</v>
      </c>
      <c r="O223" s="1" t="s">
        <v>42</v>
      </c>
      <c r="Q223" s="1" t="s">
        <v>2346</v>
      </c>
      <c r="R223" s="1" t="s">
        <v>2353</v>
      </c>
      <c r="S223" s="1" t="s">
        <v>2354</v>
      </c>
      <c r="T223" s="49">
        <v>5870129.8700000001</v>
      </c>
      <c r="U223" s="20">
        <v>0</v>
      </c>
      <c r="V223" s="20">
        <v>0</v>
      </c>
      <c r="W223" s="20">
        <v>0</v>
      </c>
      <c r="X223" s="20">
        <v>0</v>
      </c>
      <c r="Y223" s="20">
        <v>0</v>
      </c>
      <c r="Z223" s="20">
        <v>703796.1872388511</v>
      </c>
      <c r="AA223" s="20">
        <v>92628.51</v>
      </c>
      <c r="AB223" s="20">
        <v>93801.72</v>
      </c>
      <c r="AC223" s="20">
        <v>1847140.45</v>
      </c>
      <c r="AD223" s="20">
        <v>1806451.81</v>
      </c>
      <c r="AE223" s="20">
        <v>0</v>
      </c>
      <c r="AF223" s="20">
        <v>0</v>
      </c>
      <c r="AG223" s="51">
        <f t="shared" si="12"/>
        <v>1326311.1927611483</v>
      </c>
      <c r="AH223" s="20">
        <v>0</v>
      </c>
      <c r="AI223" s="20">
        <v>0</v>
      </c>
      <c r="AJ223" s="20">
        <v>0</v>
      </c>
      <c r="AK223" s="20">
        <f t="shared" si="10"/>
        <v>0</v>
      </c>
      <c r="AL223" s="26">
        <f t="shared" si="11"/>
        <v>0</v>
      </c>
    </row>
    <row r="224" spans="1:39" x14ac:dyDescent="0.3">
      <c r="A224" s="1">
        <v>215</v>
      </c>
      <c r="B224" s="1" t="s">
        <v>114</v>
      </c>
      <c r="C224" s="1" t="s">
        <v>2347</v>
      </c>
      <c r="D224" s="1" t="s">
        <v>2344</v>
      </c>
      <c r="F224" s="1" t="s">
        <v>2375</v>
      </c>
      <c r="H224" s="1" t="s">
        <v>2751</v>
      </c>
      <c r="I224" s="3" t="s">
        <v>30</v>
      </c>
      <c r="J224" s="1" t="s">
        <v>2345</v>
      </c>
      <c r="K224" s="1" t="s">
        <v>2752</v>
      </c>
      <c r="M224" s="1" t="s">
        <v>2697</v>
      </c>
      <c r="N224" s="1" t="s">
        <v>2698</v>
      </c>
      <c r="O224" s="1" t="s">
        <v>42</v>
      </c>
      <c r="Q224" s="1" t="s">
        <v>2346</v>
      </c>
      <c r="R224" s="1" t="s">
        <v>2353</v>
      </c>
      <c r="S224" s="1" t="s">
        <v>2354</v>
      </c>
      <c r="T224" s="49">
        <v>5870129.8700000001</v>
      </c>
      <c r="U224" s="20">
        <v>0</v>
      </c>
      <c r="V224" s="20">
        <v>0</v>
      </c>
      <c r="W224" s="20">
        <v>0</v>
      </c>
      <c r="X224" s="20">
        <v>0</v>
      </c>
      <c r="Y224" s="20">
        <v>0</v>
      </c>
      <c r="Z224" s="20">
        <v>703796.1872388511</v>
      </c>
      <c r="AA224" s="20">
        <v>92628.51</v>
      </c>
      <c r="AB224" s="20">
        <v>93801.72</v>
      </c>
      <c r="AC224" s="20">
        <v>1847140.45</v>
      </c>
      <c r="AD224" s="20">
        <v>1806451.81</v>
      </c>
      <c r="AE224" s="20">
        <v>0</v>
      </c>
      <c r="AF224" s="20">
        <v>0</v>
      </c>
      <c r="AG224" s="51">
        <f t="shared" si="12"/>
        <v>1326311.1927611483</v>
      </c>
      <c r="AH224" s="20">
        <v>0</v>
      </c>
      <c r="AI224" s="20">
        <v>0</v>
      </c>
      <c r="AJ224" s="20">
        <v>0</v>
      </c>
      <c r="AK224" s="20">
        <f t="shared" si="10"/>
        <v>0</v>
      </c>
      <c r="AL224" s="26">
        <f t="shared" si="11"/>
        <v>0</v>
      </c>
    </row>
    <row r="225" spans="1:38" x14ac:dyDescent="0.3">
      <c r="A225" s="1">
        <v>216</v>
      </c>
      <c r="B225" s="1" t="s">
        <v>114</v>
      </c>
      <c r="C225" s="1" t="s">
        <v>2347</v>
      </c>
      <c r="D225" s="1" t="s">
        <v>2344</v>
      </c>
      <c r="F225" s="1" t="s">
        <v>2375</v>
      </c>
      <c r="H225" s="1" t="s">
        <v>2753</v>
      </c>
      <c r="I225" s="3" t="s">
        <v>30</v>
      </c>
      <c r="J225" s="1" t="s">
        <v>2345</v>
      </c>
      <c r="K225" s="1" t="s">
        <v>2754</v>
      </c>
      <c r="L225" s="1" t="s">
        <v>2733</v>
      </c>
      <c r="M225" s="1" t="s">
        <v>2697</v>
      </c>
      <c r="N225" s="1" t="s">
        <v>2698</v>
      </c>
      <c r="O225" s="1" t="s">
        <v>42</v>
      </c>
      <c r="Q225" s="1" t="s">
        <v>2346</v>
      </c>
      <c r="R225" s="1" t="s">
        <v>2353</v>
      </c>
      <c r="S225" s="1" t="s">
        <v>2354</v>
      </c>
      <c r="T225" s="49">
        <v>5870129.8700000001</v>
      </c>
      <c r="U225" s="20">
        <v>0</v>
      </c>
      <c r="V225" s="20">
        <v>0</v>
      </c>
      <c r="W225" s="20">
        <v>0</v>
      </c>
      <c r="X225" s="20">
        <v>0</v>
      </c>
      <c r="Y225" s="20">
        <v>0</v>
      </c>
      <c r="Z225" s="20">
        <v>703796.1872388511</v>
      </c>
      <c r="AA225" s="20">
        <v>92628.51</v>
      </c>
      <c r="AB225" s="20">
        <v>93801.72</v>
      </c>
      <c r="AC225" s="20">
        <v>1847140.45</v>
      </c>
      <c r="AD225" s="20">
        <v>1806451.81</v>
      </c>
      <c r="AE225" s="20">
        <v>0</v>
      </c>
      <c r="AF225" s="20">
        <v>0</v>
      </c>
      <c r="AG225" s="51">
        <f t="shared" si="12"/>
        <v>1326311.1927611483</v>
      </c>
      <c r="AH225" s="20">
        <v>0</v>
      </c>
      <c r="AI225" s="20">
        <v>0</v>
      </c>
      <c r="AJ225" s="20">
        <v>0</v>
      </c>
      <c r="AK225" s="20">
        <f t="shared" si="10"/>
        <v>0</v>
      </c>
      <c r="AL225" s="26">
        <f t="shared" si="11"/>
        <v>0</v>
      </c>
    </row>
    <row r="226" spans="1:38" x14ac:dyDescent="0.3">
      <c r="A226" s="1">
        <v>217</v>
      </c>
      <c r="B226" s="1" t="s">
        <v>114</v>
      </c>
      <c r="C226" s="1" t="s">
        <v>2347</v>
      </c>
      <c r="D226" s="1" t="s">
        <v>2344</v>
      </c>
      <c r="F226" s="1" t="s">
        <v>2375</v>
      </c>
      <c r="H226" s="1" t="s">
        <v>2755</v>
      </c>
      <c r="I226" s="3" t="s">
        <v>30</v>
      </c>
      <c r="J226" s="1" t="s">
        <v>2345</v>
      </c>
      <c r="K226" s="1" t="s">
        <v>2756</v>
      </c>
      <c r="M226" s="1" t="s">
        <v>2697</v>
      </c>
      <c r="N226" s="1" t="s">
        <v>2698</v>
      </c>
      <c r="O226" s="1" t="s">
        <v>42</v>
      </c>
      <c r="Q226" s="1" t="s">
        <v>2346</v>
      </c>
      <c r="R226" s="1" t="s">
        <v>2353</v>
      </c>
      <c r="S226" s="1" t="s">
        <v>2354</v>
      </c>
      <c r="T226" s="49">
        <v>5870129.8700000001</v>
      </c>
      <c r="U226" s="20">
        <v>0</v>
      </c>
      <c r="V226" s="20">
        <v>0</v>
      </c>
      <c r="W226" s="20">
        <v>0</v>
      </c>
      <c r="X226" s="20">
        <v>0</v>
      </c>
      <c r="Y226" s="20">
        <v>0</v>
      </c>
      <c r="Z226" s="20">
        <v>703796.1872388511</v>
      </c>
      <c r="AA226" s="20">
        <v>92628.51</v>
      </c>
      <c r="AB226" s="20">
        <v>93801.72</v>
      </c>
      <c r="AC226" s="20">
        <v>1847140.45</v>
      </c>
      <c r="AD226" s="20">
        <v>1806451.81</v>
      </c>
      <c r="AE226" s="20">
        <v>0</v>
      </c>
      <c r="AF226" s="20">
        <v>0</v>
      </c>
      <c r="AG226" s="51">
        <f t="shared" si="12"/>
        <v>1326311.1927611483</v>
      </c>
      <c r="AH226" s="20">
        <v>0</v>
      </c>
      <c r="AI226" s="20">
        <v>0</v>
      </c>
      <c r="AJ226" s="20">
        <v>0</v>
      </c>
      <c r="AK226" s="20">
        <f t="shared" si="10"/>
        <v>0</v>
      </c>
      <c r="AL226" s="26">
        <f t="shared" si="11"/>
        <v>0</v>
      </c>
    </row>
    <row r="227" spans="1:38" x14ac:dyDescent="0.3">
      <c r="A227" s="1">
        <v>218</v>
      </c>
      <c r="B227" s="1" t="s">
        <v>114</v>
      </c>
      <c r="C227" s="1" t="s">
        <v>2347</v>
      </c>
      <c r="D227" s="1" t="s">
        <v>2344</v>
      </c>
      <c r="F227" s="1" t="s">
        <v>2375</v>
      </c>
      <c r="H227" s="1" t="s">
        <v>2757</v>
      </c>
      <c r="I227" s="3" t="s">
        <v>30</v>
      </c>
      <c r="J227" s="1" t="s">
        <v>2345</v>
      </c>
      <c r="K227" s="1" t="s">
        <v>2758</v>
      </c>
      <c r="L227" s="1" t="s">
        <v>2759</v>
      </c>
      <c r="M227" s="1" t="s">
        <v>2697</v>
      </c>
      <c r="N227" s="1" t="s">
        <v>2698</v>
      </c>
      <c r="O227" s="1" t="s">
        <v>42</v>
      </c>
      <c r="Q227" s="1" t="s">
        <v>2346</v>
      </c>
      <c r="R227" s="1" t="s">
        <v>2353</v>
      </c>
      <c r="S227" s="1" t="s">
        <v>2354</v>
      </c>
      <c r="T227" s="49">
        <v>5870129.8700000001</v>
      </c>
      <c r="U227" s="20">
        <v>0</v>
      </c>
      <c r="V227" s="20">
        <v>0</v>
      </c>
      <c r="W227" s="20">
        <v>0</v>
      </c>
      <c r="X227" s="20">
        <v>0</v>
      </c>
      <c r="Y227" s="20">
        <v>0</v>
      </c>
      <c r="Z227" s="20">
        <v>703796.1872388511</v>
      </c>
      <c r="AA227" s="20">
        <v>92628.51</v>
      </c>
      <c r="AB227" s="20">
        <v>93801.72</v>
      </c>
      <c r="AC227" s="20">
        <v>1847140.45</v>
      </c>
      <c r="AD227" s="20">
        <v>1806451.81</v>
      </c>
      <c r="AE227" s="20">
        <v>0</v>
      </c>
      <c r="AF227" s="20">
        <v>0</v>
      </c>
      <c r="AG227" s="51">
        <f t="shared" si="12"/>
        <v>1326311.1927611483</v>
      </c>
      <c r="AH227" s="20">
        <v>0</v>
      </c>
      <c r="AI227" s="20">
        <v>0</v>
      </c>
      <c r="AJ227" s="20">
        <v>0</v>
      </c>
      <c r="AK227" s="20">
        <f t="shared" si="10"/>
        <v>0</v>
      </c>
      <c r="AL227" s="26">
        <f t="shared" si="11"/>
        <v>0</v>
      </c>
    </row>
    <row r="228" spans="1:38" x14ac:dyDescent="0.3">
      <c r="A228" s="1">
        <v>219</v>
      </c>
      <c r="B228" s="1" t="s">
        <v>114</v>
      </c>
      <c r="C228" s="1" t="s">
        <v>2347</v>
      </c>
      <c r="D228" s="1" t="s">
        <v>2344</v>
      </c>
      <c r="F228" s="1" t="s">
        <v>2375</v>
      </c>
      <c r="H228" s="1" t="s">
        <v>2760</v>
      </c>
      <c r="I228" s="3" t="s">
        <v>30</v>
      </c>
      <c r="J228" s="1" t="s">
        <v>2345</v>
      </c>
      <c r="K228" s="1" t="s">
        <v>2761</v>
      </c>
      <c r="L228" s="1" t="s">
        <v>2762</v>
      </c>
      <c r="M228" s="1" t="s">
        <v>2697</v>
      </c>
      <c r="N228" s="1" t="s">
        <v>2698</v>
      </c>
      <c r="O228" s="1" t="s">
        <v>42</v>
      </c>
      <c r="Q228" s="1" t="s">
        <v>2346</v>
      </c>
      <c r="R228" s="1" t="s">
        <v>2353</v>
      </c>
      <c r="S228" s="1" t="s">
        <v>2354</v>
      </c>
      <c r="T228" s="49">
        <v>5870129.8700000001</v>
      </c>
      <c r="U228" s="20">
        <v>0</v>
      </c>
      <c r="V228" s="20">
        <v>0</v>
      </c>
      <c r="W228" s="20">
        <v>0</v>
      </c>
      <c r="X228" s="20">
        <v>0</v>
      </c>
      <c r="Y228" s="20">
        <v>0</v>
      </c>
      <c r="Z228" s="20">
        <v>703796.1872388511</v>
      </c>
      <c r="AA228" s="20">
        <v>92628.51</v>
      </c>
      <c r="AB228" s="20">
        <v>93801.72</v>
      </c>
      <c r="AC228" s="20">
        <v>1847140.45</v>
      </c>
      <c r="AD228" s="20">
        <v>1806451.81</v>
      </c>
      <c r="AE228" s="20">
        <v>0</v>
      </c>
      <c r="AF228" s="20">
        <v>0</v>
      </c>
      <c r="AG228" s="51">
        <f t="shared" si="12"/>
        <v>1326311.1927611483</v>
      </c>
      <c r="AH228" s="20">
        <v>0</v>
      </c>
      <c r="AI228" s="20">
        <v>0</v>
      </c>
      <c r="AJ228" s="20">
        <v>0</v>
      </c>
      <c r="AK228" s="20">
        <f t="shared" si="10"/>
        <v>0</v>
      </c>
      <c r="AL228" s="26">
        <f t="shared" si="11"/>
        <v>0</v>
      </c>
    </row>
    <row r="229" spans="1:38" x14ac:dyDescent="0.3">
      <c r="A229" s="1">
        <v>220</v>
      </c>
      <c r="B229" s="1" t="s">
        <v>114</v>
      </c>
      <c r="C229" s="1" t="s">
        <v>2347</v>
      </c>
      <c r="D229" s="1" t="s">
        <v>2344</v>
      </c>
      <c r="F229" s="1" t="s">
        <v>2375</v>
      </c>
      <c r="H229" s="1" t="s">
        <v>2763</v>
      </c>
      <c r="I229" s="3" t="s">
        <v>30</v>
      </c>
      <c r="J229" s="1" t="s">
        <v>2345</v>
      </c>
      <c r="K229" s="1" t="s">
        <v>2764</v>
      </c>
      <c r="L229" s="1" t="s">
        <v>2765</v>
      </c>
      <c r="M229" s="1" t="s">
        <v>2697</v>
      </c>
      <c r="N229" s="1" t="s">
        <v>2698</v>
      </c>
      <c r="O229" s="1" t="s">
        <v>42</v>
      </c>
      <c r="Q229" s="1" t="s">
        <v>2346</v>
      </c>
      <c r="R229" s="1" t="s">
        <v>2353</v>
      </c>
      <c r="S229" s="1" t="s">
        <v>2354</v>
      </c>
      <c r="T229" s="49">
        <v>5870129.8700000001</v>
      </c>
      <c r="U229" s="20">
        <v>0</v>
      </c>
      <c r="V229" s="20">
        <v>0</v>
      </c>
      <c r="W229" s="20">
        <v>0</v>
      </c>
      <c r="X229" s="20">
        <v>0</v>
      </c>
      <c r="Y229" s="20">
        <v>0</v>
      </c>
      <c r="Z229" s="20">
        <v>703796.1872388511</v>
      </c>
      <c r="AA229" s="20">
        <v>92628.51</v>
      </c>
      <c r="AB229" s="20">
        <v>93801.72</v>
      </c>
      <c r="AC229" s="20">
        <v>1847140.45</v>
      </c>
      <c r="AD229" s="20">
        <v>1806451.81</v>
      </c>
      <c r="AE229" s="20">
        <v>0</v>
      </c>
      <c r="AF229" s="20">
        <v>0</v>
      </c>
      <c r="AG229" s="51">
        <f t="shared" si="12"/>
        <v>1326311.1927611483</v>
      </c>
      <c r="AH229" s="20">
        <v>0</v>
      </c>
      <c r="AI229" s="20">
        <v>0</v>
      </c>
      <c r="AJ229" s="20">
        <v>0</v>
      </c>
      <c r="AK229" s="20">
        <f t="shared" si="10"/>
        <v>0</v>
      </c>
      <c r="AL229" s="26">
        <f t="shared" si="11"/>
        <v>0</v>
      </c>
    </row>
    <row r="230" spans="1:38" x14ac:dyDescent="0.3">
      <c r="A230" s="1">
        <v>221</v>
      </c>
      <c r="B230" s="1" t="s">
        <v>114</v>
      </c>
      <c r="C230" s="1" t="s">
        <v>2347</v>
      </c>
      <c r="D230" s="1" t="s">
        <v>2344</v>
      </c>
      <c r="F230" s="1" t="s">
        <v>2375</v>
      </c>
      <c r="H230" s="1" t="s">
        <v>2766</v>
      </c>
      <c r="I230" s="3" t="s">
        <v>30</v>
      </c>
      <c r="J230" s="1" t="s">
        <v>2345</v>
      </c>
      <c r="K230" s="1" t="s">
        <v>2767</v>
      </c>
      <c r="L230" s="1" t="s">
        <v>2767</v>
      </c>
      <c r="M230" s="1" t="s">
        <v>2697</v>
      </c>
      <c r="N230" s="1" t="s">
        <v>2698</v>
      </c>
      <c r="O230" s="1" t="s">
        <v>42</v>
      </c>
      <c r="Q230" s="1" t="s">
        <v>2346</v>
      </c>
      <c r="R230" s="1" t="s">
        <v>2353</v>
      </c>
      <c r="S230" s="1" t="s">
        <v>2354</v>
      </c>
      <c r="T230" s="49">
        <v>5870129.8700000001</v>
      </c>
      <c r="U230" s="20">
        <v>0</v>
      </c>
      <c r="V230" s="20">
        <v>0</v>
      </c>
      <c r="W230" s="20">
        <v>0</v>
      </c>
      <c r="X230" s="20">
        <v>0</v>
      </c>
      <c r="Y230" s="20">
        <v>0</v>
      </c>
      <c r="Z230" s="20">
        <v>703796.1872388511</v>
      </c>
      <c r="AA230" s="20">
        <v>92628.51</v>
      </c>
      <c r="AB230" s="20">
        <v>93801.72</v>
      </c>
      <c r="AC230" s="20">
        <v>1548100.0063</v>
      </c>
      <c r="AD230" s="20">
        <v>1806451.81</v>
      </c>
      <c r="AE230" s="20">
        <v>0</v>
      </c>
      <c r="AF230" s="20">
        <v>0</v>
      </c>
      <c r="AG230" s="51">
        <f t="shared" si="12"/>
        <v>1625351.636461149</v>
      </c>
      <c r="AH230" s="20">
        <v>0</v>
      </c>
      <c r="AI230" s="20">
        <v>0</v>
      </c>
      <c r="AJ230" s="20">
        <v>0</v>
      </c>
      <c r="AK230" s="20">
        <f t="shared" si="10"/>
        <v>0</v>
      </c>
      <c r="AL230" s="26">
        <f t="shared" si="11"/>
        <v>0</v>
      </c>
    </row>
    <row r="231" spans="1:38" x14ac:dyDescent="0.3">
      <c r="A231" s="1">
        <v>222</v>
      </c>
      <c r="B231" s="1" t="s">
        <v>114</v>
      </c>
      <c r="C231" s="1" t="s">
        <v>2347</v>
      </c>
      <c r="D231" s="1" t="s">
        <v>2344</v>
      </c>
      <c r="F231" s="1" t="s">
        <v>2375</v>
      </c>
      <c r="H231" s="1" t="s">
        <v>2768</v>
      </c>
      <c r="I231" s="3" t="s">
        <v>30</v>
      </c>
      <c r="J231" s="1" t="s">
        <v>2345</v>
      </c>
      <c r="K231" s="1" t="s">
        <v>2769</v>
      </c>
      <c r="L231" s="1" t="s">
        <v>2769</v>
      </c>
      <c r="M231" s="1" t="s">
        <v>2697</v>
      </c>
      <c r="N231" s="1" t="s">
        <v>2698</v>
      </c>
      <c r="O231" s="1" t="s">
        <v>42</v>
      </c>
      <c r="Q231" s="1" t="s">
        <v>2346</v>
      </c>
      <c r="R231" s="1" t="s">
        <v>2353</v>
      </c>
      <c r="S231" s="1" t="s">
        <v>2354</v>
      </c>
      <c r="T231" s="49">
        <v>5870129.8700000001</v>
      </c>
      <c r="U231" s="20">
        <v>0</v>
      </c>
      <c r="V231" s="20">
        <v>0</v>
      </c>
      <c r="W231" s="20">
        <v>0</v>
      </c>
      <c r="X231" s="20">
        <v>0</v>
      </c>
      <c r="Y231" s="20">
        <v>0</v>
      </c>
      <c r="Z231" s="20">
        <v>703796.1872388511</v>
      </c>
      <c r="AA231" s="20">
        <v>92628.51</v>
      </c>
      <c r="AB231" s="20">
        <v>93801.72</v>
      </c>
      <c r="AC231" s="20">
        <v>847140.45</v>
      </c>
      <c r="AD231" s="20">
        <v>2806451.81</v>
      </c>
      <c r="AE231" s="20">
        <v>0</v>
      </c>
      <c r="AF231" s="20">
        <v>0</v>
      </c>
      <c r="AG231" s="51">
        <f t="shared" si="12"/>
        <v>1326311.1927611493</v>
      </c>
      <c r="AH231" s="20">
        <v>0</v>
      </c>
      <c r="AI231" s="20">
        <v>0</v>
      </c>
      <c r="AJ231" s="20">
        <v>0</v>
      </c>
      <c r="AK231" s="20">
        <f t="shared" si="10"/>
        <v>0</v>
      </c>
      <c r="AL231" s="26">
        <f t="shared" si="11"/>
        <v>0</v>
      </c>
    </row>
    <row r="232" spans="1:38" x14ac:dyDescent="0.3">
      <c r="A232" s="1">
        <v>223</v>
      </c>
      <c r="B232" s="1" t="s">
        <v>114</v>
      </c>
      <c r="C232" s="1" t="s">
        <v>2347</v>
      </c>
      <c r="D232" s="1" t="s">
        <v>2344</v>
      </c>
      <c r="F232" s="1" t="s">
        <v>2375</v>
      </c>
      <c r="H232" s="1" t="s">
        <v>2770</v>
      </c>
      <c r="I232" s="3" t="s">
        <v>30</v>
      </c>
      <c r="J232" s="1" t="s">
        <v>2345</v>
      </c>
      <c r="K232" s="1" t="s">
        <v>2771</v>
      </c>
      <c r="L232" s="1" t="s">
        <v>2772</v>
      </c>
      <c r="M232" s="1" t="s">
        <v>2697</v>
      </c>
      <c r="N232" s="1" t="s">
        <v>2698</v>
      </c>
      <c r="O232" s="1" t="s">
        <v>42</v>
      </c>
      <c r="Q232" s="1" t="s">
        <v>2346</v>
      </c>
      <c r="R232" s="1" t="s">
        <v>2353</v>
      </c>
      <c r="S232" s="1" t="s">
        <v>2354</v>
      </c>
      <c r="T232" s="49">
        <v>5870129.8700000001</v>
      </c>
      <c r="U232" s="20">
        <v>0</v>
      </c>
      <c r="V232" s="20">
        <v>0</v>
      </c>
      <c r="W232" s="20">
        <v>0</v>
      </c>
      <c r="X232" s="20">
        <v>0</v>
      </c>
      <c r="Y232" s="20">
        <v>0</v>
      </c>
      <c r="Z232" s="20">
        <v>703796.1872388511</v>
      </c>
      <c r="AA232" s="20">
        <v>92628.51</v>
      </c>
      <c r="AB232" s="20">
        <v>93801.72</v>
      </c>
      <c r="AC232" s="20">
        <v>847140.45</v>
      </c>
      <c r="AD232" s="20">
        <v>2806451.81</v>
      </c>
      <c r="AE232" s="20">
        <v>0</v>
      </c>
      <c r="AF232" s="20">
        <v>0</v>
      </c>
      <c r="AG232" s="51">
        <f t="shared" si="12"/>
        <v>1326311.1927611493</v>
      </c>
      <c r="AH232" s="20">
        <v>0</v>
      </c>
      <c r="AI232" s="20">
        <v>0</v>
      </c>
      <c r="AJ232" s="20">
        <v>0</v>
      </c>
      <c r="AK232" s="20">
        <f t="shared" si="10"/>
        <v>0</v>
      </c>
      <c r="AL232" s="26">
        <f t="shared" si="11"/>
        <v>0</v>
      </c>
    </row>
    <row r="233" spans="1:38" x14ac:dyDescent="0.3">
      <c r="A233" s="1">
        <v>224</v>
      </c>
      <c r="B233" s="1" t="s">
        <v>114</v>
      </c>
      <c r="C233" s="1" t="s">
        <v>2347</v>
      </c>
      <c r="D233" s="1" t="s">
        <v>2344</v>
      </c>
      <c r="F233" s="1" t="s">
        <v>2375</v>
      </c>
      <c r="H233" s="1" t="s">
        <v>2773</v>
      </c>
      <c r="I233" s="3" t="s">
        <v>30</v>
      </c>
      <c r="J233" s="1" t="s">
        <v>2345</v>
      </c>
      <c r="K233" s="1" t="s">
        <v>2774</v>
      </c>
      <c r="M233" s="1" t="s">
        <v>2697</v>
      </c>
      <c r="N233" s="1" t="s">
        <v>2698</v>
      </c>
      <c r="O233" s="1" t="s">
        <v>42</v>
      </c>
      <c r="Q233" s="1" t="s">
        <v>2346</v>
      </c>
      <c r="R233" s="1" t="s">
        <v>2353</v>
      </c>
      <c r="S233" s="1" t="s">
        <v>2354</v>
      </c>
      <c r="T233" s="49">
        <v>5870129.8700000001</v>
      </c>
      <c r="U233" s="20">
        <v>0</v>
      </c>
      <c r="V233" s="20">
        <v>0</v>
      </c>
      <c r="W233" s="20">
        <v>0</v>
      </c>
      <c r="X233" s="20">
        <v>0</v>
      </c>
      <c r="Y233" s="20">
        <v>0</v>
      </c>
      <c r="Z233" s="20">
        <v>703796.1872388511</v>
      </c>
      <c r="AA233" s="20">
        <v>92628.51</v>
      </c>
      <c r="AB233" s="20">
        <v>93801.72</v>
      </c>
      <c r="AC233" s="20">
        <v>847140.45</v>
      </c>
      <c r="AD233" s="20">
        <v>2806451.81</v>
      </c>
      <c r="AE233" s="20">
        <v>0</v>
      </c>
      <c r="AF233" s="20">
        <v>0</v>
      </c>
      <c r="AG233" s="51">
        <f t="shared" si="12"/>
        <v>1326311.1927611493</v>
      </c>
      <c r="AH233" s="20">
        <v>0</v>
      </c>
      <c r="AI233" s="20">
        <v>0</v>
      </c>
      <c r="AJ233" s="20">
        <v>0</v>
      </c>
      <c r="AK233" s="20">
        <f t="shared" si="10"/>
        <v>0</v>
      </c>
      <c r="AL233" s="26">
        <f t="shared" si="11"/>
        <v>0</v>
      </c>
    </row>
    <row r="234" spans="1:38" x14ac:dyDescent="0.3">
      <c r="A234" s="1">
        <v>225</v>
      </c>
      <c r="B234" s="1" t="s">
        <v>114</v>
      </c>
      <c r="C234" s="1" t="s">
        <v>2347</v>
      </c>
      <c r="D234" s="1" t="s">
        <v>2344</v>
      </c>
      <c r="F234" s="1" t="s">
        <v>2375</v>
      </c>
      <c r="H234" s="1" t="s">
        <v>2775</v>
      </c>
      <c r="I234" s="3" t="s">
        <v>30</v>
      </c>
      <c r="J234" s="1" t="s">
        <v>2345</v>
      </c>
      <c r="K234" s="1" t="s">
        <v>2776</v>
      </c>
      <c r="L234" s="1" t="s">
        <v>2777</v>
      </c>
      <c r="M234" s="1" t="s">
        <v>2697</v>
      </c>
      <c r="N234" s="1" t="s">
        <v>2698</v>
      </c>
      <c r="O234" s="1" t="s">
        <v>42</v>
      </c>
      <c r="Q234" s="1" t="s">
        <v>2346</v>
      </c>
      <c r="R234" s="1" t="s">
        <v>2353</v>
      </c>
      <c r="S234" s="1" t="s">
        <v>2354</v>
      </c>
      <c r="T234" s="49">
        <v>5870129.8700000001</v>
      </c>
      <c r="U234" s="20">
        <v>0</v>
      </c>
      <c r="V234" s="20">
        <v>0</v>
      </c>
      <c r="W234" s="20">
        <v>0</v>
      </c>
      <c r="X234" s="20">
        <v>0</v>
      </c>
      <c r="Y234" s="20">
        <v>0</v>
      </c>
      <c r="Z234" s="20">
        <v>703796.1872388511</v>
      </c>
      <c r="AA234" s="20">
        <v>92628.51</v>
      </c>
      <c r="AB234" s="20">
        <v>93801.72</v>
      </c>
      <c r="AC234" s="20">
        <v>847140.45</v>
      </c>
      <c r="AD234" s="20">
        <v>2806451.81</v>
      </c>
      <c r="AE234" s="20">
        <v>0</v>
      </c>
      <c r="AF234" s="20">
        <v>0</v>
      </c>
      <c r="AG234" s="51">
        <f t="shared" si="12"/>
        <v>1326311.1927611493</v>
      </c>
      <c r="AH234" s="20">
        <v>0</v>
      </c>
      <c r="AI234" s="20">
        <v>0</v>
      </c>
      <c r="AJ234" s="20">
        <v>0</v>
      </c>
      <c r="AK234" s="20">
        <f t="shared" si="10"/>
        <v>0</v>
      </c>
      <c r="AL234" s="26">
        <f t="shared" si="11"/>
        <v>0</v>
      </c>
    </row>
    <row r="235" spans="1:38" x14ac:dyDescent="0.3">
      <c r="A235" s="1">
        <v>226</v>
      </c>
      <c r="B235" s="1" t="s">
        <v>114</v>
      </c>
      <c r="C235" s="1" t="s">
        <v>2347</v>
      </c>
      <c r="D235" s="1" t="s">
        <v>2344</v>
      </c>
      <c r="E235" s="1" t="s">
        <v>2778</v>
      </c>
      <c r="F235" s="1" t="s">
        <v>2375</v>
      </c>
      <c r="H235" s="1" t="s">
        <v>2779</v>
      </c>
      <c r="I235" s="3" t="s">
        <v>30</v>
      </c>
      <c r="J235" s="1" t="s">
        <v>2345</v>
      </c>
      <c r="K235" s="1" t="s">
        <v>2780</v>
      </c>
      <c r="L235" s="1" t="s">
        <v>2781</v>
      </c>
      <c r="M235" s="1" t="s">
        <v>2697</v>
      </c>
      <c r="N235" s="1" t="s">
        <v>2698</v>
      </c>
      <c r="O235" s="1" t="s">
        <v>42</v>
      </c>
      <c r="Q235" s="1" t="s">
        <v>2346</v>
      </c>
      <c r="R235" s="1" t="s">
        <v>2353</v>
      </c>
      <c r="S235" s="1" t="s">
        <v>2354</v>
      </c>
      <c r="T235" s="49">
        <v>5870129.8700000001</v>
      </c>
      <c r="U235" s="20">
        <v>0</v>
      </c>
      <c r="V235" s="20">
        <v>0</v>
      </c>
      <c r="W235" s="20">
        <v>0</v>
      </c>
      <c r="X235" s="20">
        <v>0</v>
      </c>
      <c r="Y235" s="20">
        <v>0</v>
      </c>
      <c r="Z235" s="20">
        <v>703796.1872388511</v>
      </c>
      <c r="AA235" s="20">
        <v>92628.51</v>
      </c>
      <c r="AB235" s="20">
        <v>93801.72</v>
      </c>
      <c r="AC235" s="20">
        <v>847140.45</v>
      </c>
      <c r="AD235" s="20">
        <v>2806451.81</v>
      </c>
      <c r="AE235" s="20">
        <v>0</v>
      </c>
      <c r="AF235" s="20">
        <v>0</v>
      </c>
      <c r="AG235" s="51">
        <f t="shared" si="12"/>
        <v>1326311.1927611493</v>
      </c>
      <c r="AH235" s="20">
        <v>0</v>
      </c>
      <c r="AI235" s="20">
        <v>0</v>
      </c>
      <c r="AJ235" s="20">
        <v>0</v>
      </c>
      <c r="AK235" s="20">
        <f t="shared" si="10"/>
        <v>0</v>
      </c>
      <c r="AL235" s="26">
        <f t="shared" si="11"/>
        <v>0</v>
      </c>
    </row>
    <row r="236" spans="1:38" x14ac:dyDescent="0.3">
      <c r="A236" s="1">
        <v>227</v>
      </c>
      <c r="B236" s="1" t="s">
        <v>114</v>
      </c>
      <c r="C236" s="1" t="s">
        <v>2347</v>
      </c>
      <c r="D236" s="1" t="s">
        <v>2344</v>
      </c>
      <c r="E236" s="1" t="s">
        <v>2778</v>
      </c>
      <c r="F236" s="1" t="s">
        <v>2375</v>
      </c>
      <c r="H236" s="1" t="s">
        <v>2782</v>
      </c>
      <c r="I236" s="3" t="s">
        <v>30</v>
      </c>
      <c r="J236" s="1" t="s">
        <v>2345</v>
      </c>
      <c r="K236" s="1" t="s">
        <v>2783</v>
      </c>
      <c r="L236" s="1" t="s">
        <v>2784</v>
      </c>
      <c r="M236" s="1" t="s">
        <v>2697</v>
      </c>
      <c r="N236" s="1" t="s">
        <v>2698</v>
      </c>
      <c r="O236" s="1" t="s">
        <v>42</v>
      </c>
      <c r="Q236" s="1" t="s">
        <v>2346</v>
      </c>
      <c r="R236" s="1" t="s">
        <v>2353</v>
      </c>
      <c r="S236" s="1" t="s">
        <v>2354</v>
      </c>
      <c r="T236" s="49">
        <v>5870129.8700000001</v>
      </c>
      <c r="U236" s="20">
        <v>0</v>
      </c>
      <c r="V236" s="20">
        <v>0</v>
      </c>
      <c r="W236" s="20">
        <v>0</v>
      </c>
      <c r="X236" s="20">
        <v>0</v>
      </c>
      <c r="Y236" s="20">
        <v>0</v>
      </c>
      <c r="Z236" s="20">
        <v>703796.1872388511</v>
      </c>
      <c r="AA236" s="20">
        <v>92628.51</v>
      </c>
      <c r="AB236" s="20">
        <v>93801.72</v>
      </c>
      <c r="AC236" s="20">
        <v>847140.45</v>
      </c>
      <c r="AD236" s="20">
        <v>2806451.81</v>
      </c>
      <c r="AE236" s="20">
        <v>0</v>
      </c>
      <c r="AF236" s="20">
        <v>0</v>
      </c>
      <c r="AG236" s="51">
        <f t="shared" si="12"/>
        <v>1326311.1927611493</v>
      </c>
      <c r="AH236" s="20">
        <v>0</v>
      </c>
      <c r="AI236" s="20">
        <v>0</v>
      </c>
      <c r="AJ236" s="20">
        <v>0</v>
      </c>
      <c r="AK236" s="20">
        <f t="shared" si="10"/>
        <v>0</v>
      </c>
      <c r="AL236" s="26">
        <f t="shared" si="11"/>
        <v>0</v>
      </c>
    </row>
    <row r="237" spans="1:38" x14ac:dyDescent="0.3">
      <c r="A237" s="1">
        <v>228</v>
      </c>
      <c r="B237" s="1" t="s">
        <v>114</v>
      </c>
      <c r="C237" s="1" t="s">
        <v>2347</v>
      </c>
      <c r="D237" s="1" t="s">
        <v>2344</v>
      </c>
      <c r="E237" s="1" t="s">
        <v>95</v>
      </c>
      <c r="F237" s="1" t="s">
        <v>2348</v>
      </c>
      <c r="H237" s="1">
        <v>5043</v>
      </c>
      <c r="I237" s="3" t="s">
        <v>2340</v>
      </c>
      <c r="J237" s="1" t="s">
        <v>2345</v>
      </c>
      <c r="K237" s="1" t="s">
        <v>2785</v>
      </c>
      <c r="L237" s="1" t="s">
        <v>2350</v>
      </c>
      <c r="M237" s="1" t="s">
        <v>2786</v>
      </c>
      <c r="N237" s="1" t="s">
        <v>2787</v>
      </c>
      <c r="O237" s="1" t="s">
        <v>42</v>
      </c>
      <c r="Q237" s="1" t="s">
        <v>2346</v>
      </c>
      <c r="R237" s="1" t="s">
        <v>2353</v>
      </c>
      <c r="S237" s="1" t="s">
        <v>2354</v>
      </c>
      <c r="T237" s="49">
        <v>34424489.799999997</v>
      </c>
      <c r="U237" s="20">
        <v>932824.49</v>
      </c>
      <c r="V237" s="20">
        <v>0</v>
      </c>
      <c r="W237" s="20">
        <v>753110.2</v>
      </c>
      <c r="X237" s="20">
        <v>14349028.57</v>
      </c>
      <c r="Y237" s="20">
        <v>10875648.98</v>
      </c>
      <c r="Z237" s="20">
        <v>0</v>
      </c>
      <c r="AA237" s="20">
        <v>0</v>
      </c>
      <c r="AB237" s="20">
        <v>0</v>
      </c>
      <c r="AC237" s="20">
        <v>0</v>
      </c>
      <c r="AD237" s="20">
        <v>0</v>
      </c>
      <c r="AE237" s="20">
        <v>0</v>
      </c>
      <c r="AF237" s="20">
        <v>0</v>
      </c>
      <c r="AG237" s="51">
        <f t="shared" si="12"/>
        <v>7513877.5599999949</v>
      </c>
      <c r="AH237" s="20">
        <v>0</v>
      </c>
      <c r="AI237" s="20">
        <v>0</v>
      </c>
      <c r="AJ237" s="20">
        <v>0</v>
      </c>
      <c r="AK237" s="20">
        <f t="shared" si="10"/>
        <v>0</v>
      </c>
      <c r="AL237" s="26">
        <f t="shared" si="11"/>
        <v>0</v>
      </c>
    </row>
    <row r="238" spans="1:38" x14ac:dyDescent="0.3">
      <c r="A238" s="1">
        <v>229</v>
      </c>
      <c r="B238" s="1" t="s">
        <v>114</v>
      </c>
      <c r="C238" s="1" t="s">
        <v>2347</v>
      </c>
      <c r="D238" s="1" t="s">
        <v>2344</v>
      </c>
      <c r="E238" s="1" t="s">
        <v>95</v>
      </c>
      <c r="F238" s="1" t="s">
        <v>2348</v>
      </c>
      <c r="H238" s="1">
        <v>14822</v>
      </c>
      <c r="I238" s="3" t="s">
        <v>2340</v>
      </c>
      <c r="J238" s="1" t="s">
        <v>2345</v>
      </c>
      <c r="K238" s="1" t="s">
        <v>2788</v>
      </c>
      <c r="L238" s="1" t="s">
        <v>2350</v>
      </c>
      <c r="M238" s="1" t="s">
        <v>2786</v>
      </c>
      <c r="N238" s="1" t="s">
        <v>2787</v>
      </c>
      <c r="O238" s="1" t="s">
        <v>42</v>
      </c>
      <c r="Q238" s="1" t="s">
        <v>2346</v>
      </c>
      <c r="R238" s="1" t="s">
        <v>2353</v>
      </c>
      <c r="S238" s="1" t="s">
        <v>2354</v>
      </c>
      <c r="T238" s="49">
        <v>34424489.799999997</v>
      </c>
      <c r="U238" s="20">
        <v>932824.49</v>
      </c>
      <c r="V238" s="20">
        <v>0</v>
      </c>
      <c r="W238" s="20">
        <v>753110.2</v>
      </c>
      <c r="X238" s="20">
        <v>14349028.57</v>
      </c>
      <c r="Y238" s="20">
        <v>10875648.98</v>
      </c>
      <c r="Z238" s="20">
        <v>0</v>
      </c>
      <c r="AA238" s="20">
        <v>0</v>
      </c>
      <c r="AB238" s="20">
        <v>0</v>
      </c>
      <c r="AC238" s="20">
        <v>0</v>
      </c>
      <c r="AD238" s="20">
        <v>0</v>
      </c>
      <c r="AE238" s="20">
        <v>0</v>
      </c>
      <c r="AF238" s="20">
        <v>0</v>
      </c>
      <c r="AG238" s="51">
        <f t="shared" si="12"/>
        <v>7513877.5599999949</v>
      </c>
      <c r="AH238" s="20">
        <v>0</v>
      </c>
      <c r="AI238" s="20">
        <v>0</v>
      </c>
      <c r="AJ238" s="20">
        <v>0</v>
      </c>
      <c r="AK238" s="20">
        <f t="shared" si="10"/>
        <v>0</v>
      </c>
      <c r="AL238" s="26">
        <f t="shared" si="11"/>
        <v>0</v>
      </c>
    </row>
    <row r="239" spans="1:38" x14ac:dyDescent="0.3">
      <c r="A239" s="1">
        <v>230</v>
      </c>
      <c r="B239" s="1" t="s">
        <v>114</v>
      </c>
      <c r="C239" s="1" t="s">
        <v>2347</v>
      </c>
      <c r="D239" s="1" t="s">
        <v>2344</v>
      </c>
      <c r="E239" s="1" t="s">
        <v>95</v>
      </c>
      <c r="F239" s="1" t="s">
        <v>2348</v>
      </c>
      <c r="H239" s="1">
        <v>5744</v>
      </c>
      <c r="I239" s="3" t="s">
        <v>2340</v>
      </c>
      <c r="J239" s="1" t="s">
        <v>2345</v>
      </c>
      <c r="K239" s="1" t="s">
        <v>2789</v>
      </c>
      <c r="L239" s="1" t="s">
        <v>2350</v>
      </c>
      <c r="M239" s="1" t="s">
        <v>2786</v>
      </c>
      <c r="N239" s="1" t="s">
        <v>2787</v>
      </c>
      <c r="O239" s="1" t="s">
        <v>42</v>
      </c>
      <c r="Q239" s="1" t="s">
        <v>2346</v>
      </c>
      <c r="R239" s="1" t="s">
        <v>2353</v>
      </c>
      <c r="S239" s="1" t="s">
        <v>2354</v>
      </c>
      <c r="T239" s="49">
        <v>34424489.799999997</v>
      </c>
      <c r="U239" s="20">
        <v>932824.49</v>
      </c>
      <c r="V239" s="20">
        <v>0</v>
      </c>
      <c r="W239" s="20">
        <v>753110.2</v>
      </c>
      <c r="X239" s="20">
        <v>14349028.57</v>
      </c>
      <c r="Y239" s="20">
        <v>10875648.98</v>
      </c>
      <c r="Z239" s="20">
        <v>0</v>
      </c>
      <c r="AA239" s="20">
        <v>0</v>
      </c>
      <c r="AB239" s="20">
        <v>0</v>
      </c>
      <c r="AC239" s="20">
        <v>0</v>
      </c>
      <c r="AD239" s="20">
        <v>0</v>
      </c>
      <c r="AE239" s="20">
        <v>0</v>
      </c>
      <c r="AF239" s="20">
        <v>0</v>
      </c>
      <c r="AG239" s="51">
        <f t="shared" si="12"/>
        <v>7513877.5599999949</v>
      </c>
      <c r="AH239" s="20">
        <v>0</v>
      </c>
      <c r="AI239" s="20">
        <v>0</v>
      </c>
      <c r="AJ239" s="20">
        <v>0</v>
      </c>
      <c r="AK239" s="20">
        <f t="shared" si="10"/>
        <v>0</v>
      </c>
      <c r="AL239" s="26">
        <f t="shared" si="11"/>
        <v>0</v>
      </c>
    </row>
    <row r="240" spans="1:38" x14ac:dyDescent="0.3">
      <c r="A240" s="1">
        <v>231</v>
      </c>
      <c r="B240" s="1" t="s">
        <v>114</v>
      </c>
      <c r="C240" s="1" t="s">
        <v>2347</v>
      </c>
      <c r="D240" s="1" t="s">
        <v>2344</v>
      </c>
      <c r="E240" s="1" t="s">
        <v>95</v>
      </c>
      <c r="F240" s="1" t="s">
        <v>2348</v>
      </c>
      <c r="H240" s="1">
        <v>6086</v>
      </c>
      <c r="I240" s="3" t="s">
        <v>2340</v>
      </c>
      <c r="J240" s="1" t="s">
        <v>2345</v>
      </c>
      <c r="K240" s="1" t="s">
        <v>2790</v>
      </c>
      <c r="L240" s="1" t="s">
        <v>2350</v>
      </c>
      <c r="M240" s="1" t="s">
        <v>2786</v>
      </c>
      <c r="N240" s="1" t="s">
        <v>2787</v>
      </c>
      <c r="O240" s="1" t="s">
        <v>42</v>
      </c>
      <c r="Q240" s="1" t="s">
        <v>2346</v>
      </c>
      <c r="R240" s="1" t="s">
        <v>2353</v>
      </c>
      <c r="S240" s="1" t="s">
        <v>2354</v>
      </c>
      <c r="T240" s="49">
        <v>34424489.799999997</v>
      </c>
      <c r="U240" s="20">
        <v>932824.49</v>
      </c>
      <c r="V240" s="20">
        <v>0</v>
      </c>
      <c r="W240" s="20">
        <v>753110.2</v>
      </c>
      <c r="X240" s="20">
        <v>14349028.57</v>
      </c>
      <c r="Y240" s="20">
        <v>10875648.98</v>
      </c>
      <c r="Z240" s="20">
        <v>0</v>
      </c>
      <c r="AA240" s="20">
        <v>0</v>
      </c>
      <c r="AB240" s="20">
        <v>0</v>
      </c>
      <c r="AC240" s="20">
        <v>0</v>
      </c>
      <c r="AD240" s="20">
        <v>0</v>
      </c>
      <c r="AE240" s="20">
        <v>0</v>
      </c>
      <c r="AF240" s="20">
        <v>0</v>
      </c>
      <c r="AG240" s="51">
        <f t="shared" si="12"/>
        <v>7513877.5599999949</v>
      </c>
      <c r="AH240" s="20">
        <v>0</v>
      </c>
      <c r="AI240" s="20">
        <v>0</v>
      </c>
      <c r="AJ240" s="20">
        <v>0</v>
      </c>
      <c r="AK240" s="20">
        <f t="shared" si="10"/>
        <v>0</v>
      </c>
      <c r="AL240" s="26">
        <f t="shared" si="11"/>
        <v>0</v>
      </c>
    </row>
    <row r="241" spans="1:38" x14ac:dyDescent="0.3">
      <c r="A241" s="1">
        <v>232</v>
      </c>
      <c r="B241" s="1" t="s">
        <v>114</v>
      </c>
      <c r="C241" s="1" t="s">
        <v>2347</v>
      </c>
      <c r="D241" s="1" t="s">
        <v>2344</v>
      </c>
      <c r="E241" s="1" t="s">
        <v>95</v>
      </c>
      <c r="F241" s="1" t="s">
        <v>2348</v>
      </c>
      <c r="H241" s="1">
        <v>15854</v>
      </c>
      <c r="I241" s="3" t="s">
        <v>2340</v>
      </c>
      <c r="J241" s="1" t="s">
        <v>2345</v>
      </c>
      <c r="K241" s="1" t="s">
        <v>2791</v>
      </c>
      <c r="L241" s="1" t="s">
        <v>2350</v>
      </c>
      <c r="M241" s="1" t="s">
        <v>2786</v>
      </c>
      <c r="N241" s="1" t="s">
        <v>2787</v>
      </c>
      <c r="O241" s="1" t="s">
        <v>42</v>
      </c>
      <c r="Q241" s="1" t="s">
        <v>2346</v>
      </c>
      <c r="R241" s="1" t="s">
        <v>2353</v>
      </c>
      <c r="S241" s="1" t="s">
        <v>2354</v>
      </c>
      <c r="T241" s="49">
        <v>34424489.799999997</v>
      </c>
      <c r="U241" s="20">
        <v>932824.49</v>
      </c>
      <c r="V241" s="20">
        <v>0</v>
      </c>
      <c r="W241" s="20">
        <v>753110.2</v>
      </c>
      <c r="X241" s="20">
        <v>14349028.57</v>
      </c>
      <c r="Y241" s="20">
        <v>10875648.98</v>
      </c>
      <c r="Z241" s="20">
        <v>0</v>
      </c>
      <c r="AA241" s="20">
        <v>0</v>
      </c>
      <c r="AB241" s="20">
        <v>0</v>
      </c>
      <c r="AC241" s="20">
        <v>0</v>
      </c>
      <c r="AD241" s="20">
        <v>0</v>
      </c>
      <c r="AE241" s="20">
        <v>0</v>
      </c>
      <c r="AF241" s="20">
        <v>0</v>
      </c>
      <c r="AG241" s="51">
        <f t="shared" si="12"/>
        <v>7513877.5599999949</v>
      </c>
      <c r="AH241" s="20">
        <v>0</v>
      </c>
      <c r="AI241" s="20">
        <v>0</v>
      </c>
      <c r="AJ241" s="20">
        <v>0</v>
      </c>
      <c r="AK241" s="20">
        <f t="shared" si="10"/>
        <v>0</v>
      </c>
      <c r="AL241" s="26">
        <f t="shared" si="11"/>
        <v>0</v>
      </c>
    </row>
    <row r="242" spans="1:38" x14ac:dyDescent="0.3">
      <c r="A242" s="1">
        <v>233</v>
      </c>
      <c r="B242" s="1" t="s">
        <v>114</v>
      </c>
      <c r="C242" s="1" t="s">
        <v>2347</v>
      </c>
      <c r="D242" s="1" t="s">
        <v>2344</v>
      </c>
      <c r="E242" s="1" t="s">
        <v>95</v>
      </c>
      <c r="F242" s="1" t="s">
        <v>2348</v>
      </c>
      <c r="H242" s="1">
        <v>4871</v>
      </c>
      <c r="I242" s="3" t="s">
        <v>2340</v>
      </c>
      <c r="J242" s="1" t="s">
        <v>2345</v>
      </c>
      <c r="K242" s="1" t="s">
        <v>2792</v>
      </c>
      <c r="L242" s="1" t="s">
        <v>2350</v>
      </c>
      <c r="M242" s="1" t="s">
        <v>2786</v>
      </c>
      <c r="N242" s="1" t="s">
        <v>2787</v>
      </c>
      <c r="O242" s="1" t="s">
        <v>42</v>
      </c>
      <c r="Q242" s="1" t="s">
        <v>2346</v>
      </c>
      <c r="R242" s="1" t="s">
        <v>2353</v>
      </c>
      <c r="S242" s="1" t="s">
        <v>2354</v>
      </c>
      <c r="T242" s="49">
        <v>34424489.799999997</v>
      </c>
      <c r="U242" s="20">
        <v>932824.49</v>
      </c>
      <c r="V242" s="20">
        <v>0</v>
      </c>
      <c r="W242" s="20">
        <v>753110.2</v>
      </c>
      <c r="X242" s="20">
        <v>14349028.57</v>
      </c>
      <c r="Y242" s="20">
        <v>10875648.98</v>
      </c>
      <c r="Z242" s="20">
        <v>0</v>
      </c>
      <c r="AA242" s="20">
        <v>0</v>
      </c>
      <c r="AB242" s="20">
        <v>0</v>
      </c>
      <c r="AC242" s="20">
        <v>0</v>
      </c>
      <c r="AD242" s="20">
        <v>0</v>
      </c>
      <c r="AE242" s="20">
        <v>0</v>
      </c>
      <c r="AF242" s="20">
        <v>0</v>
      </c>
      <c r="AG242" s="51">
        <f t="shared" si="12"/>
        <v>7513877.5599999949</v>
      </c>
      <c r="AH242" s="20">
        <v>0</v>
      </c>
      <c r="AI242" s="20">
        <v>0</v>
      </c>
      <c r="AJ242" s="20">
        <v>0</v>
      </c>
      <c r="AK242" s="20">
        <f t="shared" si="10"/>
        <v>0</v>
      </c>
      <c r="AL242" s="26">
        <f t="shared" si="11"/>
        <v>0</v>
      </c>
    </row>
    <row r="243" spans="1:38" x14ac:dyDescent="0.3">
      <c r="A243" s="1">
        <v>234</v>
      </c>
      <c r="B243" s="1" t="s">
        <v>114</v>
      </c>
      <c r="C243" s="1" t="s">
        <v>2347</v>
      </c>
      <c r="D243" s="1" t="s">
        <v>2344</v>
      </c>
      <c r="E243" s="1" t="s">
        <v>95</v>
      </c>
      <c r="F243" s="1" t="s">
        <v>2348</v>
      </c>
      <c r="H243" s="1">
        <v>6768</v>
      </c>
      <c r="I243" s="3" t="s">
        <v>2340</v>
      </c>
      <c r="J243" s="1" t="s">
        <v>2345</v>
      </c>
      <c r="K243" s="1" t="s">
        <v>2793</v>
      </c>
      <c r="L243" s="1" t="s">
        <v>2350</v>
      </c>
      <c r="M243" s="1" t="s">
        <v>2786</v>
      </c>
      <c r="N243" s="1" t="s">
        <v>2787</v>
      </c>
      <c r="O243" s="1" t="s">
        <v>42</v>
      </c>
      <c r="Q243" s="1" t="s">
        <v>2346</v>
      </c>
      <c r="R243" s="1" t="s">
        <v>2353</v>
      </c>
      <c r="S243" s="1" t="s">
        <v>2354</v>
      </c>
      <c r="T243" s="49">
        <v>34424489.799999997</v>
      </c>
      <c r="U243" s="20">
        <v>932824.49</v>
      </c>
      <c r="V243" s="20">
        <v>0</v>
      </c>
      <c r="W243" s="20">
        <v>753110.2</v>
      </c>
      <c r="X243" s="20">
        <v>14349028.57</v>
      </c>
      <c r="Y243" s="20">
        <v>10875648.98</v>
      </c>
      <c r="Z243" s="20">
        <v>0</v>
      </c>
      <c r="AA243" s="20">
        <v>0</v>
      </c>
      <c r="AB243" s="20">
        <v>0</v>
      </c>
      <c r="AC243" s="20">
        <v>0</v>
      </c>
      <c r="AD243" s="20">
        <v>0</v>
      </c>
      <c r="AE243" s="20">
        <v>0</v>
      </c>
      <c r="AF243" s="20">
        <v>0</v>
      </c>
      <c r="AG243" s="51">
        <f t="shared" si="12"/>
        <v>7513877.5599999949</v>
      </c>
      <c r="AH243" s="20">
        <v>0</v>
      </c>
      <c r="AI243" s="20">
        <v>0</v>
      </c>
      <c r="AJ243" s="20">
        <v>0</v>
      </c>
      <c r="AK243" s="20">
        <f t="shared" si="10"/>
        <v>0</v>
      </c>
      <c r="AL243" s="26">
        <f t="shared" si="11"/>
        <v>0</v>
      </c>
    </row>
    <row r="244" spans="1:38" x14ac:dyDescent="0.3">
      <c r="A244" s="1">
        <v>235</v>
      </c>
      <c r="B244" s="1" t="s">
        <v>114</v>
      </c>
      <c r="C244" s="1" t="s">
        <v>2347</v>
      </c>
      <c r="D244" s="1" t="s">
        <v>2344</v>
      </c>
      <c r="E244" s="1" t="s">
        <v>95</v>
      </c>
      <c r="F244" s="1" t="s">
        <v>2348</v>
      </c>
      <c r="H244" s="1">
        <v>7111</v>
      </c>
      <c r="I244" s="3" t="s">
        <v>2340</v>
      </c>
      <c r="J244" s="1" t="s">
        <v>2345</v>
      </c>
      <c r="K244" s="1" t="s">
        <v>2794</v>
      </c>
      <c r="L244" s="1" t="s">
        <v>2350</v>
      </c>
      <c r="M244" s="1" t="s">
        <v>2786</v>
      </c>
      <c r="N244" s="1" t="s">
        <v>2787</v>
      </c>
      <c r="O244" s="1" t="s">
        <v>42</v>
      </c>
      <c r="Q244" s="1" t="s">
        <v>2346</v>
      </c>
      <c r="R244" s="1" t="s">
        <v>2353</v>
      </c>
      <c r="S244" s="1" t="s">
        <v>2354</v>
      </c>
      <c r="T244" s="49">
        <v>34424489.799999997</v>
      </c>
      <c r="U244" s="20">
        <v>932824.49</v>
      </c>
      <c r="V244" s="20">
        <v>0</v>
      </c>
      <c r="W244" s="20">
        <v>753110.2</v>
      </c>
      <c r="X244" s="20">
        <v>14349028.57</v>
      </c>
      <c r="Y244" s="20">
        <v>10875648.98</v>
      </c>
      <c r="Z244" s="20">
        <v>0</v>
      </c>
      <c r="AA244" s="20">
        <v>0</v>
      </c>
      <c r="AB244" s="20">
        <v>0</v>
      </c>
      <c r="AC244" s="20">
        <v>0</v>
      </c>
      <c r="AD244" s="20">
        <v>0</v>
      </c>
      <c r="AE244" s="20">
        <v>0</v>
      </c>
      <c r="AF244" s="20">
        <v>0</v>
      </c>
      <c r="AG244" s="51">
        <f t="shared" si="12"/>
        <v>7513877.5599999949</v>
      </c>
      <c r="AH244" s="20">
        <v>0</v>
      </c>
      <c r="AI244" s="20">
        <v>0</v>
      </c>
      <c r="AJ244" s="20">
        <v>0</v>
      </c>
      <c r="AK244" s="20">
        <f t="shared" si="10"/>
        <v>0</v>
      </c>
      <c r="AL244" s="26">
        <f t="shared" si="11"/>
        <v>0</v>
      </c>
    </row>
    <row r="245" spans="1:38" x14ac:dyDescent="0.3">
      <c r="A245" s="1">
        <v>236</v>
      </c>
      <c r="B245" s="1" t="s">
        <v>114</v>
      </c>
      <c r="C245" s="1" t="s">
        <v>2347</v>
      </c>
      <c r="D245" s="1" t="s">
        <v>2344</v>
      </c>
      <c r="E245" s="1" t="s">
        <v>95</v>
      </c>
      <c r="F245" s="1" t="s">
        <v>2348</v>
      </c>
      <c r="H245" s="1">
        <v>6295</v>
      </c>
      <c r="I245" s="3" t="s">
        <v>2340</v>
      </c>
      <c r="J245" s="1" t="s">
        <v>2345</v>
      </c>
      <c r="K245" s="1" t="s">
        <v>2795</v>
      </c>
      <c r="L245" s="1" t="s">
        <v>2350</v>
      </c>
      <c r="M245" s="1" t="s">
        <v>2786</v>
      </c>
      <c r="N245" s="1" t="s">
        <v>2787</v>
      </c>
      <c r="O245" s="1" t="s">
        <v>42</v>
      </c>
      <c r="Q245" s="1" t="s">
        <v>2346</v>
      </c>
      <c r="R245" s="1" t="s">
        <v>2353</v>
      </c>
      <c r="S245" s="1" t="s">
        <v>2354</v>
      </c>
      <c r="T245" s="49">
        <v>34424489.799999997</v>
      </c>
      <c r="U245" s="20">
        <v>932824.49</v>
      </c>
      <c r="V245" s="20">
        <v>0</v>
      </c>
      <c r="W245" s="20">
        <v>753110.2</v>
      </c>
      <c r="X245" s="20">
        <v>14349028.57</v>
      </c>
      <c r="Y245" s="20">
        <v>10875648.98</v>
      </c>
      <c r="Z245" s="20">
        <v>0</v>
      </c>
      <c r="AA245" s="20">
        <v>0</v>
      </c>
      <c r="AB245" s="20">
        <v>0</v>
      </c>
      <c r="AC245" s="20">
        <v>0</v>
      </c>
      <c r="AD245" s="20">
        <v>0</v>
      </c>
      <c r="AE245" s="20">
        <v>0</v>
      </c>
      <c r="AF245" s="20">
        <v>0</v>
      </c>
      <c r="AG245" s="51">
        <f t="shared" si="12"/>
        <v>7513877.5599999949</v>
      </c>
      <c r="AH245" s="20">
        <v>0</v>
      </c>
      <c r="AI245" s="20">
        <v>0</v>
      </c>
      <c r="AJ245" s="20">
        <v>0</v>
      </c>
      <c r="AK245" s="20">
        <f t="shared" si="10"/>
        <v>0</v>
      </c>
      <c r="AL245" s="26">
        <f t="shared" si="11"/>
        <v>0</v>
      </c>
    </row>
    <row r="246" spans="1:38" x14ac:dyDescent="0.3">
      <c r="A246" s="1">
        <v>237</v>
      </c>
      <c r="B246" s="1" t="s">
        <v>114</v>
      </c>
      <c r="C246" s="1" t="s">
        <v>2347</v>
      </c>
      <c r="D246" s="1" t="s">
        <v>2344</v>
      </c>
      <c r="E246" s="1" t="s">
        <v>95</v>
      </c>
      <c r="F246" s="1" t="s">
        <v>2348</v>
      </c>
      <c r="H246" s="1">
        <v>8349</v>
      </c>
      <c r="I246" s="3" t="s">
        <v>2340</v>
      </c>
      <c r="J246" s="1" t="s">
        <v>2345</v>
      </c>
      <c r="K246" s="1" t="s">
        <v>2796</v>
      </c>
      <c r="L246" s="1" t="s">
        <v>2350</v>
      </c>
      <c r="M246" s="1" t="s">
        <v>2786</v>
      </c>
      <c r="N246" s="1" t="s">
        <v>2787</v>
      </c>
      <c r="O246" s="1" t="s">
        <v>42</v>
      </c>
      <c r="Q246" s="1" t="s">
        <v>2346</v>
      </c>
      <c r="R246" s="1" t="s">
        <v>2353</v>
      </c>
      <c r="S246" s="1" t="s">
        <v>2354</v>
      </c>
      <c r="T246" s="49">
        <v>34424489.799999997</v>
      </c>
      <c r="U246" s="20">
        <v>932824.49</v>
      </c>
      <c r="V246" s="20">
        <v>0</v>
      </c>
      <c r="W246" s="20">
        <v>753110.2</v>
      </c>
      <c r="X246" s="20">
        <v>14349028.57</v>
      </c>
      <c r="Y246" s="20">
        <v>10875648.98</v>
      </c>
      <c r="Z246" s="20">
        <v>0</v>
      </c>
      <c r="AA246" s="20">
        <v>0</v>
      </c>
      <c r="AB246" s="20">
        <v>0</v>
      </c>
      <c r="AC246" s="20">
        <v>0</v>
      </c>
      <c r="AD246" s="20">
        <v>0</v>
      </c>
      <c r="AE246" s="20">
        <v>0</v>
      </c>
      <c r="AF246" s="20">
        <v>0</v>
      </c>
      <c r="AG246" s="51">
        <f t="shared" si="12"/>
        <v>7513877.5599999949</v>
      </c>
      <c r="AH246" s="20">
        <v>0</v>
      </c>
      <c r="AI246" s="20">
        <v>0</v>
      </c>
      <c r="AJ246" s="20">
        <v>0</v>
      </c>
      <c r="AK246" s="20">
        <f t="shared" si="10"/>
        <v>0</v>
      </c>
      <c r="AL246" s="26">
        <f t="shared" si="11"/>
        <v>0</v>
      </c>
    </row>
    <row r="247" spans="1:38" x14ac:dyDescent="0.3">
      <c r="A247" s="1">
        <v>238</v>
      </c>
      <c r="B247" s="1" t="s">
        <v>114</v>
      </c>
      <c r="C247" s="1" t="s">
        <v>2347</v>
      </c>
      <c r="D247" s="1" t="s">
        <v>2344</v>
      </c>
      <c r="E247" s="1" t="s">
        <v>95</v>
      </c>
      <c r="F247" s="1" t="s">
        <v>2348</v>
      </c>
      <c r="H247" s="1">
        <v>6923</v>
      </c>
      <c r="I247" s="3" t="s">
        <v>2340</v>
      </c>
      <c r="J247" s="1" t="s">
        <v>2345</v>
      </c>
      <c r="K247" s="1" t="s">
        <v>2797</v>
      </c>
      <c r="L247" s="1" t="s">
        <v>2350</v>
      </c>
      <c r="M247" s="1" t="s">
        <v>2786</v>
      </c>
      <c r="N247" s="1" t="s">
        <v>2787</v>
      </c>
      <c r="O247" s="1" t="s">
        <v>42</v>
      </c>
      <c r="Q247" s="1" t="s">
        <v>2346</v>
      </c>
      <c r="R247" s="1" t="s">
        <v>2353</v>
      </c>
      <c r="S247" s="1" t="s">
        <v>2354</v>
      </c>
      <c r="T247" s="49">
        <v>34424489.799999997</v>
      </c>
      <c r="U247" s="20">
        <v>932824.49</v>
      </c>
      <c r="V247" s="20">
        <v>0</v>
      </c>
      <c r="W247" s="20">
        <v>753110.2</v>
      </c>
      <c r="X247" s="20">
        <v>14349028.57</v>
      </c>
      <c r="Y247" s="20">
        <v>10875648.98</v>
      </c>
      <c r="Z247" s="20">
        <v>0</v>
      </c>
      <c r="AA247" s="20">
        <v>0</v>
      </c>
      <c r="AB247" s="20">
        <v>0</v>
      </c>
      <c r="AC247" s="20">
        <v>0</v>
      </c>
      <c r="AD247" s="20">
        <v>0</v>
      </c>
      <c r="AE247" s="20">
        <v>0</v>
      </c>
      <c r="AF247" s="20">
        <v>0</v>
      </c>
      <c r="AG247" s="51">
        <f t="shared" si="12"/>
        <v>7513877.5599999949</v>
      </c>
      <c r="AH247" s="20">
        <v>0</v>
      </c>
      <c r="AI247" s="20">
        <v>0</v>
      </c>
      <c r="AJ247" s="20">
        <v>0</v>
      </c>
      <c r="AK247" s="20">
        <f t="shared" si="10"/>
        <v>0</v>
      </c>
      <c r="AL247" s="26">
        <f t="shared" si="11"/>
        <v>0</v>
      </c>
    </row>
    <row r="248" spans="1:38" x14ac:dyDescent="0.3">
      <c r="A248" s="1">
        <v>239</v>
      </c>
      <c r="B248" s="1" t="s">
        <v>114</v>
      </c>
      <c r="C248" s="1" t="s">
        <v>2347</v>
      </c>
      <c r="D248" s="1" t="s">
        <v>2344</v>
      </c>
      <c r="E248" s="1" t="s">
        <v>95</v>
      </c>
      <c r="F248" s="1" t="s">
        <v>2348</v>
      </c>
      <c r="H248" s="1">
        <v>6616</v>
      </c>
      <c r="I248" s="3" t="s">
        <v>2340</v>
      </c>
      <c r="J248" s="1" t="s">
        <v>2345</v>
      </c>
      <c r="K248" s="1" t="s">
        <v>2798</v>
      </c>
      <c r="L248" s="1" t="s">
        <v>2350</v>
      </c>
      <c r="M248" s="1" t="s">
        <v>2786</v>
      </c>
      <c r="N248" s="1" t="s">
        <v>2787</v>
      </c>
      <c r="O248" s="1" t="s">
        <v>42</v>
      </c>
      <c r="Q248" s="1" t="s">
        <v>2346</v>
      </c>
      <c r="R248" s="1" t="s">
        <v>2353</v>
      </c>
      <c r="S248" s="1" t="s">
        <v>2354</v>
      </c>
      <c r="T248" s="49">
        <v>34424489.799999997</v>
      </c>
      <c r="U248" s="20">
        <v>932824.49</v>
      </c>
      <c r="V248" s="20">
        <v>0</v>
      </c>
      <c r="W248" s="20">
        <v>753110.2</v>
      </c>
      <c r="X248" s="20">
        <v>14349028.57</v>
      </c>
      <c r="Y248" s="20">
        <v>10875648.98</v>
      </c>
      <c r="Z248" s="20">
        <v>0</v>
      </c>
      <c r="AA248" s="20">
        <v>0</v>
      </c>
      <c r="AB248" s="20">
        <v>0</v>
      </c>
      <c r="AC248" s="20">
        <v>0</v>
      </c>
      <c r="AD248" s="20">
        <v>0</v>
      </c>
      <c r="AE248" s="20">
        <v>0</v>
      </c>
      <c r="AF248" s="20">
        <v>0</v>
      </c>
      <c r="AG248" s="51">
        <f t="shared" si="12"/>
        <v>7513877.5599999949</v>
      </c>
      <c r="AH248" s="20">
        <v>0</v>
      </c>
      <c r="AI248" s="20">
        <v>0</v>
      </c>
      <c r="AJ248" s="20">
        <v>0</v>
      </c>
      <c r="AK248" s="20">
        <f t="shared" si="10"/>
        <v>0</v>
      </c>
      <c r="AL248" s="26">
        <f t="shared" si="11"/>
        <v>0</v>
      </c>
    </row>
    <row r="249" spans="1:38" x14ac:dyDescent="0.3">
      <c r="A249" s="1">
        <v>240</v>
      </c>
      <c r="B249" s="1" t="s">
        <v>114</v>
      </c>
      <c r="C249" s="1" t="s">
        <v>2347</v>
      </c>
      <c r="D249" s="1" t="s">
        <v>2344</v>
      </c>
      <c r="E249" s="1" t="s">
        <v>95</v>
      </c>
      <c r="F249" s="1" t="s">
        <v>2348</v>
      </c>
      <c r="H249" s="1">
        <v>9460</v>
      </c>
      <c r="I249" s="3" t="s">
        <v>2340</v>
      </c>
      <c r="J249" s="1" t="s">
        <v>2345</v>
      </c>
      <c r="K249" s="1" t="s">
        <v>2799</v>
      </c>
      <c r="L249" s="1" t="s">
        <v>2350</v>
      </c>
      <c r="M249" s="1" t="s">
        <v>2786</v>
      </c>
      <c r="N249" s="1" t="s">
        <v>2787</v>
      </c>
      <c r="O249" s="1" t="s">
        <v>42</v>
      </c>
      <c r="Q249" s="1" t="s">
        <v>2346</v>
      </c>
      <c r="R249" s="1" t="s">
        <v>2353</v>
      </c>
      <c r="S249" s="1" t="s">
        <v>2354</v>
      </c>
      <c r="T249" s="49">
        <v>34424489.799999997</v>
      </c>
      <c r="U249" s="20">
        <v>932824.49</v>
      </c>
      <c r="V249" s="20">
        <v>0</v>
      </c>
      <c r="W249" s="20">
        <v>753110.2</v>
      </c>
      <c r="X249" s="20">
        <v>14349028.57</v>
      </c>
      <c r="Y249" s="20">
        <v>10875648.98</v>
      </c>
      <c r="Z249" s="20">
        <v>0</v>
      </c>
      <c r="AA249" s="20">
        <v>0</v>
      </c>
      <c r="AB249" s="20">
        <v>0</v>
      </c>
      <c r="AC249" s="20">
        <v>0</v>
      </c>
      <c r="AD249" s="20">
        <v>0</v>
      </c>
      <c r="AE249" s="20">
        <v>0</v>
      </c>
      <c r="AF249" s="20">
        <v>0</v>
      </c>
      <c r="AG249" s="51">
        <f t="shared" si="12"/>
        <v>7513877.5599999949</v>
      </c>
      <c r="AH249" s="20">
        <v>0</v>
      </c>
      <c r="AI249" s="20">
        <v>0</v>
      </c>
      <c r="AJ249" s="20">
        <v>0</v>
      </c>
      <c r="AK249" s="20">
        <f t="shared" si="10"/>
        <v>0</v>
      </c>
      <c r="AL249" s="26">
        <f t="shared" si="11"/>
        <v>0</v>
      </c>
    </row>
    <row r="250" spans="1:38" x14ac:dyDescent="0.3">
      <c r="A250" s="1">
        <v>241</v>
      </c>
      <c r="B250" s="1" t="s">
        <v>114</v>
      </c>
      <c r="C250" s="1" t="s">
        <v>2347</v>
      </c>
      <c r="D250" s="1" t="s">
        <v>2344</v>
      </c>
      <c r="E250" s="1" t="s">
        <v>95</v>
      </c>
      <c r="F250" s="1" t="s">
        <v>2348</v>
      </c>
      <c r="H250" s="1">
        <v>5444</v>
      </c>
      <c r="I250" s="3" t="s">
        <v>2340</v>
      </c>
      <c r="J250" s="1" t="s">
        <v>2345</v>
      </c>
      <c r="K250" s="1" t="s">
        <v>2800</v>
      </c>
      <c r="L250" s="1" t="s">
        <v>2350</v>
      </c>
      <c r="M250" s="1" t="s">
        <v>2786</v>
      </c>
      <c r="N250" s="1" t="s">
        <v>2787</v>
      </c>
      <c r="O250" s="1" t="s">
        <v>42</v>
      </c>
      <c r="Q250" s="1" t="s">
        <v>2346</v>
      </c>
      <c r="R250" s="1" t="s">
        <v>2353</v>
      </c>
      <c r="S250" s="1" t="s">
        <v>2354</v>
      </c>
      <c r="T250" s="49">
        <v>34424489.799999997</v>
      </c>
      <c r="U250" s="20">
        <v>932824.49</v>
      </c>
      <c r="V250" s="20">
        <v>0</v>
      </c>
      <c r="W250" s="20">
        <v>753110.2</v>
      </c>
      <c r="X250" s="20">
        <v>14349028.57</v>
      </c>
      <c r="Y250" s="20">
        <v>10875648.98</v>
      </c>
      <c r="Z250" s="20">
        <v>0</v>
      </c>
      <c r="AA250" s="20">
        <v>0</v>
      </c>
      <c r="AB250" s="20">
        <v>0</v>
      </c>
      <c r="AC250" s="20">
        <v>0</v>
      </c>
      <c r="AD250" s="20">
        <v>0</v>
      </c>
      <c r="AE250" s="20">
        <v>0</v>
      </c>
      <c r="AF250" s="20">
        <v>0</v>
      </c>
      <c r="AG250" s="51">
        <f t="shared" si="12"/>
        <v>7513877.5599999949</v>
      </c>
      <c r="AH250" s="20">
        <v>0</v>
      </c>
      <c r="AI250" s="20">
        <v>0</v>
      </c>
      <c r="AJ250" s="20">
        <v>0</v>
      </c>
      <c r="AK250" s="20">
        <f t="shared" si="10"/>
        <v>0</v>
      </c>
      <c r="AL250" s="26">
        <f t="shared" si="11"/>
        <v>0</v>
      </c>
    </row>
    <row r="251" spans="1:38" x14ac:dyDescent="0.3">
      <c r="A251" s="1">
        <v>242</v>
      </c>
      <c r="B251" s="1" t="s">
        <v>114</v>
      </c>
      <c r="C251" s="1" t="s">
        <v>2347</v>
      </c>
      <c r="D251" s="1" t="s">
        <v>2344</v>
      </c>
      <c r="E251" s="1" t="s">
        <v>95</v>
      </c>
      <c r="F251" s="1" t="s">
        <v>2348</v>
      </c>
      <c r="H251" s="1">
        <v>6328</v>
      </c>
      <c r="I251" s="3" t="s">
        <v>2340</v>
      </c>
      <c r="J251" s="1" t="s">
        <v>2345</v>
      </c>
      <c r="K251" s="1" t="s">
        <v>2801</v>
      </c>
      <c r="L251" s="1" t="s">
        <v>2350</v>
      </c>
      <c r="M251" s="1" t="s">
        <v>2786</v>
      </c>
      <c r="N251" s="1" t="s">
        <v>2787</v>
      </c>
      <c r="O251" s="1" t="s">
        <v>42</v>
      </c>
      <c r="Q251" s="1" t="s">
        <v>2346</v>
      </c>
      <c r="R251" s="1" t="s">
        <v>2353</v>
      </c>
      <c r="S251" s="1" t="s">
        <v>2354</v>
      </c>
      <c r="T251" s="49">
        <v>34424489.799999997</v>
      </c>
      <c r="U251" s="20">
        <v>932824.49</v>
      </c>
      <c r="V251" s="20">
        <v>0</v>
      </c>
      <c r="W251" s="20">
        <v>753110.2</v>
      </c>
      <c r="X251" s="20">
        <v>14349028.57</v>
      </c>
      <c r="Y251" s="20">
        <v>10875648.98</v>
      </c>
      <c r="Z251" s="20">
        <v>0</v>
      </c>
      <c r="AA251" s="20">
        <v>0</v>
      </c>
      <c r="AB251" s="20">
        <v>0</v>
      </c>
      <c r="AC251" s="20">
        <v>0</v>
      </c>
      <c r="AD251" s="20">
        <v>0</v>
      </c>
      <c r="AE251" s="20">
        <v>0</v>
      </c>
      <c r="AF251" s="20">
        <v>0</v>
      </c>
      <c r="AG251" s="51">
        <f t="shared" si="12"/>
        <v>7513877.5599999949</v>
      </c>
      <c r="AH251" s="20">
        <v>0</v>
      </c>
      <c r="AI251" s="20">
        <v>0</v>
      </c>
      <c r="AJ251" s="20">
        <v>0</v>
      </c>
      <c r="AK251" s="20">
        <f t="shared" si="10"/>
        <v>0</v>
      </c>
      <c r="AL251" s="26">
        <f t="shared" si="11"/>
        <v>0</v>
      </c>
    </row>
    <row r="252" spans="1:38" x14ac:dyDescent="0.3">
      <c r="A252" s="1">
        <v>243</v>
      </c>
      <c r="B252" s="1" t="s">
        <v>114</v>
      </c>
      <c r="C252" s="1" t="s">
        <v>2347</v>
      </c>
      <c r="D252" s="1" t="s">
        <v>2344</v>
      </c>
      <c r="E252" s="1" t="s">
        <v>95</v>
      </c>
      <c r="F252" s="1" t="s">
        <v>2348</v>
      </c>
      <c r="H252" s="1">
        <v>7815</v>
      </c>
      <c r="I252" s="3" t="s">
        <v>2340</v>
      </c>
      <c r="J252" s="1" t="s">
        <v>2345</v>
      </c>
      <c r="K252" s="1" t="s">
        <v>2802</v>
      </c>
      <c r="L252" s="1" t="s">
        <v>2350</v>
      </c>
      <c r="M252" s="1" t="s">
        <v>2786</v>
      </c>
      <c r="N252" s="1" t="s">
        <v>2787</v>
      </c>
      <c r="O252" s="1" t="s">
        <v>42</v>
      </c>
      <c r="Q252" s="1" t="s">
        <v>2346</v>
      </c>
      <c r="R252" s="1" t="s">
        <v>2353</v>
      </c>
      <c r="S252" s="1" t="s">
        <v>2354</v>
      </c>
      <c r="T252" s="49">
        <v>34424489.799999997</v>
      </c>
      <c r="U252" s="20">
        <v>932824.49</v>
      </c>
      <c r="V252" s="20">
        <v>0</v>
      </c>
      <c r="W252" s="20">
        <v>753110.2</v>
      </c>
      <c r="X252" s="20">
        <v>14349028.57</v>
      </c>
      <c r="Y252" s="20">
        <v>10875648.98</v>
      </c>
      <c r="Z252" s="20">
        <v>0</v>
      </c>
      <c r="AA252" s="20">
        <v>0</v>
      </c>
      <c r="AB252" s="20">
        <v>0</v>
      </c>
      <c r="AC252" s="20">
        <v>0</v>
      </c>
      <c r="AD252" s="20">
        <v>0</v>
      </c>
      <c r="AE252" s="20">
        <v>0</v>
      </c>
      <c r="AF252" s="20">
        <v>0</v>
      </c>
      <c r="AG252" s="51">
        <f t="shared" si="12"/>
        <v>7513877.5599999949</v>
      </c>
      <c r="AH252" s="20">
        <v>0</v>
      </c>
      <c r="AI252" s="20">
        <v>0</v>
      </c>
      <c r="AJ252" s="20">
        <v>0</v>
      </c>
      <c r="AK252" s="20">
        <f t="shared" ref="AK252:AK315" si="13">IFERROR(SUM(AH252:AJ252)/COUNTIFS(AH252:AJ252,"&lt;&gt;0"),0)</f>
        <v>0</v>
      </c>
      <c r="AL252" s="26">
        <f t="shared" ref="AL252:AL315" si="14">IFERROR((T252/AK252)-100%,0)</f>
        <v>0</v>
      </c>
    </row>
    <row r="253" spans="1:38" x14ac:dyDescent="0.3">
      <c r="A253" s="1">
        <v>244</v>
      </c>
      <c r="B253" s="1" t="s">
        <v>114</v>
      </c>
      <c r="C253" s="1" t="s">
        <v>2347</v>
      </c>
      <c r="D253" s="1" t="s">
        <v>2344</v>
      </c>
      <c r="E253" s="1" t="s">
        <v>95</v>
      </c>
      <c r="F253" s="1" t="s">
        <v>2348</v>
      </c>
      <c r="H253" s="1">
        <v>6858</v>
      </c>
      <c r="I253" s="3" t="s">
        <v>2340</v>
      </c>
      <c r="J253" s="1" t="s">
        <v>2345</v>
      </c>
      <c r="K253" s="1" t="s">
        <v>2803</v>
      </c>
      <c r="L253" s="1" t="s">
        <v>2350</v>
      </c>
      <c r="M253" s="1" t="s">
        <v>2786</v>
      </c>
      <c r="N253" s="1" t="s">
        <v>2787</v>
      </c>
      <c r="O253" s="1" t="s">
        <v>42</v>
      </c>
      <c r="Q253" s="1" t="s">
        <v>2346</v>
      </c>
      <c r="R253" s="1" t="s">
        <v>2353</v>
      </c>
      <c r="S253" s="1" t="s">
        <v>2354</v>
      </c>
      <c r="T253" s="49">
        <v>34424489.799999997</v>
      </c>
      <c r="U253" s="20">
        <v>932824.49</v>
      </c>
      <c r="V253" s="20">
        <v>0</v>
      </c>
      <c r="W253" s="20">
        <v>753110.2</v>
      </c>
      <c r="X253" s="20">
        <v>14349028.57</v>
      </c>
      <c r="Y253" s="20">
        <v>10875648.98</v>
      </c>
      <c r="Z253" s="20">
        <v>0</v>
      </c>
      <c r="AA253" s="20">
        <v>0</v>
      </c>
      <c r="AB253" s="20">
        <v>0</v>
      </c>
      <c r="AC253" s="20">
        <v>0</v>
      </c>
      <c r="AD253" s="20">
        <v>0</v>
      </c>
      <c r="AE253" s="20">
        <v>0</v>
      </c>
      <c r="AF253" s="20">
        <v>0</v>
      </c>
      <c r="AG253" s="51">
        <f t="shared" si="12"/>
        <v>7513877.5599999949</v>
      </c>
      <c r="AH253" s="20">
        <v>0</v>
      </c>
      <c r="AI253" s="20">
        <v>0</v>
      </c>
      <c r="AJ253" s="20">
        <v>0</v>
      </c>
      <c r="AK253" s="20">
        <f t="shared" si="13"/>
        <v>0</v>
      </c>
      <c r="AL253" s="26">
        <f t="shared" si="14"/>
        <v>0</v>
      </c>
    </row>
    <row r="254" spans="1:38" x14ac:dyDescent="0.3">
      <c r="A254" s="1">
        <v>245</v>
      </c>
      <c r="B254" s="1" t="s">
        <v>114</v>
      </c>
      <c r="C254" s="1" t="s">
        <v>2347</v>
      </c>
      <c r="D254" s="1" t="s">
        <v>2344</v>
      </c>
      <c r="E254" s="1" t="s">
        <v>95</v>
      </c>
      <c r="F254" s="1" t="s">
        <v>2348</v>
      </c>
      <c r="H254" s="1">
        <v>5003</v>
      </c>
      <c r="I254" s="3" t="s">
        <v>2340</v>
      </c>
      <c r="J254" s="1" t="s">
        <v>2345</v>
      </c>
      <c r="K254" s="1" t="s">
        <v>2804</v>
      </c>
      <c r="L254" s="1" t="s">
        <v>2350</v>
      </c>
      <c r="M254" s="1" t="s">
        <v>2786</v>
      </c>
      <c r="N254" s="1" t="s">
        <v>2787</v>
      </c>
      <c r="O254" s="1" t="s">
        <v>42</v>
      </c>
      <c r="Q254" s="1" t="s">
        <v>2346</v>
      </c>
      <c r="R254" s="1" t="s">
        <v>2353</v>
      </c>
      <c r="S254" s="1" t="s">
        <v>2354</v>
      </c>
      <c r="T254" s="49">
        <v>34424489.799999997</v>
      </c>
      <c r="U254" s="20">
        <v>932824.49</v>
      </c>
      <c r="V254" s="20">
        <v>0</v>
      </c>
      <c r="W254" s="20">
        <v>753110.2</v>
      </c>
      <c r="X254" s="20">
        <v>14349028.57</v>
      </c>
      <c r="Y254" s="20">
        <v>10875648.98</v>
      </c>
      <c r="Z254" s="20">
        <v>0</v>
      </c>
      <c r="AA254" s="20">
        <v>0</v>
      </c>
      <c r="AB254" s="20">
        <v>0</v>
      </c>
      <c r="AC254" s="20">
        <v>0</v>
      </c>
      <c r="AD254" s="20">
        <v>0</v>
      </c>
      <c r="AE254" s="20">
        <v>0</v>
      </c>
      <c r="AF254" s="20">
        <v>0</v>
      </c>
      <c r="AG254" s="51">
        <f t="shared" si="12"/>
        <v>7513877.5599999949</v>
      </c>
      <c r="AH254" s="20">
        <v>0</v>
      </c>
      <c r="AI254" s="20">
        <v>0</v>
      </c>
      <c r="AJ254" s="20">
        <v>0</v>
      </c>
      <c r="AK254" s="20">
        <f t="shared" si="13"/>
        <v>0</v>
      </c>
      <c r="AL254" s="26">
        <f t="shared" si="14"/>
        <v>0</v>
      </c>
    </row>
    <row r="255" spans="1:38" x14ac:dyDescent="0.3">
      <c r="A255" s="1">
        <v>246</v>
      </c>
      <c r="B255" s="1" t="s">
        <v>114</v>
      </c>
      <c r="C255" s="1" t="s">
        <v>2347</v>
      </c>
      <c r="D255" s="1" t="s">
        <v>2344</v>
      </c>
      <c r="E255" s="1" t="s">
        <v>95</v>
      </c>
      <c r="F255" s="1" t="s">
        <v>2348</v>
      </c>
      <c r="H255" s="1">
        <v>6633</v>
      </c>
      <c r="I255" s="3" t="s">
        <v>2340</v>
      </c>
      <c r="J255" s="1" t="s">
        <v>2345</v>
      </c>
      <c r="K255" s="1" t="s">
        <v>2805</v>
      </c>
      <c r="L255" s="1" t="s">
        <v>2350</v>
      </c>
      <c r="M255" s="1" t="s">
        <v>2786</v>
      </c>
      <c r="N255" s="1" t="s">
        <v>2787</v>
      </c>
      <c r="O255" s="1" t="s">
        <v>42</v>
      </c>
      <c r="Q255" s="1" t="s">
        <v>2346</v>
      </c>
      <c r="R255" s="1" t="s">
        <v>2353</v>
      </c>
      <c r="S255" s="1" t="s">
        <v>2354</v>
      </c>
      <c r="T255" s="49">
        <v>34424489.799999997</v>
      </c>
      <c r="U255" s="20">
        <v>932824.49</v>
      </c>
      <c r="V255" s="20">
        <v>0</v>
      </c>
      <c r="W255" s="20">
        <v>753110.2</v>
      </c>
      <c r="X255" s="20">
        <v>14349028.57</v>
      </c>
      <c r="Y255" s="20">
        <v>10875648.98</v>
      </c>
      <c r="Z255" s="20">
        <v>0</v>
      </c>
      <c r="AA255" s="20">
        <v>0</v>
      </c>
      <c r="AB255" s="20">
        <v>0</v>
      </c>
      <c r="AC255" s="20">
        <v>0</v>
      </c>
      <c r="AD255" s="20">
        <v>0</v>
      </c>
      <c r="AE255" s="20">
        <v>0</v>
      </c>
      <c r="AF255" s="20">
        <v>0</v>
      </c>
      <c r="AG255" s="51">
        <f t="shared" si="12"/>
        <v>7513877.5599999949</v>
      </c>
      <c r="AH255" s="20">
        <v>0</v>
      </c>
      <c r="AI255" s="20">
        <v>0</v>
      </c>
      <c r="AJ255" s="20">
        <v>0</v>
      </c>
      <c r="AK255" s="20">
        <f t="shared" si="13"/>
        <v>0</v>
      </c>
      <c r="AL255" s="26">
        <f t="shared" si="14"/>
        <v>0</v>
      </c>
    </row>
    <row r="256" spans="1:38" x14ac:dyDescent="0.3">
      <c r="A256" s="1">
        <v>247</v>
      </c>
      <c r="B256" s="1" t="s">
        <v>114</v>
      </c>
      <c r="C256" s="1" t="s">
        <v>2347</v>
      </c>
      <c r="D256" s="1" t="s">
        <v>2344</v>
      </c>
      <c r="E256" s="1" t="s">
        <v>95</v>
      </c>
      <c r="F256" s="1" t="s">
        <v>2348</v>
      </c>
      <c r="H256" s="1">
        <v>14833</v>
      </c>
      <c r="I256" s="3" t="s">
        <v>2340</v>
      </c>
      <c r="J256" s="1" t="s">
        <v>2345</v>
      </c>
      <c r="K256" s="1" t="s">
        <v>2806</v>
      </c>
      <c r="L256" s="1" t="s">
        <v>2350</v>
      </c>
      <c r="M256" s="1" t="s">
        <v>2786</v>
      </c>
      <c r="N256" s="1" t="s">
        <v>2787</v>
      </c>
      <c r="O256" s="1" t="s">
        <v>42</v>
      </c>
      <c r="Q256" s="1" t="s">
        <v>2346</v>
      </c>
      <c r="R256" s="1" t="s">
        <v>2353</v>
      </c>
      <c r="S256" s="1" t="s">
        <v>2354</v>
      </c>
      <c r="T256" s="49">
        <v>34424489.799999997</v>
      </c>
      <c r="U256" s="20">
        <v>932824.49</v>
      </c>
      <c r="V256" s="20">
        <v>0</v>
      </c>
      <c r="W256" s="20">
        <v>753110.2</v>
      </c>
      <c r="X256" s="20">
        <v>14349028.57</v>
      </c>
      <c r="Y256" s="20">
        <v>10875648.98</v>
      </c>
      <c r="Z256" s="20">
        <v>0</v>
      </c>
      <c r="AA256" s="20">
        <v>0</v>
      </c>
      <c r="AB256" s="20">
        <v>0</v>
      </c>
      <c r="AC256" s="20">
        <v>0</v>
      </c>
      <c r="AD256" s="20">
        <v>0</v>
      </c>
      <c r="AE256" s="20">
        <v>0</v>
      </c>
      <c r="AF256" s="20">
        <v>0</v>
      </c>
      <c r="AG256" s="51">
        <f t="shared" si="12"/>
        <v>7513877.5599999949</v>
      </c>
      <c r="AH256" s="20">
        <v>0</v>
      </c>
      <c r="AI256" s="20">
        <v>0</v>
      </c>
      <c r="AJ256" s="20">
        <v>0</v>
      </c>
      <c r="AK256" s="20">
        <f t="shared" si="13"/>
        <v>0</v>
      </c>
      <c r="AL256" s="26">
        <f t="shared" si="14"/>
        <v>0</v>
      </c>
    </row>
    <row r="257" spans="1:39" x14ac:dyDescent="0.3">
      <c r="A257" s="1">
        <v>248</v>
      </c>
      <c r="B257" s="1" t="s">
        <v>114</v>
      </c>
      <c r="C257" s="1" t="s">
        <v>2347</v>
      </c>
      <c r="D257" s="1" t="s">
        <v>2344</v>
      </c>
      <c r="E257" s="1" t="s">
        <v>95</v>
      </c>
      <c r="F257" s="1" t="s">
        <v>2348</v>
      </c>
      <c r="H257" s="1">
        <v>7047</v>
      </c>
      <c r="I257" s="3" t="s">
        <v>2340</v>
      </c>
      <c r="J257" s="1" t="s">
        <v>2345</v>
      </c>
      <c r="K257" s="1" t="s">
        <v>2807</v>
      </c>
      <c r="L257" s="1" t="s">
        <v>2350</v>
      </c>
      <c r="M257" s="1" t="s">
        <v>2786</v>
      </c>
      <c r="N257" s="1" t="s">
        <v>2787</v>
      </c>
      <c r="O257" s="1" t="s">
        <v>42</v>
      </c>
      <c r="Q257" s="1" t="s">
        <v>2346</v>
      </c>
      <c r="R257" s="1" t="s">
        <v>2353</v>
      </c>
      <c r="S257" s="1" t="s">
        <v>2354</v>
      </c>
      <c r="T257" s="49">
        <v>34424489.799999997</v>
      </c>
      <c r="U257" s="20">
        <v>932824.49</v>
      </c>
      <c r="V257" s="20">
        <v>0</v>
      </c>
      <c r="W257" s="20">
        <v>753110.2</v>
      </c>
      <c r="X257" s="20">
        <v>14349028.57</v>
      </c>
      <c r="Y257" s="20">
        <v>10875648.98</v>
      </c>
      <c r="Z257" s="20">
        <v>0</v>
      </c>
      <c r="AA257" s="20">
        <v>0</v>
      </c>
      <c r="AB257" s="20">
        <v>0</v>
      </c>
      <c r="AC257" s="20">
        <v>0</v>
      </c>
      <c r="AD257" s="20">
        <v>0</v>
      </c>
      <c r="AE257" s="20">
        <v>0</v>
      </c>
      <c r="AF257" s="20">
        <v>0</v>
      </c>
      <c r="AG257" s="51">
        <f t="shared" si="12"/>
        <v>7513877.5599999949</v>
      </c>
      <c r="AH257" s="20">
        <v>0</v>
      </c>
      <c r="AI257" s="20">
        <v>0</v>
      </c>
      <c r="AJ257" s="20">
        <v>0</v>
      </c>
      <c r="AK257" s="20">
        <f t="shared" si="13"/>
        <v>0</v>
      </c>
      <c r="AL257" s="26">
        <f t="shared" si="14"/>
        <v>0</v>
      </c>
    </row>
    <row r="258" spans="1:39" x14ac:dyDescent="0.3">
      <c r="A258" s="1">
        <v>249</v>
      </c>
      <c r="B258" s="1" t="s">
        <v>114</v>
      </c>
      <c r="C258" s="1" t="s">
        <v>2347</v>
      </c>
      <c r="D258" s="1" t="s">
        <v>2344</v>
      </c>
      <c r="E258" s="1" t="s">
        <v>95</v>
      </c>
      <c r="F258" s="1" t="s">
        <v>2348</v>
      </c>
      <c r="H258" s="1">
        <v>6296</v>
      </c>
      <c r="I258" s="3" t="s">
        <v>2340</v>
      </c>
      <c r="J258" s="1" t="s">
        <v>2345</v>
      </c>
      <c r="K258" s="1" t="s">
        <v>2808</v>
      </c>
      <c r="L258" s="1" t="s">
        <v>2350</v>
      </c>
      <c r="M258" s="1" t="s">
        <v>2786</v>
      </c>
      <c r="N258" s="1" t="s">
        <v>2787</v>
      </c>
      <c r="O258" s="1" t="s">
        <v>42</v>
      </c>
      <c r="Q258" s="1" t="s">
        <v>2346</v>
      </c>
      <c r="R258" s="1" t="s">
        <v>2353</v>
      </c>
      <c r="S258" s="1" t="s">
        <v>2354</v>
      </c>
      <c r="T258" s="49">
        <v>34424489.799999997</v>
      </c>
      <c r="U258" s="20">
        <v>932824.49</v>
      </c>
      <c r="V258" s="20">
        <v>0</v>
      </c>
      <c r="W258" s="20">
        <v>753110.2</v>
      </c>
      <c r="X258" s="20">
        <v>14349028.57</v>
      </c>
      <c r="Y258" s="20">
        <v>10875648.98</v>
      </c>
      <c r="Z258" s="20">
        <v>0</v>
      </c>
      <c r="AA258" s="20">
        <v>0</v>
      </c>
      <c r="AB258" s="20">
        <v>0</v>
      </c>
      <c r="AC258" s="20">
        <v>0</v>
      </c>
      <c r="AD258" s="20">
        <v>0</v>
      </c>
      <c r="AE258" s="20">
        <v>0</v>
      </c>
      <c r="AF258" s="20">
        <v>0</v>
      </c>
      <c r="AG258" s="51">
        <f t="shared" si="12"/>
        <v>7513877.5599999949</v>
      </c>
      <c r="AH258" s="20">
        <v>0</v>
      </c>
      <c r="AI258" s="20">
        <v>0</v>
      </c>
      <c r="AJ258" s="20">
        <v>0</v>
      </c>
      <c r="AK258" s="20">
        <f t="shared" si="13"/>
        <v>0</v>
      </c>
      <c r="AL258" s="26">
        <f t="shared" si="14"/>
        <v>0</v>
      </c>
    </row>
    <row r="259" spans="1:39" x14ac:dyDescent="0.3">
      <c r="A259" s="1">
        <v>250</v>
      </c>
      <c r="B259" s="1" t="s">
        <v>114</v>
      </c>
      <c r="C259" s="1" t="s">
        <v>2347</v>
      </c>
      <c r="D259" s="1" t="s">
        <v>2344</v>
      </c>
      <c r="E259" s="1" t="s">
        <v>95</v>
      </c>
      <c r="F259" s="1" t="s">
        <v>2348</v>
      </c>
      <c r="H259" s="1">
        <v>8867</v>
      </c>
      <c r="I259" s="3" t="s">
        <v>2340</v>
      </c>
      <c r="J259" s="1" t="s">
        <v>2345</v>
      </c>
      <c r="K259" s="1" t="s">
        <v>2809</v>
      </c>
      <c r="L259" s="1" t="s">
        <v>2350</v>
      </c>
      <c r="M259" s="1" t="s">
        <v>2786</v>
      </c>
      <c r="N259" s="1" t="s">
        <v>2787</v>
      </c>
      <c r="O259" s="1" t="s">
        <v>42</v>
      </c>
      <c r="Q259" s="1" t="s">
        <v>2346</v>
      </c>
      <c r="R259" s="1" t="s">
        <v>2353</v>
      </c>
      <c r="S259" s="1" t="s">
        <v>2354</v>
      </c>
      <c r="T259" s="49">
        <v>34424489.799999997</v>
      </c>
      <c r="U259" s="20">
        <v>932824.49</v>
      </c>
      <c r="V259" s="20">
        <v>0</v>
      </c>
      <c r="W259" s="20">
        <v>753110.2</v>
      </c>
      <c r="X259" s="20">
        <v>14349028.57</v>
      </c>
      <c r="Y259" s="20">
        <v>10875648.98</v>
      </c>
      <c r="Z259" s="20">
        <v>0</v>
      </c>
      <c r="AA259" s="20">
        <v>0</v>
      </c>
      <c r="AB259" s="20">
        <v>0</v>
      </c>
      <c r="AC259" s="20">
        <v>0</v>
      </c>
      <c r="AD259" s="20">
        <v>0</v>
      </c>
      <c r="AE259" s="20">
        <v>0</v>
      </c>
      <c r="AF259" s="20">
        <v>0</v>
      </c>
      <c r="AG259" s="51">
        <f t="shared" si="12"/>
        <v>7513877.5599999949</v>
      </c>
      <c r="AH259" s="20">
        <v>0</v>
      </c>
      <c r="AI259" s="20">
        <v>0</v>
      </c>
      <c r="AJ259" s="20">
        <v>0</v>
      </c>
      <c r="AK259" s="20">
        <f t="shared" si="13"/>
        <v>0</v>
      </c>
      <c r="AL259" s="26">
        <f t="shared" si="14"/>
        <v>0</v>
      </c>
    </row>
    <row r="260" spans="1:39" x14ac:dyDescent="0.3">
      <c r="A260" s="1">
        <v>251</v>
      </c>
      <c r="B260" s="1" t="s">
        <v>114</v>
      </c>
      <c r="C260" s="1" t="s">
        <v>2347</v>
      </c>
      <c r="D260" s="1" t="s">
        <v>2344</v>
      </c>
      <c r="E260" s="1" t="s">
        <v>95</v>
      </c>
      <c r="F260" s="1" t="s">
        <v>2348</v>
      </c>
      <c r="H260" s="1">
        <v>6797</v>
      </c>
      <c r="I260" s="3" t="s">
        <v>2340</v>
      </c>
      <c r="J260" s="1" t="s">
        <v>2345</v>
      </c>
      <c r="K260" s="1" t="s">
        <v>2810</v>
      </c>
      <c r="L260" s="1" t="s">
        <v>2350</v>
      </c>
      <c r="M260" s="1" t="s">
        <v>2786</v>
      </c>
      <c r="N260" s="1" t="s">
        <v>2787</v>
      </c>
      <c r="O260" s="1" t="s">
        <v>42</v>
      </c>
      <c r="Q260" s="1" t="s">
        <v>2346</v>
      </c>
      <c r="R260" s="1" t="s">
        <v>2353</v>
      </c>
      <c r="S260" s="1" t="s">
        <v>2354</v>
      </c>
      <c r="T260" s="49">
        <v>34424489.799999997</v>
      </c>
      <c r="U260" s="20">
        <v>932824.49</v>
      </c>
      <c r="V260" s="20">
        <v>0</v>
      </c>
      <c r="W260" s="20">
        <v>753110.2</v>
      </c>
      <c r="X260" s="20">
        <v>14349028.57</v>
      </c>
      <c r="Y260" s="20">
        <v>10875648.98</v>
      </c>
      <c r="Z260" s="20">
        <v>0</v>
      </c>
      <c r="AA260" s="20">
        <v>0</v>
      </c>
      <c r="AB260" s="20">
        <v>0</v>
      </c>
      <c r="AC260" s="20">
        <v>0</v>
      </c>
      <c r="AD260" s="20">
        <v>0</v>
      </c>
      <c r="AE260" s="20">
        <v>0</v>
      </c>
      <c r="AF260" s="20">
        <v>0</v>
      </c>
      <c r="AG260" s="51">
        <f t="shared" si="12"/>
        <v>7513877.5599999949</v>
      </c>
      <c r="AH260" s="20">
        <v>0</v>
      </c>
      <c r="AI260" s="20">
        <v>0</v>
      </c>
      <c r="AJ260" s="20">
        <v>0</v>
      </c>
      <c r="AK260" s="20">
        <f t="shared" si="13"/>
        <v>0</v>
      </c>
      <c r="AL260" s="26">
        <f t="shared" si="14"/>
        <v>0</v>
      </c>
    </row>
    <row r="261" spans="1:39" x14ac:dyDescent="0.3">
      <c r="A261" s="1">
        <v>252</v>
      </c>
      <c r="B261" s="1" t="s">
        <v>114</v>
      </c>
      <c r="C261" s="1" t="s">
        <v>2347</v>
      </c>
      <c r="D261" s="1" t="s">
        <v>2344</v>
      </c>
      <c r="E261" s="1" t="s">
        <v>95</v>
      </c>
      <c r="F261" s="1" t="s">
        <v>2348</v>
      </c>
      <c r="H261" s="1">
        <v>7932</v>
      </c>
      <c r="I261" s="3" t="s">
        <v>2340</v>
      </c>
      <c r="J261" s="1" t="s">
        <v>2345</v>
      </c>
      <c r="K261" s="1" t="s">
        <v>2811</v>
      </c>
      <c r="L261" s="1" t="s">
        <v>2350</v>
      </c>
      <c r="M261" s="1" t="s">
        <v>2786</v>
      </c>
      <c r="N261" s="1" t="s">
        <v>2787</v>
      </c>
      <c r="O261" s="1" t="s">
        <v>42</v>
      </c>
      <c r="Q261" s="1" t="s">
        <v>2346</v>
      </c>
      <c r="R261" s="1" t="s">
        <v>2353</v>
      </c>
      <c r="S261" s="1" t="s">
        <v>2354</v>
      </c>
      <c r="T261" s="49">
        <v>34424489.799999997</v>
      </c>
      <c r="U261" s="20">
        <v>932824.49</v>
      </c>
      <c r="V261" s="20">
        <v>0</v>
      </c>
      <c r="W261" s="20">
        <v>753110.2</v>
      </c>
      <c r="X261" s="20">
        <v>14349028.57</v>
      </c>
      <c r="Y261" s="20">
        <v>10875648.98</v>
      </c>
      <c r="Z261" s="20">
        <v>0</v>
      </c>
      <c r="AA261" s="20">
        <v>0</v>
      </c>
      <c r="AB261" s="20">
        <v>0</v>
      </c>
      <c r="AC261" s="20">
        <v>0</v>
      </c>
      <c r="AD261" s="20">
        <v>0</v>
      </c>
      <c r="AE261" s="20">
        <v>0</v>
      </c>
      <c r="AF261" s="20">
        <v>0</v>
      </c>
      <c r="AG261" s="51">
        <f t="shared" si="12"/>
        <v>7513877.5599999949</v>
      </c>
      <c r="AH261" s="20">
        <v>0</v>
      </c>
      <c r="AI261" s="20">
        <v>0</v>
      </c>
      <c r="AJ261" s="20">
        <v>0</v>
      </c>
      <c r="AK261" s="20">
        <f t="shared" si="13"/>
        <v>0</v>
      </c>
      <c r="AL261" s="26">
        <f t="shared" si="14"/>
        <v>0</v>
      </c>
    </row>
    <row r="262" spans="1:39" x14ac:dyDescent="0.3">
      <c r="A262" s="1">
        <v>253</v>
      </c>
      <c r="B262" s="1" t="s">
        <v>114</v>
      </c>
      <c r="C262" s="1" t="s">
        <v>2347</v>
      </c>
      <c r="D262" s="1" t="s">
        <v>2344</v>
      </c>
      <c r="E262" s="1" t="s">
        <v>95</v>
      </c>
      <c r="F262" s="1" t="s">
        <v>2348</v>
      </c>
      <c r="H262" s="1">
        <v>10301</v>
      </c>
      <c r="I262" s="3" t="s">
        <v>2340</v>
      </c>
      <c r="J262" s="1" t="s">
        <v>2345</v>
      </c>
      <c r="K262" s="1" t="s">
        <v>2812</v>
      </c>
      <c r="L262" s="1" t="s">
        <v>2350</v>
      </c>
      <c r="M262" s="1" t="s">
        <v>2813</v>
      </c>
      <c r="N262" s="1" t="s">
        <v>2814</v>
      </c>
      <c r="O262" s="1" t="s">
        <v>42</v>
      </c>
      <c r="Q262" s="1" t="s">
        <v>2346</v>
      </c>
      <c r="R262" s="1" t="s">
        <v>2353</v>
      </c>
      <c r="S262" s="1" t="s">
        <v>2354</v>
      </c>
      <c r="T262" s="49">
        <v>34424489.799999997</v>
      </c>
      <c r="U262" s="20">
        <v>932824.49</v>
      </c>
      <c r="V262" s="20">
        <v>0</v>
      </c>
      <c r="W262" s="20">
        <v>753110.2</v>
      </c>
      <c r="X262" s="20">
        <v>14349028.57</v>
      </c>
      <c r="Y262" s="20">
        <v>10875648.98</v>
      </c>
      <c r="Z262" s="20">
        <v>0</v>
      </c>
      <c r="AA262" s="20">
        <v>0</v>
      </c>
      <c r="AB262" s="20">
        <v>0</v>
      </c>
      <c r="AC262" s="20">
        <v>0</v>
      </c>
      <c r="AD262" s="20">
        <v>0</v>
      </c>
      <c r="AE262" s="20">
        <v>0</v>
      </c>
      <c r="AF262" s="20">
        <v>0</v>
      </c>
      <c r="AG262" s="51">
        <f t="shared" si="12"/>
        <v>7513877.5599999949</v>
      </c>
      <c r="AH262" s="20">
        <v>0</v>
      </c>
      <c r="AI262" s="20">
        <v>0</v>
      </c>
      <c r="AJ262" s="20">
        <v>0</v>
      </c>
      <c r="AK262" s="20">
        <f t="shared" si="13"/>
        <v>0</v>
      </c>
      <c r="AL262" s="26">
        <f t="shared" si="14"/>
        <v>0</v>
      </c>
    </row>
    <row r="263" spans="1:39" x14ac:dyDescent="0.3">
      <c r="A263" s="1">
        <v>254</v>
      </c>
      <c r="B263" s="1" t="s">
        <v>114</v>
      </c>
      <c r="C263" s="1" t="s">
        <v>2347</v>
      </c>
      <c r="D263" s="1" t="s">
        <v>2344</v>
      </c>
      <c r="E263" s="1" t="s">
        <v>95</v>
      </c>
      <c r="F263" s="1" t="s">
        <v>2348</v>
      </c>
      <c r="H263" s="1">
        <v>8750</v>
      </c>
      <c r="I263" s="3" t="s">
        <v>2340</v>
      </c>
      <c r="J263" s="1" t="s">
        <v>2345</v>
      </c>
      <c r="K263" s="1" t="s">
        <v>2815</v>
      </c>
      <c r="L263" s="1" t="s">
        <v>2350</v>
      </c>
      <c r="M263" s="1" t="s">
        <v>2813</v>
      </c>
      <c r="N263" s="1" t="s">
        <v>2814</v>
      </c>
      <c r="O263" s="1" t="s">
        <v>42</v>
      </c>
      <c r="Q263" s="1" t="s">
        <v>2346</v>
      </c>
      <c r="R263" s="1" t="s">
        <v>2353</v>
      </c>
      <c r="S263" s="1" t="s">
        <v>2354</v>
      </c>
      <c r="T263" s="49">
        <v>34424489.799999997</v>
      </c>
      <c r="U263" s="20">
        <v>932824.49</v>
      </c>
      <c r="V263" s="20">
        <v>0</v>
      </c>
      <c r="W263" s="20">
        <v>753110.2</v>
      </c>
      <c r="X263" s="20">
        <v>14349028.57</v>
      </c>
      <c r="Y263" s="20">
        <v>10875648.98</v>
      </c>
      <c r="Z263" s="20">
        <v>0</v>
      </c>
      <c r="AA263" s="20">
        <v>0</v>
      </c>
      <c r="AB263" s="20">
        <v>0</v>
      </c>
      <c r="AC263" s="20">
        <v>0</v>
      </c>
      <c r="AD263" s="20">
        <v>0</v>
      </c>
      <c r="AE263" s="20">
        <v>0</v>
      </c>
      <c r="AF263" s="20">
        <v>0</v>
      </c>
      <c r="AG263" s="51">
        <f t="shared" si="12"/>
        <v>7513877.5599999949</v>
      </c>
      <c r="AH263" s="20">
        <v>0</v>
      </c>
      <c r="AI263" s="20">
        <v>0</v>
      </c>
      <c r="AJ263" s="20">
        <v>0</v>
      </c>
      <c r="AK263" s="20">
        <f t="shared" si="13"/>
        <v>0</v>
      </c>
      <c r="AL263" s="26">
        <f t="shared" si="14"/>
        <v>0</v>
      </c>
    </row>
    <row r="264" spans="1:39" x14ac:dyDescent="0.3">
      <c r="A264" s="1">
        <v>255</v>
      </c>
      <c r="B264" s="1" t="s">
        <v>114</v>
      </c>
      <c r="C264" s="1" t="s">
        <v>2347</v>
      </c>
      <c r="D264" s="1" t="s">
        <v>2344</v>
      </c>
      <c r="E264" s="1" t="s">
        <v>95</v>
      </c>
      <c r="F264" s="1" t="s">
        <v>2348</v>
      </c>
      <c r="H264" s="1">
        <v>8650</v>
      </c>
      <c r="I264" s="3" t="s">
        <v>2340</v>
      </c>
      <c r="J264" s="1" t="s">
        <v>2345</v>
      </c>
      <c r="K264" s="1" t="s">
        <v>2816</v>
      </c>
      <c r="L264" s="1" t="s">
        <v>2350</v>
      </c>
      <c r="M264" s="1" t="s">
        <v>2813</v>
      </c>
      <c r="N264" s="1" t="s">
        <v>2814</v>
      </c>
      <c r="O264" s="1" t="s">
        <v>42</v>
      </c>
      <c r="Q264" s="1" t="s">
        <v>2346</v>
      </c>
      <c r="R264" s="1" t="s">
        <v>2353</v>
      </c>
      <c r="S264" s="1" t="s">
        <v>2354</v>
      </c>
      <c r="T264" s="49">
        <v>34424489.799999997</v>
      </c>
      <c r="U264" s="20">
        <v>932824.49</v>
      </c>
      <c r="V264" s="20">
        <v>0</v>
      </c>
      <c r="W264" s="20">
        <v>753110.2</v>
      </c>
      <c r="X264" s="20">
        <v>14349028.57</v>
      </c>
      <c r="Y264" s="20">
        <v>10875648.98</v>
      </c>
      <c r="Z264" s="20">
        <v>0</v>
      </c>
      <c r="AA264" s="20">
        <v>0</v>
      </c>
      <c r="AB264" s="20">
        <v>0</v>
      </c>
      <c r="AC264" s="20">
        <v>0</v>
      </c>
      <c r="AD264" s="20">
        <v>0</v>
      </c>
      <c r="AE264" s="20">
        <v>0</v>
      </c>
      <c r="AF264" s="20">
        <v>0</v>
      </c>
      <c r="AG264" s="51">
        <f t="shared" si="12"/>
        <v>7513877.5599999949</v>
      </c>
      <c r="AH264" s="20">
        <v>0</v>
      </c>
      <c r="AI264" s="20">
        <v>0</v>
      </c>
      <c r="AJ264" s="20">
        <v>0</v>
      </c>
      <c r="AK264" s="20">
        <f t="shared" si="13"/>
        <v>0</v>
      </c>
      <c r="AL264" s="26">
        <f t="shared" si="14"/>
        <v>0</v>
      </c>
    </row>
    <row r="265" spans="1:39" x14ac:dyDescent="0.3">
      <c r="A265" s="1">
        <v>256</v>
      </c>
      <c r="B265" s="1" t="s">
        <v>114</v>
      </c>
      <c r="C265" s="1" t="s">
        <v>2347</v>
      </c>
      <c r="D265" s="1" t="s">
        <v>2344</v>
      </c>
      <c r="E265" s="1" t="s">
        <v>95</v>
      </c>
      <c r="F265" s="1" t="s">
        <v>2348</v>
      </c>
      <c r="H265" s="1">
        <v>28938</v>
      </c>
      <c r="I265" s="3" t="s">
        <v>2340</v>
      </c>
      <c r="J265" s="1" t="s">
        <v>2345</v>
      </c>
      <c r="K265" s="1" t="s">
        <v>2817</v>
      </c>
      <c r="L265" s="1" t="s">
        <v>2350</v>
      </c>
      <c r="M265" s="1" t="s">
        <v>2813</v>
      </c>
      <c r="N265" s="1" t="s">
        <v>2814</v>
      </c>
      <c r="O265" s="1" t="s">
        <v>42</v>
      </c>
      <c r="Q265" s="1" t="s">
        <v>2346</v>
      </c>
      <c r="R265" s="1" t="s">
        <v>2353</v>
      </c>
      <c r="S265" s="1" t="s">
        <v>2354</v>
      </c>
      <c r="T265" s="49">
        <v>34424489.799999997</v>
      </c>
      <c r="U265" s="20">
        <v>932824.49</v>
      </c>
      <c r="V265" s="20">
        <v>0</v>
      </c>
      <c r="W265" s="20">
        <v>753110.2</v>
      </c>
      <c r="X265" s="20">
        <v>14349028.57</v>
      </c>
      <c r="Y265" s="20">
        <v>10875648.98</v>
      </c>
      <c r="Z265" s="20">
        <v>0</v>
      </c>
      <c r="AA265" s="20">
        <v>0</v>
      </c>
      <c r="AB265" s="20">
        <v>0</v>
      </c>
      <c r="AC265" s="20">
        <v>0</v>
      </c>
      <c r="AD265" s="20">
        <v>0</v>
      </c>
      <c r="AE265" s="20">
        <v>0</v>
      </c>
      <c r="AF265" s="20">
        <v>0</v>
      </c>
      <c r="AG265" s="51">
        <f t="shared" si="12"/>
        <v>7513877.5599999949</v>
      </c>
      <c r="AH265" s="20">
        <v>0</v>
      </c>
      <c r="AI265" s="20">
        <v>0</v>
      </c>
      <c r="AJ265" s="20">
        <v>0</v>
      </c>
      <c r="AK265" s="20">
        <f t="shared" si="13"/>
        <v>0</v>
      </c>
      <c r="AL265" s="26">
        <f t="shared" si="14"/>
        <v>0</v>
      </c>
    </row>
    <row r="266" spans="1:39" x14ac:dyDescent="0.3">
      <c r="A266" s="1">
        <v>257</v>
      </c>
      <c r="B266" s="1" t="s">
        <v>114</v>
      </c>
      <c r="C266" s="1" t="s">
        <v>2347</v>
      </c>
      <c r="D266" s="1" t="s">
        <v>2344</v>
      </c>
      <c r="E266" s="1" t="s">
        <v>95</v>
      </c>
      <c r="F266" s="1" t="s">
        <v>2348</v>
      </c>
      <c r="H266" s="1">
        <v>5099</v>
      </c>
      <c r="I266" s="3" t="s">
        <v>2340</v>
      </c>
      <c r="J266" s="1" t="s">
        <v>2345</v>
      </c>
      <c r="K266" s="1" t="s">
        <v>2818</v>
      </c>
      <c r="L266" s="1" t="s">
        <v>2350</v>
      </c>
      <c r="M266" s="1" t="s">
        <v>2813</v>
      </c>
      <c r="N266" s="1" t="s">
        <v>2814</v>
      </c>
      <c r="O266" s="1" t="s">
        <v>42</v>
      </c>
      <c r="Q266" s="1" t="s">
        <v>2346</v>
      </c>
      <c r="R266" s="1" t="s">
        <v>2353</v>
      </c>
      <c r="S266" s="1" t="s">
        <v>2354</v>
      </c>
      <c r="T266" s="49">
        <v>34424489.799999997</v>
      </c>
      <c r="U266" s="20">
        <v>932824.49</v>
      </c>
      <c r="V266" s="20">
        <v>0</v>
      </c>
      <c r="W266" s="20">
        <v>753110.2</v>
      </c>
      <c r="X266" s="20">
        <v>14349028.57</v>
      </c>
      <c r="Y266" s="20">
        <v>10875648.98</v>
      </c>
      <c r="Z266" s="20">
        <v>0</v>
      </c>
      <c r="AA266" s="20">
        <v>0</v>
      </c>
      <c r="AB266" s="20">
        <v>0</v>
      </c>
      <c r="AC266" s="20">
        <v>0</v>
      </c>
      <c r="AD266" s="20">
        <v>0</v>
      </c>
      <c r="AE266" s="20">
        <v>0</v>
      </c>
      <c r="AF266" s="20">
        <v>0</v>
      </c>
      <c r="AG266" s="51">
        <f t="shared" ref="AG266:AG329" si="15">T266-SUM(U266:AF266)</f>
        <v>7513877.5599999949</v>
      </c>
      <c r="AH266" s="20">
        <v>0</v>
      </c>
      <c r="AI266" s="20">
        <v>0</v>
      </c>
      <c r="AJ266" s="20">
        <v>0</v>
      </c>
      <c r="AK266" s="20">
        <f t="shared" si="13"/>
        <v>0</v>
      </c>
      <c r="AL266" s="26">
        <f t="shared" si="14"/>
        <v>0</v>
      </c>
    </row>
    <row r="267" spans="1:39" x14ac:dyDescent="0.3">
      <c r="A267" s="1">
        <v>258</v>
      </c>
      <c r="B267" s="1" t="s">
        <v>114</v>
      </c>
      <c r="C267" s="1" t="s">
        <v>2347</v>
      </c>
      <c r="D267" s="1" t="s">
        <v>2344</v>
      </c>
      <c r="E267" s="1" t="s">
        <v>95</v>
      </c>
      <c r="F267" s="1" t="s">
        <v>2348</v>
      </c>
      <c r="H267" s="1">
        <v>15510</v>
      </c>
      <c r="I267" s="3" t="s">
        <v>2340</v>
      </c>
      <c r="J267" s="1" t="s">
        <v>2345</v>
      </c>
      <c r="K267" s="1" t="s">
        <v>2819</v>
      </c>
      <c r="L267" s="1" t="s">
        <v>2350</v>
      </c>
      <c r="M267" s="1" t="s">
        <v>2813</v>
      </c>
      <c r="N267" s="1" t="s">
        <v>2814</v>
      </c>
      <c r="O267" s="1" t="s">
        <v>42</v>
      </c>
      <c r="Q267" s="1" t="s">
        <v>2346</v>
      </c>
      <c r="R267" s="1" t="s">
        <v>2353</v>
      </c>
      <c r="S267" s="1" t="s">
        <v>2354</v>
      </c>
      <c r="T267" s="49">
        <v>34424489.799999997</v>
      </c>
      <c r="U267" s="20">
        <v>932824.49</v>
      </c>
      <c r="V267" s="20">
        <v>0</v>
      </c>
      <c r="W267" s="20">
        <v>753110.2</v>
      </c>
      <c r="X267" s="20">
        <v>14349028.57</v>
      </c>
      <c r="Y267" s="20">
        <v>10875648.98</v>
      </c>
      <c r="Z267" s="20">
        <v>0</v>
      </c>
      <c r="AA267" s="20">
        <v>0</v>
      </c>
      <c r="AB267" s="20">
        <v>0</v>
      </c>
      <c r="AC267" s="20">
        <v>0</v>
      </c>
      <c r="AD267" s="20">
        <v>0</v>
      </c>
      <c r="AE267" s="20">
        <v>0</v>
      </c>
      <c r="AF267" s="20">
        <v>0</v>
      </c>
      <c r="AG267" s="51">
        <f t="shared" si="15"/>
        <v>7513877.5599999949</v>
      </c>
      <c r="AH267" s="20">
        <v>0</v>
      </c>
      <c r="AI267" s="20">
        <v>0</v>
      </c>
      <c r="AJ267" s="20">
        <v>0</v>
      </c>
      <c r="AK267" s="20">
        <f t="shared" si="13"/>
        <v>0</v>
      </c>
      <c r="AL267" s="26">
        <f t="shared" si="14"/>
        <v>0</v>
      </c>
    </row>
    <row r="268" spans="1:39" x14ac:dyDescent="0.3">
      <c r="A268" s="1">
        <v>259</v>
      </c>
      <c r="B268" s="1" t="s">
        <v>114</v>
      </c>
      <c r="C268" s="1" t="s">
        <v>2347</v>
      </c>
      <c r="D268" s="1" t="s">
        <v>2344</v>
      </c>
      <c r="E268" s="1" t="s">
        <v>664</v>
      </c>
      <c r="F268" s="1" t="s">
        <v>2539</v>
      </c>
      <c r="H268" s="1" t="s">
        <v>2820</v>
      </c>
      <c r="I268" s="3" t="s">
        <v>30</v>
      </c>
      <c r="J268" s="1" t="s">
        <v>2345</v>
      </c>
      <c r="K268" s="1" t="s">
        <v>676</v>
      </c>
      <c r="L268" s="1" t="s">
        <v>2821</v>
      </c>
      <c r="M268" s="1" t="s">
        <v>2813</v>
      </c>
      <c r="N268" s="1" t="s">
        <v>2814</v>
      </c>
      <c r="O268" s="1" t="s">
        <v>42</v>
      </c>
      <c r="Q268" s="1" t="s">
        <v>2346</v>
      </c>
      <c r="R268" s="1" t="s">
        <v>2353</v>
      </c>
      <c r="S268" s="1" t="s">
        <v>2354</v>
      </c>
      <c r="T268" s="49">
        <v>13226438.59</v>
      </c>
      <c r="U268" s="20">
        <v>0</v>
      </c>
      <c r="V268" s="20">
        <v>0</v>
      </c>
      <c r="W268" s="20">
        <v>0</v>
      </c>
      <c r="X268" s="20">
        <v>0</v>
      </c>
      <c r="Y268" s="20">
        <v>0</v>
      </c>
      <c r="Z268" s="20">
        <v>165377.54</v>
      </c>
      <c r="AA268" s="20">
        <v>208708.39</v>
      </c>
      <c r="AB268" s="20">
        <v>211351.84</v>
      </c>
      <c r="AC268" s="20">
        <v>1908756.94</v>
      </c>
      <c r="AD268" s="20">
        <v>1817078.27</v>
      </c>
      <c r="AE268" s="20">
        <v>0</v>
      </c>
      <c r="AF268" s="20">
        <v>0</v>
      </c>
      <c r="AG268" s="51">
        <f t="shared" si="15"/>
        <v>8915165.6099999994</v>
      </c>
      <c r="AH268" s="20">
        <v>7705812</v>
      </c>
      <c r="AI268" s="20">
        <v>11015424</v>
      </c>
      <c r="AJ268" s="20">
        <v>5990912</v>
      </c>
      <c r="AK268" s="20">
        <f t="shared" si="13"/>
        <v>8237382.666666667</v>
      </c>
      <c r="AL268" s="26">
        <f t="shared" si="14"/>
        <v>0.60566033231914918</v>
      </c>
      <c r="AM268" s="1" t="s">
        <v>3020</v>
      </c>
    </row>
    <row r="269" spans="1:39" x14ac:dyDescent="0.3">
      <c r="A269" s="1">
        <v>260</v>
      </c>
      <c r="B269" s="1" t="s">
        <v>114</v>
      </c>
      <c r="C269" s="1" t="s">
        <v>2347</v>
      </c>
      <c r="D269" s="1" t="s">
        <v>2344</v>
      </c>
      <c r="E269" s="1" t="s">
        <v>664</v>
      </c>
      <c r="F269" s="1" t="s">
        <v>2539</v>
      </c>
      <c r="H269" s="1" t="s">
        <v>2822</v>
      </c>
      <c r="I269" s="3" t="s">
        <v>30</v>
      </c>
      <c r="J269" s="1" t="s">
        <v>2345</v>
      </c>
      <c r="K269" s="1" t="s">
        <v>696</v>
      </c>
      <c r="L269" s="1" t="s">
        <v>2821</v>
      </c>
      <c r="M269" s="1" t="s">
        <v>2813</v>
      </c>
      <c r="N269" s="1" t="s">
        <v>2814</v>
      </c>
      <c r="O269" s="1" t="s">
        <v>42</v>
      </c>
      <c r="Q269" s="1" t="s">
        <v>2346</v>
      </c>
      <c r="R269" s="1" t="s">
        <v>2353</v>
      </c>
      <c r="S269" s="1" t="s">
        <v>2354</v>
      </c>
      <c r="T269" s="49">
        <v>4094829.41</v>
      </c>
      <c r="U269" s="20">
        <v>0</v>
      </c>
      <c r="V269" s="20">
        <v>0</v>
      </c>
      <c r="W269" s="20">
        <v>0</v>
      </c>
      <c r="X269" s="20">
        <v>0</v>
      </c>
      <c r="Y269" s="20">
        <v>0</v>
      </c>
      <c r="Z269" s="20">
        <v>51199.94</v>
      </c>
      <c r="AA269" s="20">
        <v>64614.92</v>
      </c>
      <c r="AB269" s="20">
        <v>65433.31</v>
      </c>
      <c r="AC269" s="20">
        <v>590940.18000000005</v>
      </c>
      <c r="AD269" s="20">
        <v>562556.99</v>
      </c>
      <c r="AE269" s="20">
        <v>0</v>
      </c>
      <c r="AF269" s="20">
        <v>0</v>
      </c>
      <c r="AG269" s="51">
        <f t="shared" si="15"/>
        <v>2760084.0700000003</v>
      </c>
      <c r="AH269" s="20">
        <v>1784292</v>
      </c>
      <c r="AI269" s="20">
        <v>1841544</v>
      </c>
      <c r="AJ269" s="20">
        <v>0</v>
      </c>
      <c r="AK269" s="20">
        <f t="shared" si="13"/>
        <v>1812918</v>
      </c>
      <c r="AL269" s="26">
        <f t="shared" si="14"/>
        <v>1.2586953243334777</v>
      </c>
      <c r="AM269" s="1" t="s">
        <v>3020</v>
      </c>
    </row>
    <row r="270" spans="1:39" x14ac:dyDescent="0.3">
      <c r="A270" s="1">
        <v>261</v>
      </c>
      <c r="B270" s="1" t="s">
        <v>114</v>
      </c>
      <c r="C270" s="1" t="s">
        <v>2347</v>
      </c>
      <c r="D270" s="1" t="s">
        <v>2344</v>
      </c>
      <c r="E270" s="1" t="s">
        <v>664</v>
      </c>
      <c r="F270" s="1" t="s">
        <v>2539</v>
      </c>
      <c r="H270" s="1" t="s">
        <v>2823</v>
      </c>
      <c r="I270" s="3" t="s">
        <v>30</v>
      </c>
      <c r="J270" s="1" t="s">
        <v>2345</v>
      </c>
      <c r="K270" s="1" t="s">
        <v>678</v>
      </c>
      <c r="L270" s="1" t="s">
        <v>2821</v>
      </c>
      <c r="M270" s="1" t="s">
        <v>2813</v>
      </c>
      <c r="N270" s="1" t="s">
        <v>2814</v>
      </c>
      <c r="O270" s="1" t="s">
        <v>42</v>
      </c>
      <c r="Q270" s="1" t="s">
        <v>2346</v>
      </c>
      <c r="R270" s="1" t="s">
        <v>2353</v>
      </c>
      <c r="S270" s="1" t="s">
        <v>2354</v>
      </c>
      <c r="T270" s="49">
        <v>14676538.17</v>
      </c>
      <c r="U270" s="20">
        <v>0</v>
      </c>
      <c r="V270" s="20">
        <v>0</v>
      </c>
      <c r="W270" s="20">
        <v>0</v>
      </c>
      <c r="X270" s="20">
        <v>0</v>
      </c>
      <c r="Y270" s="20">
        <v>0</v>
      </c>
      <c r="Z270" s="20">
        <v>183508.94</v>
      </c>
      <c r="AA270" s="20">
        <v>231590.44</v>
      </c>
      <c r="AB270" s="20">
        <v>234523.7</v>
      </c>
      <c r="AC270" s="20">
        <v>2118026.25</v>
      </c>
      <c r="AD270" s="20">
        <v>2016296.25</v>
      </c>
      <c r="AE270" s="20">
        <v>0</v>
      </c>
      <c r="AF270" s="20">
        <v>0</v>
      </c>
      <c r="AG270" s="51">
        <f t="shared" si="15"/>
        <v>9892592.5899999999</v>
      </c>
      <c r="AH270" s="20">
        <v>16009056</v>
      </c>
      <c r="AI270" s="20">
        <v>14083592</v>
      </c>
      <c r="AJ270" s="20">
        <v>9976004</v>
      </c>
      <c r="AK270" s="20">
        <f t="shared" si="13"/>
        <v>13356217.333333334</v>
      </c>
      <c r="AL270" s="26">
        <f t="shared" si="14"/>
        <v>9.8854398945090516E-2</v>
      </c>
    </row>
    <row r="271" spans="1:39" x14ac:dyDescent="0.3">
      <c r="A271" s="1">
        <v>262</v>
      </c>
      <c r="B271" s="1" t="s">
        <v>114</v>
      </c>
      <c r="C271" s="1" t="s">
        <v>2347</v>
      </c>
      <c r="D271" s="1" t="s">
        <v>2344</v>
      </c>
      <c r="E271" s="1" t="s">
        <v>664</v>
      </c>
      <c r="F271" s="1" t="s">
        <v>2539</v>
      </c>
      <c r="H271" s="1" t="s">
        <v>2824</v>
      </c>
      <c r="I271" s="3" t="s">
        <v>30</v>
      </c>
      <c r="J271" s="1" t="s">
        <v>2345</v>
      </c>
      <c r="K271" s="1" t="s">
        <v>686</v>
      </c>
      <c r="L271" s="1" t="s">
        <v>2821</v>
      </c>
      <c r="M271" s="1" t="s">
        <v>2813</v>
      </c>
      <c r="N271" s="1" t="s">
        <v>2814</v>
      </c>
      <c r="O271" s="1" t="s">
        <v>42</v>
      </c>
      <c r="Q271" s="1" t="s">
        <v>2346</v>
      </c>
      <c r="R271" s="1" t="s">
        <v>2353</v>
      </c>
      <c r="S271" s="1" t="s">
        <v>2354</v>
      </c>
      <c r="T271" s="49">
        <v>10059562.310000001</v>
      </c>
      <c r="U271" s="20">
        <v>0</v>
      </c>
      <c r="V271" s="20">
        <v>0</v>
      </c>
      <c r="W271" s="20">
        <v>0</v>
      </c>
      <c r="X271" s="20">
        <v>0</v>
      </c>
      <c r="Y271" s="20">
        <v>0</v>
      </c>
      <c r="Z271" s="20">
        <v>125780.32</v>
      </c>
      <c r="AA271" s="20">
        <v>158736.24</v>
      </c>
      <c r="AB271" s="20">
        <v>160746.75</v>
      </c>
      <c r="AC271" s="20">
        <v>1451733.15</v>
      </c>
      <c r="AD271" s="20">
        <v>1382005.59</v>
      </c>
      <c r="AE271" s="20">
        <v>0</v>
      </c>
      <c r="AF271" s="20">
        <v>0</v>
      </c>
      <c r="AG271" s="51">
        <f t="shared" si="15"/>
        <v>6780560.2600000007</v>
      </c>
      <c r="AH271" s="20">
        <v>8318592</v>
      </c>
      <c r="AI271" s="20">
        <v>11509584</v>
      </c>
      <c r="AJ271" s="20">
        <v>7971396</v>
      </c>
      <c r="AK271" s="20">
        <f t="shared" si="13"/>
        <v>9266524</v>
      </c>
      <c r="AL271" s="26">
        <f t="shared" si="14"/>
        <v>8.5580991318859212E-2</v>
      </c>
    </row>
    <row r="272" spans="1:39" x14ac:dyDescent="0.3">
      <c r="A272" s="1">
        <v>263</v>
      </c>
      <c r="B272" s="1" t="s">
        <v>114</v>
      </c>
      <c r="C272" s="1" t="s">
        <v>2347</v>
      </c>
      <c r="D272" s="1" t="s">
        <v>2344</v>
      </c>
      <c r="E272" s="1" t="s">
        <v>664</v>
      </c>
      <c r="F272" s="1" t="s">
        <v>2539</v>
      </c>
      <c r="H272" s="1" t="s">
        <v>2825</v>
      </c>
      <c r="I272" s="3" t="s">
        <v>30</v>
      </c>
      <c r="J272" s="1" t="s">
        <v>2345</v>
      </c>
      <c r="K272" s="1" t="s">
        <v>666</v>
      </c>
      <c r="L272" s="1" t="s">
        <v>2821</v>
      </c>
      <c r="M272" s="1" t="s">
        <v>2813</v>
      </c>
      <c r="N272" s="1" t="s">
        <v>2814</v>
      </c>
      <c r="O272" s="1" t="s">
        <v>42</v>
      </c>
      <c r="Q272" s="1" t="s">
        <v>2346</v>
      </c>
      <c r="R272" s="1" t="s">
        <v>2353</v>
      </c>
      <c r="S272" s="1" t="s">
        <v>2354</v>
      </c>
      <c r="T272" s="49">
        <v>10235673.57</v>
      </c>
      <c r="U272" s="20">
        <v>0</v>
      </c>
      <c r="V272" s="20">
        <v>0</v>
      </c>
      <c r="W272" s="20">
        <v>0</v>
      </c>
      <c r="X272" s="20">
        <v>0</v>
      </c>
      <c r="Y272" s="20">
        <v>0</v>
      </c>
      <c r="Z272" s="20">
        <v>127982.33</v>
      </c>
      <c r="AA272" s="20">
        <v>161515.21</v>
      </c>
      <c r="AB272" s="20">
        <v>163560.92000000001</v>
      </c>
      <c r="AC272" s="20">
        <v>1477148.43</v>
      </c>
      <c r="AD272" s="20">
        <v>1406200.15</v>
      </c>
      <c r="AE272" s="20">
        <v>0</v>
      </c>
      <c r="AF272" s="20">
        <v>0</v>
      </c>
      <c r="AG272" s="51">
        <f t="shared" si="15"/>
        <v>6899266.5300000003</v>
      </c>
      <c r="AH272" s="20">
        <v>5510196</v>
      </c>
      <c r="AI272" s="20">
        <v>8752580</v>
      </c>
      <c r="AJ272" s="20">
        <v>3856248</v>
      </c>
      <c r="AK272" s="20">
        <f t="shared" si="13"/>
        <v>6039674.666666667</v>
      </c>
      <c r="AL272" s="26">
        <f t="shared" si="14"/>
        <v>0.69473922602012106</v>
      </c>
      <c r="AM272" s="1" t="s">
        <v>3020</v>
      </c>
    </row>
    <row r="273" spans="1:39" x14ac:dyDescent="0.3">
      <c r="A273" s="1">
        <v>264</v>
      </c>
      <c r="B273" s="1" t="s">
        <v>114</v>
      </c>
      <c r="C273" s="1" t="s">
        <v>2347</v>
      </c>
      <c r="D273" s="1" t="s">
        <v>2344</v>
      </c>
      <c r="E273" s="1" t="s">
        <v>664</v>
      </c>
      <c r="F273" s="1" t="s">
        <v>2539</v>
      </c>
      <c r="H273" s="1" t="s">
        <v>2826</v>
      </c>
      <c r="I273" s="3" t="s">
        <v>30</v>
      </c>
      <c r="J273" s="1" t="s">
        <v>2345</v>
      </c>
      <c r="K273" s="1" t="s">
        <v>680</v>
      </c>
      <c r="L273" s="1" t="s">
        <v>2821</v>
      </c>
      <c r="M273" s="1" t="s">
        <v>2813</v>
      </c>
      <c r="N273" s="1" t="s">
        <v>2814</v>
      </c>
      <c r="O273" s="1" t="s">
        <v>42</v>
      </c>
      <c r="Q273" s="1" t="s">
        <v>2346</v>
      </c>
      <c r="R273" s="1" t="s">
        <v>2353</v>
      </c>
      <c r="S273" s="1" t="s">
        <v>2354</v>
      </c>
      <c r="T273" s="49">
        <v>10091792.779999999</v>
      </c>
      <c r="U273" s="20">
        <v>0</v>
      </c>
      <c r="V273" s="20">
        <v>0</v>
      </c>
      <c r="W273" s="20">
        <v>0</v>
      </c>
      <c r="X273" s="20">
        <v>0</v>
      </c>
      <c r="Y273" s="20">
        <v>0</v>
      </c>
      <c r="Z273" s="20">
        <v>126183.31</v>
      </c>
      <c r="AA273" s="20">
        <v>159244.82</v>
      </c>
      <c r="AB273" s="20">
        <v>161261.76999999999</v>
      </c>
      <c r="AC273" s="20">
        <v>1456384.45</v>
      </c>
      <c r="AD273" s="20">
        <v>1386433.48</v>
      </c>
      <c r="AE273" s="20">
        <v>0</v>
      </c>
      <c r="AF273" s="20">
        <v>0</v>
      </c>
      <c r="AG273" s="51">
        <f t="shared" si="15"/>
        <v>6802284.9499999993</v>
      </c>
      <c r="AH273" s="20">
        <v>10966752</v>
      </c>
      <c r="AI273" s="20">
        <v>14926978</v>
      </c>
      <c r="AJ273" s="20">
        <v>5377408</v>
      </c>
      <c r="AK273" s="20">
        <f t="shared" si="13"/>
        <v>10423712.666666666</v>
      </c>
      <c r="AL273" s="26">
        <f t="shared" si="14"/>
        <v>-3.1842770160778966E-2</v>
      </c>
    </row>
    <row r="274" spans="1:39" x14ac:dyDescent="0.3">
      <c r="A274" s="1">
        <v>265</v>
      </c>
      <c r="B274" s="1" t="s">
        <v>114</v>
      </c>
      <c r="C274" s="1" t="s">
        <v>2347</v>
      </c>
      <c r="D274" s="1" t="s">
        <v>2344</v>
      </c>
      <c r="E274" s="1" t="s">
        <v>664</v>
      </c>
      <c r="F274" s="1" t="s">
        <v>2539</v>
      </c>
      <c r="H274" s="1" t="s">
        <v>2827</v>
      </c>
      <c r="I274" s="3" t="s">
        <v>30</v>
      </c>
      <c r="J274" s="1" t="s">
        <v>2345</v>
      </c>
      <c r="K274" s="1" t="s">
        <v>668</v>
      </c>
      <c r="L274" s="1" t="s">
        <v>2821</v>
      </c>
      <c r="M274" s="1" t="s">
        <v>2813</v>
      </c>
      <c r="N274" s="1" t="s">
        <v>2814</v>
      </c>
      <c r="O274" s="1" t="s">
        <v>42</v>
      </c>
      <c r="Q274" s="1" t="s">
        <v>2346</v>
      </c>
      <c r="R274" s="1" t="s">
        <v>2353</v>
      </c>
      <c r="S274" s="1" t="s">
        <v>2354</v>
      </c>
      <c r="T274" s="49">
        <v>11337227.119999999</v>
      </c>
      <c r="U274" s="20">
        <v>0</v>
      </c>
      <c r="V274" s="20">
        <v>0</v>
      </c>
      <c r="W274" s="20">
        <v>0</v>
      </c>
      <c r="X274" s="20">
        <v>0</v>
      </c>
      <c r="Y274" s="20">
        <v>0</v>
      </c>
      <c r="Z274" s="20">
        <v>141755.67000000001</v>
      </c>
      <c r="AA274" s="20">
        <v>178897.32</v>
      </c>
      <c r="AB274" s="20">
        <v>181163.19</v>
      </c>
      <c r="AC274" s="20">
        <v>1636117.75</v>
      </c>
      <c r="AD274" s="20">
        <v>1557534.09</v>
      </c>
      <c r="AE274" s="20">
        <v>0</v>
      </c>
      <c r="AF274" s="20">
        <v>0</v>
      </c>
      <c r="AG274" s="51">
        <f t="shared" si="15"/>
        <v>7641759.0999999987</v>
      </c>
      <c r="AH274" s="20">
        <v>9568456</v>
      </c>
      <c r="AI274" s="20">
        <v>9246298</v>
      </c>
      <c r="AJ274" s="20">
        <v>8580512</v>
      </c>
      <c r="AK274" s="20">
        <f t="shared" si="13"/>
        <v>9131755.333333334</v>
      </c>
      <c r="AL274" s="26">
        <f t="shared" si="14"/>
        <v>0.24151674088508557</v>
      </c>
    </row>
    <row r="275" spans="1:39" x14ac:dyDescent="0.3">
      <c r="A275" s="1">
        <v>266</v>
      </c>
      <c r="B275" s="1" t="s">
        <v>114</v>
      </c>
      <c r="C275" s="1" t="s">
        <v>2347</v>
      </c>
      <c r="D275" s="1" t="s">
        <v>2344</v>
      </c>
      <c r="E275" s="1" t="s">
        <v>664</v>
      </c>
      <c r="F275" s="1" t="s">
        <v>2539</v>
      </c>
      <c r="H275" s="1" t="s">
        <v>2828</v>
      </c>
      <c r="I275" s="3" t="s">
        <v>30</v>
      </c>
      <c r="J275" s="1" t="s">
        <v>2345</v>
      </c>
      <c r="K275" s="1" t="s">
        <v>682</v>
      </c>
      <c r="L275" s="1" t="s">
        <v>2821</v>
      </c>
      <c r="M275" s="1" t="s">
        <v>2813</v>
      </c>
      <c r="N275" s="1" t="s">
        <v>2814</v>
      </c>
      <c r="O275" s="1" t="s">
        <v>42</v>
      </c>
      <c r="Q275" s="1" t="s">
        <v>2346</v>
      </c>
      <c r="R275" s="1" t="s">
        <v>2353</v>
      </c>
      <c r="S275" s="1" t="s">
        <v>2354</v>
      </c>
      <c r="T275" s="49">
        <v>5633078.4500000002</v>
      </c>
      <c r="U275" s="20">
        <v>0</v>
      </c>
      <c r="V275" s="20">
        <v>0</v>
      </c>
      <c r="W275" s="20">
        <v>0</v>
      </c>
      <c r="X275" s="20">
        <v>0</v>
      </c>
      <c r="Y275" s="20">
        <v>0</v>
      </c>
      <c r="Z275" s="20">
        <v>70433.52</v>
      </c>
      <c r="AA275" s="20">
        <v>88887.93</v>
      </c>
      <c r="AB275" s="20">
        <v>90013.759999999995</v>
      </c>
      <c r="AC275" s="20">
        <v>812930.67</v>
      </c>
      <c r="AD275" s="20">
        <v>773885.15</v>
      </c>
      <c r="AE275" s="20">
        <v>0</v>
      </c>
      <c r="AF275" s="20">
        <v>0</v>
      </c>
      <c r="AG275" s="51">
        <f t="shared" si="15"/>
        <v>3796927.42</v>
      </c>
      <c r="AH275" s="20">
        <v>4592712</v>
      </c>
      <c r="AI275" s="20">
        <v>5122472</v>
      </c>
      <c r="AJ275" s="20">
        <v>4141664</v>
      </c>
      <c r="AK275" s="20">
        <f t="shared" si="13"/>
        <v>4618949.333333333</v>
      </c>
      <c r="AL275" s="26">
        <f t="shared" si="14"/>
        <v>0.21955839812921396</v>
      </c>
    </row>
    <row r="276" spans="1:39" x14ac:dyDescent="0.3">
      <c r="A276" s="1">
        <v>267</v>
      </c>
      <c r="B276" s="1" t="s">
        <v>114</v>
      </c>
      <c r="C276" s="1" t="s">
        <v>2347</v>
      </c>
      <c r="D276" s="1" t="s">
        <v>2344</v>
      </c>
      <c r="E276" s="1" t="s">
        <v>664</v>
      </c>
      <c r="F276" s="1" t="s">
        <v>2539</v>
      </c>
      <c r="H276" s="1" t="s">
        <v>2829</v>
      </c>
      <c r="I276" s="3" t="s">
        <v>30</v>
      </c>
      <c r="J276" s="1" t="s">
        <v>2345</v>
      </c>
      <c r="K276" s="1" t="s">
        <v>684</v>
      </c>
      <c r="L276" s="1" t="s">
        <v>2821</v>
      </c>
      <c r="M276" s="1" t="s">
        <v>2813</v>
      </c>
      <c r="N276" s="1" t="s">
        <v>2814</v>
      </c>
      <c r="O276" s="1" t="s">
        <v>42</v>
      </c>
      <c r="Q276" s="1" t="s">
        <v>2346</v>
      </c>
      <c r="R276" s="1" t="s">
        <v>2353</v>
      </c>
      <c r="S276" s="1" t="s">
        <v>2354</v>
      </c>
      <c r="T276" s="49">
        <v>6823336.3200000003</v>
      </c>
      <c r="U276" s="20">
        <v>0</v>
      </c>
      <c r="V276" s="20">
        <v>0</v>
      </c>
      <c r="W276" s="20">
        <v>0</v>
      </c>
      <c r="X276" s="20">
        <v>0</v>
      </c>
      <c r="Y276" s="20">
        <v>0</v>
      </c>
      <c r="Z276" s="20">
        <v>85315.98</v>
      </c>
      <c r="AA276" s="20">
        <v>107669.77</v>
      </c>
      <c r="AB276" s="20">
        <v>109033.48</v>
      </c>
      <c r="AC276" s="20">
        <v>984701.25</v>
      </c>
      <c r="AD276" s="20">
        <v>937405.49</v>
      </c>
      <c r="AE276" s="20">
        <v>0</v>
      </c>
      <c r="AF276" s="20">
        <v>0</v>
      </c>
      <c r="AG276" s="51">
        <f t="shared" si="15"/>
        <v>4599210.3500000006</v>
      </c>
      <c r="AH276" s="20">
        <v>7950136</v>
      </c>
      <c r="AI276" s="20">
        <v>5568108</v>
      </c>
      <c r="AJ276" s="20">
        <v>7403040</v>
      </c>
      <c r="AK276" s="20">
        <f t="shared" si="13"/>
        <v>6973761.333333333</v>
      </c>
      <c r="AL276" s="26">
        <f t="shared" si="14"/>
        <v>-2.1570140723676356E-2</v>
      </c>
    </row>
    <row r="277" spans="1:39" x14ac:dyDescent="0.3">
      <c r="A277" s="1">
        <v>268</v>
      </c>
      <c r="B277" s="1" t="s">
        <v>114</v>
      </c>
      <c r="C277" s="1" t="s">
        <v>2347</v>
      </c>
      <c r="D277" s="1" t="s">
        <v>2344</v>
      </c>
      <c r="E277" s="1" t="s">
        <v>664</v>
      </c>
      <c r="F277" s="1" t="s">
        <v>2539</v>
      </c>
      <c r="H277" s="1" t="s">
        <v>2830</v>
      </c>
      <c r="I277" s="3" t="s">
        <v>30</v>
      </c>
      <c r="J277" s="1" t="s">
        <v>2345</v>
      </c>
      <c r="K277" s="1" t="s">
        <v>670</v>
      </c>
      <c r="L277" s="1" t="s">
        <v>2821</v>
      </c>
      <c r="M277" s="1" t="s">
        <v>2813</v>
      </c>
      <c r="N277" s="1" t="s">
        <v>2814</v>
      </c>
      <c r="O277" s="1" t="s">
        <v>42</v>
      </c>
      <c r="Q277" s="1" t="s">
        <v>2346</v>
      </c>
      <c r="R277" s="1" t="s">
        <v>2353</v>
      </c>
      <c r="S277" s="1" t="s">
        <v>2354</v>
      </c>
      <c r="T277" s="49">
        <v>14610960.57</v>
      </c>
      <c r="U277" s="20">
        <v>0</v>
      </c>
      <c r="V277" s="20">
        <v>0</v>
      </c>
      <c r="W277" s="20">
        <v>0</v>
      </c>
      <c r="X277" s="20">
        <v>0</v>
      </c>
      <c r="Y277" s="20">
        <v>0</v>
      </c>
      <c r="Z277" s="20">
        <v>182688.99</v>
      </c>
      <c r="AA277" s="20">
        <v>230555.65</v>
      </c>
      <c r="AB277" s="20">
        <v>233475.8</v>
      </c>
      <c r="AC277" s="20">
        <v>2108562.5</v>
      </c>
      <c r="AD277" s="20">
        <v>2007287.05</v>
      </c>
      <c r="AE277" s="20">
        <v>0</v>
      </c>
      <c r="AF277" s="20">
        <v>0</v>
      </c>
      <c r="AG277" s="51">
        <f t="shared" si="15"/>
        <v>9848390.5800000001</v>
      </c>
      <c r="AH277" s="20">
        <v>5146552</v>
      </c>
      <c r="AI277" s="20">
        <v>6226664</v>
      </c>
      <c r="AJ277" s="20">
        <v>2822480</v>
      </c>
      <c r="AK277" s="20">
        <f t="shared" si="13"/>
        <v>4731898.666666667</v>
      </c>
      <c r="AL277" s="26">
        <f t="shared" si="14"/>
        <v>2.0877585509016252</v>
      </c>
      <c r="AM277" s="1" t="s">
        <v>3020</v>
      </c>
    </row>
    <row r="278" spans="1:39" x14ac:dyDescent="0.3">
      <c r="A278" s="1">
        <v>269</v>
      </c>
      <c r="B278" s="1" t="s">
        <v>114</v>
      </c>
      <c r="C278" s="1" t="s">
        <v>2347</v>
      </c>
      <c r="D278" s="1" t="s">
        <v>2344</v>
      </c>
      <c r="E278" s="1" t="s">
        <v>664</v>
      </c>
      <c r="F278" s="1" t="s">
        <v>2539</v>
      </c>
      <c r="H278" s="1" t="s">
        <v>2831</v>
      </c>
      <c r="I278" s="3" t="s">
        <v>30</v>
      </c>
      <c r="J278" s="1" t="s">
        <v>2345</v>
      </c>
      <c r="K278" s="1" t="s">
        <v>688</v>
      </c>
      <c r="L278" s="1" t="s">
        <v>2821</v>
      </c>
      <c r="M278" s="1" t="s">
        <v>2813</v>
      </c>
      <c r="N278" s="1" t="s">
        <v>2814</v>
      </c>
      <c r="O278" s="1" t="s">
        <v>42</v>
      </c>
      <c r="Q278" s="1" t="s">
        <v>2346</v>
      </c>
      <c r="R278" s="1" t="s">
        <v>2353</v>
      </c>
      <c r="S278" s="1" t="s">
        <v>2354</v>
      </c>
      <c r="T278" s="49">
        <v>8403412.6999999993</v>
      </c>
      <c r="U278" s="20">
        <v>0</v>
      </c>
      <c r="V278" s="20">
        <v>0</v>
      </c>
      <c r="W278" s="20">
        <v>0</v>
      </c>
      <c r="X278" s="20">
        <v>0</v>
      </c>
      <c r="Y278" s="20">
        <v>0</v>
      </c>
      <c r="Z278" s="20">
        <v>105072.56</v>
      </c>
      <c r="AA278" s="20">
        <v>132602.79999999999</v>
      </c>
      <c r="AB278" s="20">
        <v>134282.31</v>
      </c>
      <c r="AC278" s="20">
        <v>1212727.99</v>
      </c>
      <c r="AD278" s="20">
        <v>1154479.98</v>
      </c>
      <c r="AE278" s="20">
        <v>0</v>
      </c>
      <c r="AF278" s="20">
        <v>0</v>
      </c>
      <c r="AG278" s="51">
        <f t="shared" si="15"/>
        <v>5664247.0599999996</v>
      </c>
      <c r="AH278" s="20">
        <v>8583732</v>
      </c>
      <c r="AI278" s="20">
        <v>10236968</v>
      </c>
      <c r="AJ278" s="20">
        <v>8717728</v>
      </c>
      <c r="AK278" s="20">
        <f t="shared" si="13"/>
        <v>9179476</v>
      </c>
      <c r="AL278" s="26">
        <f t="shared" si="14"/>
        <v>-8.4543311622580664E-2</v>
      </c>
    </row>
    <row r="279" spans="1:39" x14ac:dyDescent="0.3">
      <c r="A279" s="1">
        <v>270</v>
      </c>
      <c r="B279" s="1" t="s">
        <v>114</v>
      </c>
      <c r="C279" s="1" t="s">
        <v>2347</v>
      </c>
      <c r="D279" s="1" t="s">
        <v>2344</v>
      </c>
      <c r="E279" s="1" t="s">
        <v>664</v>
      </c>
      <c r="F279" s="1" t="s">
        <v>2539</v>
      </c>
      <c r="H279" s="1" t="s">
        <v>2832</v>
      </c>
      <c r="I279" s="3" t="s">
        <v>30</v>
      </c>
      <c r="J279" s="1" t="s">
        <v>2345</v>
      </c>
      <c r="K279" s="1" t="s">
        <v>692</v>
      </c>
      <c r="L279" s="1" t="s">
        <v>2821</v>
      </c>
      <c r="M279" s="1" t="s">
        <v>2813</v>
      </c>
      <c r="N279" s="1" t="s">
        <v>2814</v>
      </c>
      <c r="O279" s="1" t="s">
        <v>42</v>
      </c>
      <c r="Q279" s="1" t="s">
        <v>2346</v>
      </c>
      <c r="R279" s="1" t="s">
        <v>2353</v>
      </c>
      <c r="S279" s="1" t="s">
        <v>2354</v>
      </c>
      <c r="T279" s="49">
        <v>20443378.309999999</v>
      </c>
      <c r="U279" s="20">
        <v>0</v>
      </c>
      <c r="V279" s="20">
        <v>0</v>
      </c>
      <c r="W279" s="20">
        <v>0</v>
      </c>
      <c r="X279" s="20">
        <v>0</v>
      </c>
      <c r="Y279" s="20">
        <v>0</v>
      </c>
      <c r="Z279" s="20">
        <v>255614.96</v>
      </c>
      <c r="AA279" s="20">
        <v>322589.08</v>
      </c>
      <c r="AB279" s="20">
        <v>326674.90999999997</v>
      </c>
      <c r="AC279" s="20">
        <v>2950260.57</v>
      </c>
      <c r="AD279" s="20">
        <v>2808557.89</v>
      </c>
      <c r="AE279" s="20">
        <v>0</v>
      </c>
      <c r="AF279" s="20">
        <v>0</v>
      </c>
      <c r="AG279" s="51">
        <f t="shared" si="15"/>
        <v>13779680.899999999</v>
      </c>
      <c r="AH279" s="20">
        <v>10819276</v>
      </c>
      <c r="AI279" s="20">
        <v>12028808</v>
      </c>
      <c r="AJ279" s="20">
        <v>11393768</v>
      </c>
      <c r="AK279" s="20">
        <f t="shared" si="13"/>
        <v>11413950.666666666</v>
      </c>
      <c r="AL279" s="26">
        <f t="shared" si="14"/>
        <v>0.79108696953657764</v>
      </c>
      <c r="AM279" s="1" t="s">
        <v>3020</v>
      </c>
    </row>
    <row r="280" spans="1:39" x14ac:dyDescent="0.3">
      <c r="A280" s="1">
        <v>271</v>
      </c>
      <c r="B280" s="1" t="s">
        <v>114</v>
      </c>
      <c r="C280" s="1" t="s">
        <v>2347</v>
      </c>
      <c r="D280" s="1" t="s">
        <v>2344</v>
      </c>
      <c r="E280" s="1" t="s">
        <v>664</v>
      </c>
      <c r="F280" s="1" t="s">
        <v>2539</v>
      </c>
      <c r="H280" s="1" t="s">
        <v>2833</v>
      </c>
      <c r="I280" s="3" t="s">
        <v>30</v>
      </c>
      <c r="J280" s="1" t="s">
        <v>2345</v>
      </c>
      <c r="K280" s="1" t="s">
        <v>672</v>
      </c>
      <c r="L280" s="1" t="s">
        <v>2821</v>
      </c>
      <c r="M280" s="1" t="s">
        <v>2813</v>
      </c>
      <c r="N280" s="1" t="s">
        <v>2814</v>
      </c>
      <c r="O280" s="1" t="s">
        <v>42</v>
      </c>
      <c r="Q280" s="1" t="s">
        <v>2346</v>
      </c>
      <c r="R280" s="1" t="s">
        <v>2353</v>
      </c>
      <c r="S280" s="1" t="s">
        <v>2354</v>
      </c>
      <c r="T280" s="49">
        <v>3066715.87</v>
      </c>
      <c r="U280" s="20">
        <v>0</v>
      </c>
      <c r="V280" s="20">
        <v>0</v>
      </c>
      <c r="W280" s="20">
        <v>0</v>
      </c>
      <c r="X280" s="20">
        <v>0</v>
      </c>
      <c r="Y280" s="20">
        <v>0</v>
      </c>
      <c r="Z280" s="20">
        <v>38344.86</v>
      </c>
      <c r="AA280" s="20">
        <v>48391.66</v>
      </c>
      <c r="AB280" s="20">
        <v>49004.58</v>
      </c>
      <c r="AC280" s="20">
        <v>442569.26</v>
      </c>
      <c r="AD280" s="20">
        <v>421312.41</v>
      </c>
      <c r="AE280" s="20">
        <v>0</v>
      </c>
      <c r="AF280" s="20">
        <v>0</v>
      </c>
      <c r="AG280" s="51">
        <f t="shared" si="15"/>
        <v>2067093.1</v>
      </c>
      <c r="AH280" s="20">
        <v>3923972</v>
      </c>
      <c r="AI280" s="20">
        <v>4462968</v>
      </c>
      <c r="AJ280" s="20">
        <v>4557156</v>
      </c>
      <c r="AK280" s="20">
        <f t="shared" si="13"/>
        <v>4314698.666666667</v>
      </c>
      <c r="AL280" s="26">
        <f t="shared" si="14"/>
        <v>-0.28923985035339661</v>
      </c>
      <c r="AM280" s="1" t="s">
        <v>3019</v>
      </c>
    </row>
    <row r="281" spans="1:39" x14ac:dyDescent="0.3">
      <c r="A281" s="1">
        <v>272</v>
      </c>
      <c r="B281" s="1" t="s">
        <v>114</v>
      </c>
      <c r="C281" s="1" t="s">
        <v>2347</v>
      </c>
      <c r="D281" s="1" t="s">
        <v>2344</v>
      </c>
      <c r="E281" s="1" t="s">
        <v>664</v>
      </c>
      <c r="F281" s="1" t="s">
        <v>2539</v>
      </c>
      <c r="H281" s="1" t="s">
        <v>2834</v>
      </c>
      <c r="I281" s="3" t="s">
        <v>30</v>
      </c>
      <c r="J281" s="1" t="s">
        <v>2345</v>
      </c>
      <c r="K281" s="1" t="s">
        <v>698</v>
      </c>
      <c r="L281" s="1" t="s">
        <v>2821</v>
      </c>
      <c r="M281" s="1" t="s">
        <v>2813</v>
      </c>
      <c r="N281" s="1" t="s">
        <v>2814</v>
      </c>
      <c r="O281" s="1" t="s">
        <v>42</v>
      </c>
      <c r="Q281" s="1" t="s">
        <v>2346</v>
      </c>
      <c r="R281" s="1" t="s">
        <v>2353</v>
      </c>
      <c r="S281" s="1" t="s">
        <v>2354</v>
      </c>
      <c r="T281" s="49">
        <v>10706139.359999999</v>
      </c>
      <c r="U281" s="20">
        <v>0</v>
      </c>
      <c r="V281" s="20">
        <v>0</v>
      </c>
      <c r="W281" s="20">
        <v>0</v>
      </c>
      <c r="X281" s="20">
        <v>0</v>
      </c>
      <c r="Y281" s="20">
        <v>0</v>
      </c>
      <c r="Z281" s="20">
        <v>133864.82999999999</v>
      </c>
      <c r="AA281" s="20">
        <v>168938.99</v>
      </c>
      <c r="AB281" s="20">
        <v>171078.72</v>
      </c>
      <c r="AC281" s="20">
        <v>1545043.11</v>
      </c>
      <c r="AD281" s="20">
        <v>1470833.82</v>
      </c>
      <c r="AE281" s="20">
        <v>0</v>
      </c>
      <c r="AF281" s="20">
        <v>0</v>
      </c>
      <c r="AG281" s="51">
        <f t="shared" si="15"/>
        <v>7216379.8899999997</v>
      </c>
      <c r="AH281" s="20">
        <v>10165492</v>
      </c>
      <c r="AI281" s="20">
        <v>12989648</v>
      </c>
      <c r="AJ281" s="20">
        <v>8323880</v>
      </c>
      <c r="AK281" s="20">
        <f t="shared" si="13"/>
        <v>10493006.666666666</v>
      </c>
      <c r="AL281" s="26">
        <f t="shared" si="14"/>
        <v>2.0311880103002E-2</v>
      </c>
    </row>
    <row r="282" spans="1:39" x14ac:dyDescent="0.3">
      <c r="A282" s="1">
        <v>273</v>
      </c>
      <c r="B282" s="1" t="s">
        <v>114</v>
      </c>
      <c r="C282" s="1" t="s">
        <v>2347</v>
      </c>
      <c r="D282" s="1" t="s">
        <v>2344</v>
      </c>
      <c r="E282" s="1" t="s">
        <v>664</v>
      </c>
      <c r="F282" s="1" t="s">
        <v>2539</v>
      </c>
      <c r="H282" s="1" t="s">
        <v>2835</v>
      </c>
      <c r="I282" s="3" t="s">
        <v>30</v>
      </c>
      <c r="J282" s="1" t="s">
        <v>2345</v>
      </c>
      <c r="K282" s="1" t="s">
        <v>694</v>
      </c>
      <c r="L282" s="1" t="s">
        <v>2821</v>
      </c>
      <c r="M282" s="1" t="s">
        <v>2813</v>
      </c>
      <c r="N282" s="1" t="s">
        <v>2814</v>
      </c>
      <c r="O282" s="1" t="s">
        <v>42</v>
      </c>
      <c r="Q282" s="1" t="s">
        <v>2346</v>
      </c>
      <c r="R282" s="1" t="s">
        <v>2353</v>
      </c>
      <c r="S282" s="1" t="s">
        <v>2354</v>
      </c>
      <c r="T282" s="49">
        <v>14610960.57</v>
      </c>
      <c r="U282" s="20">
        <v>0</v>
      </c>
      <c r="V282" s="20">
        <v>0</v>
      </c>
      <c r="W282" s="20">
        <v>0</v>
      </c>
      <c r="X282" s="20">
        <v>0</v>
      </c>
      <c r="Y282" s="20">
        <v>0</v>
      </c>
      <c r="Z282" s="20">
        <v>182688.99</v>
      </c>
      <c r="AA282" s="20">
        <v>230555.65</v>
      </c>
      <c r="AB282" s="20">
        <v>233475.8</v>
      </c>
      <c r="AC282" s="20">
        <v>2108562.5</v>
      </c>
      <c r="AD282" s="20">
        <v>2007287.05</v>
      </c>
      <c r="AE282" s="20">
        <v>0</v>
      </c>
      <c r="AF282" s="20">
        <v>0</v>
      </c>
      <c r="AG282" s="51">
        <f t="shared" si="15"/>
        <v>9848390.5800000001</v>
      </c>
      <c r="AH282" s="20">
        <v>5577722</v>
      </c>
      <c r="AI282" s="20">
        <v>5879892</v>
      </c>
      <c r="AJ282" s="20">
        <v>2412816</v>
      </c>
      <c r="AK282" s="20">
        <f t="shared" si="13"/>
        <v>4623476.666666667</v>
      </c>
      <c r="AL282" s="26">
        <f t="shared" si="14"/>
        <v>2.160167472097116</v>
      </c>
      <c r="AM282" s="1" t="s">
        <v>3020</v>
      </c>
    </row>
    <row r="283" spans="1:39" x14ac:dyDescent="0.3">
      <c r="A283" s="1">
        <v>274</v>
      </c>
      <c r="B283" s="1" t="s">
        <v>114</v>
      </c>
      <c r="C283" s="1" t="s">
        <v>2347</v>
      </c>
      <c r="D283" s="1" t="s">
        <v>2344</v>
      </c>
      <c r="E283" s="1" t="s">
        <v>664</v>
      </c>
      <c r="F283" s="1" t="s">
        <v>2539</v>
      </c>
      <c r="H283" s="1" t="s">
        <v>2836</v>
      </c>
      <c r="I283" s="3" t="s">
        <v>30</v>
      </c>
      <c r="J283" s="1" t="s">
        <v>2345</v>
      </c>
      <c r="K283" s="1" t="s">
        <v>674</v>
      </c>
      <c r="L283" s="1" t="s">
        <v>2821</v>
      </c>
      <c r="M283" s="1" t="s">
        <v>2813</v>
      </c>
      <c r="N283" s="1" t="s">
        <v>2814</v>
      </c>
      <c r="O283" s="1" t="s">
        <v>42</v>
      </c>
      <c r="Q283" s="1" t="s">
        <v>2346</v>
      </c>
      <c r="R283" s="1" t="s">
        <v>2353</v>
      </c>
      <c r="S283" s="1" t="s">
        <v>2354</v>
      </c>
      <c r="T283" s="49">
        <v>2537126.69</v>
      </c>
      <c r="U283" s="20">
        <v>0</v>
      </c>
      <c r="V283" s="20">
        <v>0</v>
      </c>
      <c r="W283" s="20">
        <v>0</v>
      </c>
      <c r="X283" s="20">
        <v>0</v>
      </c>
      <c r="Y283" s="20">
        <v>0</v>
      </c>
      <c r="Z283" s="20">
        <v>31723.11</v>
      </c>
      <c r="AA283" s="20">
        <v>40034.94</v>
      </c>
      <c r="AB283" s="20">
        <v>40542.01</v>
      </c>
      <c r="AC283" s="20">
        <v>366142.26</v>
      </c>
      <c r="AD283" s="20">
        <v>348556.24</v>
      </c>
      <c r="AE283" s="20">
        <v>0</v>
      </c>
      <c r="AF283" s="20">
        <v>0</v>
      </c>
      <c r="AG283" s="51">
        <f t="shared" si="15"/>
        <v>1710128.13</v>
      </c>
      <c r="AH283" s="20">
        <v>588840</v>
      </c>
      <c r="AI283" s="20">
        <v>237984</v>
      </c>
      <c r="AJ283" s="20">
        <v>0</v>
      </c>
      <c r="AK283" s="20">
        <f t="shared" si="13"/>
        <v>413412</v>
      </c>
      <c r="AL283" s="26">
        <f t="shared" si="14"/>
        <v>5.1370417162540027</v>
      </c>
      <c r="AM283" s="1" t="s">
        <v>3020</v>
      </c>
    </row>
    <row r="284" spans="1:39" x14ac:dyDescent="0.3">
      <c r="A284" s="1">
        <v>275</v>
      </c>
      <c r="B284" s="1" t="s">
        <v>114</v>
      </c>
      <c r="C284" s="1" t="s">
        <v>2347</v>
      </c>
      <c r="D284" s="1" t="s">
        <v>2344</v>
      </c>
      <c r="E284" s="1" t="s">
        <v>664</v>
      </c>
      <c r="F284" s="1" t="s">
        <v>2539</v>
      </c>
      <c r="H284" s="1" t="s">
        <v>2837</v>
      </c>
      <c r="I284" s="3" t="s">
        <v>30</v>
      </c>
      <c r="J284" s="1" t="s">
        <v>2345</v>
      </c>
      <c r="K284" s="1" t="s">
        <v>690</v>
      </c>
      <c r="L284" s="1" t="s">
        <v>2821</v>
      </c>
      <c r="M284" s="1" t="s">
        <v>2813</v>
      </c>
      <c r="N284" s="1" t="s">
        <v>2814</v>
      </c>
      <c r="O284" s="1" t="s">
        <v>42</v>
      </c>
      <c r="Q284" s="1" t="s">
        <v>2346</v>
      </c>
      <c r="R284" s="1" t="s">
        <v>2353</v>
      </c>
      <c r="S284" s="1" t="s">
        <v>2354</v>
      </c>
      <c r="T284" s="49">
        <v>5420614.9500000002</v>
      </c>
      <c r="U284" s="20">
        <v>0</v>
      </c>
      <c r="V284" s="20">
        <v>0</v>
      </c>
      <c r="W284" s="20">
        <v>0</v>
      </c>
      <c r="X284" s="20">
        <v>0</v>
      </c>
      <c r="Y284" s="20">
        <v>0</v>
      </c>
      <c r="Z284" s="20">
        <v>67776.97</v>
      </c>
      <c r="AA284" s="20">
        <v>85535.33</v>
      </c>
      <c r="AB284" s="20">
        <v>86618.7</v>
      </c>
      <c r="AC284" s="20">
        <v>782269.27</v>
      </c>
      <c r="AD284" s="20">
        <v>744696.43</v>
      </c>
      <c r="AE284" s="20">
        <v>0</v>
      </c>
      <c r="AF284" s="20">
        <v>0</v>
      </c>
      <c r="AG284" s="51">
        <f t="shared" si="15"/>
        <v>3653718.25</v>
      </c>
      <c r="AH284" s="20">
        <v>3854856</v>
      </c>
      <c r="AI284" s="20">
        <v>2285832</v>
      </c>
      <c r="AJ284" s="20">
        <v>2134528</v>
      </c>
      <c r="AK284" s="20">
        <f t="shared" si="13"/>
        <v>2758405.3333333335</v>
      </c>
      <c r="AL284" s="26">
        <f t="shared" si="14"/>
        <v>0.96512633023718042</v>
      </c>
      <c r="AM284" s="1" t="s">
        <v>3020</v>
      </c>
    </row>
    <row r="285" spans="1:39" x14ac:dyDescent="0.3">
      <c r="A285" s="1">
        <v>276</v>
      </c>
      <c r="B285" s="1" t="s">
        <v>114</v>
      </c>
      <c r="C285" s="1" t="s">
        <v>2347</v>
      </c>
      <c r="D285" s="1" t="s">
        <v>2344</v>
      </c>
      <c r="E285" s="1" t="s">
        <v>664</v>
      </c>
      <c r="F285" s="1" t="s">
        <v>2539</v>
      </c>
      <c r="H285" s="1" t="s">
        <v>2838</v>
      </c>
      <c r="I285" s="3" t="s">
        <v>30</v>
      </c>
      <c r="J285" s="1" t="s">
        <v>2345</v>
      </c>
      <c r="K285" s="1" t="s">
        <v>700</v>
      </c>
      <c r="L285" s="1" t="s">
        <v>2821</v>
      </c>
      <c r="M285" s="1" t="s">
        <v>2813</v>
      </c>
      <c r="N285" s="1" t="s">
        <v>2814</v>
      </c>
      <c r="O285" s="1" t="s">
        <v>42</v>
      </c>
      <c r="Q285" s="1" t="s">
        <v>2346</v>
      </c>
      <c r="R285" s="1" t="s">
        <v>2353</v>
      </c>
      <c r="S285" s="1" t="s">
        <v>2354</v>
      </c>
      <c r="T285" s="49">
        <v>18107937.48</v>
      </c>
      <c r="U285" s="20">
        <v>0</v>
      </c>
      <c r="V285" s="20">
        <v>0</v>
      </c>
      <c r="W285" s="20">
        <v>0</v>
      </c>
      <c r="X285" s="20">
        <v>0</v>
      </c>
      <c r="Y285" s="20">
        <v>0</v>
      </c>
      <c r="Z285" s="20">
        <v>226413.64</v>
      </c>
      <c r="AA285" s="20">
        <v>285736.67</v>
      </c>
      <c r="AB285" s="20">
        <v>289355.74</v>
      </c>
      <c r="AC285" s="20">
        <v>2613224.35</v>
      </c>
      <c r="AD285" s="20">
        <v>2487709.7000000002</v>
      </c>
      <c r="AE285" s="20">
        <v>0</v>
      </c>
      <c r="AF285" s="20">
        <v>0</v>
      </c>
      <c r="AG285" s="51">
        <f t="shared" si="15"/>
        <v>12205497.379999999</v>
      </c>
      <c r="AH285" s="20">
        <v>11135044</v>
      </c>
      <c r="AI285" s="20">
        <v>15831648</v>
      </c>
      <c r="AJ285" s="20">
        <v>9466768</v>
      </c>
      <c r="AK285" s="20">
        <f t="shared" si="13"/>
        <v>12144486.666666666</v>
      </c>
      <c r="AL285" s="26">
        <f t="shared" si="14"/>
        <v>0.49104181815287395</v>
      </c>
      <c r="AM285" s="1" t="s">
        <v>3020</v>
      </c>
    </row>
    <row r="286" spans="1:39" x14ac:dyDescent="0.3">
      <c r="A286" s="1">
        <v>277</v>
      </c>
      <c r="B286" s="1" t="s">
        <v>114</v>
      </c>
      <c r="C286" s="1" t="s">
        <v>2347</v>
      </c>
      <c r="D286" s="1" t="s">
        <v>2344</v>
      </c>
      <c r="E286" s="1" t="s">
        <v>620</v>
      </c>
      <c r="F286" s="1" t="s">
        <v>573</v>
      </c>
      <c r="G286" s="1" t="s">
        <v>620</v>
      </c>
      <c r="H286" s="1" t="s">
        <v>2839</v>
      </c>
      <c r="I286" s="3" t="s">
        <v>30</v>
      </c>
      <c r="J286" s="1" t="s">
        <v>2345</v>
      </c>
      <c r="K286" s="1" t="s">
        <v>621</v>
      </c>
      <c r="L286" s="1" t="s">
        <v>548</v>
      </c>
      <c r="M286" s="1" t="s">
        <v>2813</v>
      </c>
      <c r="N286" s="1" t="s">
        <v>2814</v>
      </c>
      <c r="O286" s="1" t="s">
        <v>42</v>
      </c>
      <c r="Q286" s="1" t="s">
        <v>2346</v>
      </c>
      <c r="R286" s="1" t="s">
        <v>2353</v>
      </c>
      <c r="S286" s="1" t="s">
        <v>2354</v>
      </c>
      <c r="T286" s="49">
        <v>5805201.4500000002</v>
      </c>
      <c r="U286" s="20">
        <v>0</v>
      </c>
      <c r="V286" s="20">
        <v>0</v>
      </c>
      <c r="W286" s="20">
        <v>0</v>
      </c>
      <c r="X286" s="20">
        <v>0</v>
      </c>
      <c r="Y286" s="20">
        <v>0</v>
      </c>
      <c r="Z286" s="20">
        <v>72585.67</v>
      </c>
      <c r="AA286" s="20">
        <v>91603.98</v>
      </c>
      <c r="AB286" s="20">
        <v>92764.21</v>
      </c>
      <c r="AC286" s="20">
        <v>837770.39</v>
      </c>
      <c r="AD286" s="20">
        <v>797531.81</v>
      </c>
      <c r="AE286" s="20">
        <v>0</v>
      </c>
      <c r="AF286" s="20">
        <v>0</v>
      </c>
      <c r="AG286" s="51">
        <f t="shared" si="15"/>
        <v>3912945.39</v>
      </c>
      <c r="AH286" s="20">
        <v>7091400</v>
      </c>
      <c r="AI286" s="20">
        <v>8196600</v>
      </c>
      <c r="AJ286" s="20">
        <v>9075000</v>
      </c>
      <c r="AK286" s="20">
        <f t="shared" si="13"/>
        <v>8121000</v>
      </c>
      <c r="AL286" s="26">
        <f t="shared" si="14"/>
        <v>-0.28516174732175836</v>
      </c>
      <c r="AM286" s="1" t="s">
        <v>3019</v>
      </c>
    </row>
    <row r="287" spans="1:39" x14ac:dyDescent="0.3">
      <c r="A287" s="1">
        <v>278</v>
      </c>
      <c r="B287" s="1" t="s">
        <v>114</v>
      </c>
      <c r="C287" s="1" t="s">
        <v>2347</v>
      </c>
      <c r="D287" s="1" t="s">
        <v>2344</v>
      </c>
      <c r="E287" s="1" t="s">
        <v>614</v>
      </c>
      <c r="F287" s="1" t="s">
        <v>573</v>
      </c>
      <c r="G287" s="1" t="s">
        <v>614</v>
      </c>
      <c r="H287" s="1" t="s">
        <v>2840</v>
      </c>
      <c r="I287" s="3" t="s">
        <v>30</v>
      </c>
      <c r="J287" s="1" t="s">
        <v>2345</v>
      </c>
      <c r="K287" s="1" t="s">
        <v>615</v>
      </c>
      <c r="L287" s="1" t="s">
        <v>548</v>
      </c>
      <c r="M287" s="1" t="s">
        <v>2813</v>
      </c>
      <c r="N287" s="1" t="s">
        <v>2814</v>
      </c>
      <c r="O287" s="1" t="s">
        <v>42</v>
      </c>
      <c r="Q287" s="1" t="s">
        <v>2346</v>
      </c>
      <c r="R287" s="1" t="s">
        <v>2353</v>
      </c>
      <c r="S287" s="1" t="s">
        <v>2354</v>
      </c>
      <c r="T287" s="49">
        <v>7884427.1799999997</v>
      </c>
      <c r="U287" s="20">
        <v>0</v>
      </c>
      <c r="V287" s="20">
        <v>0</v>
      </c>
      <c r="W287" s="20">
        <v>0</v>
      </c>
      <c r="X287" s="20">
        <v>0</v>
      </c>
      <c r="Y287" s="20">
        <v>0</v>
      </c>
      <c r="Z287" s="20">
        <v>98583.38</v>
      </c>
      <c r="AA287" s="20">
        <v>124413.4</v>
      </c>
      <c r="AB287" s="20">
        <v>125989.19</v>
      </c>
      <c r="AC287" s="20">
        <v>1137831.25</v>
      </c>
      <c r="AD287" s="20">
        <v>1083180.58</v>
      </c>
      <c r="AE287" s="20">
        <v>0</v>
      </c>
      <c r="AF287" s="20">
        <v>0</v>
      </c>
      <c r="AG287" s="51">
        <f t="shared" si="15"/>
        <v>5314429.38</v>
      </c>
      <c r="AH287" s="20">
        <v>10161900</v>
      </c>
      <c r="AI287" s="20">
        <v>7725150</v>
      </c>
      <c r="AJ287" s="20">
        <v>9924150</v>
      </c>
      <c r="AK287" s="20">
        <f t="shared" si="13"/>
        <v>9270400</v>
      </c>
      <c r="AL287" s="26">
        <f t="shared" si="14"/>
        <v>-0.14950517992751122</v>
      </c>
    </row>
    <row r="288" spans="1:39" x14ac:dyDescent="0.3">
      <c r="A288" s="1">
        <v>279</v>
      </c>
      <c r="B288" s="1" t="s">
        <v>114</v>
      </c>
      <c r="C288" s="1" t="s">
        <v>2347</v>
      </c>
      <c r="D288" s="1" t="s">
        <v>2344</v>
      </c>
      <c r="E288" s="1" t="s">
        <v>616</v>
      </c>
      <c r="F288" s="1" t="s">
        <v>573</v>
      </c>
      <c r="G288" s="1" t="s">
        <v>616</v>
      </c>
      <c r="H288" s="1" t="s">
        <v>2841</v>
      </c>
      <c r="I288" s="3" t="s">
        <v>30</v>
      </c>
      <c r="J288" s="1" t="s">
        <v>2345</v>
      </c>
      <c r="K288" s="1" t="s">
        <v>2842</v>
      </c>
      <c r="L288" s="1" t="s">
        <v>548</v>
      </c>
      <c r="M288" s="1" t="s">
        <v>2813</v>
      </c>
      <c r="N288" s="1" t="s">
        <v>2814</v>
      </c>
      <c r="O288" s="1" t="s">
        <v>42</v>
      </c>
      <c r="Q288" s="1" t="s">
        <v>2346</v>
      </c>
      <c r="R288" s="1" t="s">
        <v>2353</v>
      </c>
      <c r="S288" s="1" t="s">
        <v>2354</v>
      </c>
      <c r="T288" s="49">
        <v>4627557.3</v>
      </c>
      <c r="U288" s="20">
        <v>0</v>
      </c>
      <c r="V288" s="20">
        <v>0</v>
      </c>
      <c r="W288" s="20">
        <v>0</v>
      </c>
      <c r="X288" s="20">
        <v>0</v>
      </c>
      <c r="Y288" s="20">
        <v>0</v>
      </c>
      <c r="Z288" s="20">
        <v>57860.92</v>
      </c>
      <c r="AA288" s="20">
        <v>73021.179999999993</v>
      </c>
      <c r="AB288" s="20">
        <v>73946.039999999994</v>
      </c>
      <c r="AC288" s="20">
        <v>667820.14</v>
      </c>
      <c r="AD288" s="20">
        <v>635744.37</v>
      </c>
      <c r="AE288" s="20">
        <v>0</v>
      </c>
      <c r="AF288" s="20">
        <v>0</v>
      </c>
      <c r="AG288" s="51">
        <f t="shared" si="15"/>
        <v>3119164.65</v>
      </c>
      <c r="AH288" s="20">
        <v>0</v>
      </c>
      <c r="AI288" s="20">
        <v>0</v>
      </c>
      <c r="AJ288" s="20">
        <v>0</v>
      </c>
      <c r="AK288" s="20">
        <f t="shared" si="13"/>
        <v>0</v>
      </c>
      <c r="AL288" s="26">
        <f t="shared" si="14"/>
        <v>0</v>
      </c>
    </row>
    <row r="289" spans="1:39" x14ac:dyDescent="0.3">
      <c r="A289" s="1">
        <v>280</v>
      </c>
      <c r="B289" s="1" t="s">
        <v>114</v>
      </c>
      <c r="C289" s="1" t="s">
        <v>2347</v>
      </c>
      <c r="D289" s="1" t="s">
        <v>2344</v>
      </c>
      <c r="E289" s="1" t="s">
        <v>624</v>
      </c>
      <c r="F289" s="1" t="s">
        <v>573</v>
      </c>
      <c r="G289" s="1" t="s">
        <v>624</v>
      </c>
      <c r="H289" s="1" t="s">
        <v>2843</v>
      </c>
      <c r="I289" s="3" t="s">
        <v>30</v>
      </c>
      <c r="J289" s="1" t="s">
        <v>2345</v>
      </c>
      <c r="K289" s="1" t="s">
        <v>625</v>
      </c>
      <c r="L289" s="1" t="s">
        <v>561</v>
      </c>
      <c r="M289" s="1" t="s">
        <v>2813</v>
      </c>
      <c r="N289" s="1" t="s">
        <v>2814</v>
      </c>
      <c r="O289" s="1" t="s">
        <v>42</v>
      </c>
      <c r="Q289" s="1" t="s">
        <v>2346</v>
      </c>
      <c r="R289" s="1" t="s">
        <v>2353</v>
      </c>
      <c r="S289" s="1" t="s">
        <v>2354</v>
      </c>
      <c r="T289" s="49">
        <v>6171769.7599999998</v>
      </c>
      <c r="U289" s="20">
        <v>0</v>
      </c>
      <c r="V289" s="20">
        <v>0</v>
      </c>
      <c r="W289" s="20">
        <v>0</v>
      </c>
      <c r="X289" s="20">
        <v>0</v>
      </c>
      <c r="Y289" s="20">
        <v>0</v>
      </c>
      <c r="Z289" s="20">
        <v>77169.070000000007</v>
      </c>
      <c r="AA289" s="20">
        <v>97388.29</v>
      </c>
      <c r="AB289" s="20">
        <v>98621.78</v>
      </c>
      <c r="AC289" s="20">
        <v>890671.23</v>
      </c>
      <c r="AD289" s="20">
        <v>847891.8</v>
      </c>
      <c r="AE289" s="20">
        <v>0</v>
      </c>
      <c r="AF289" s="20">
        <v>0</v>
      </c>
      <c r="AG289" s="51">
        <f t="shared" si="15"/>
        <v>4160027.59</v>
      </c>
      <c r="AH289" s="20">
        <v>7581000</v>
      </c>
      <c r="AI289" s="20">
        <v>5780700</v>
      </c>
      <c r="AJ289" s="20">
        <v>8466600</v>
      </c>
      <c r="AK289" s="20">
        <f t="shared" si="13"/>
        <v>7276100</v>
      </c>
      <c r="AL289" s="26">
        <f t="shared" si="14"/>
        <v>-0.15177502233339291</v>
      </c>
    </row>
    <row r="290" spans="1:39" x14ac:dyDescent="0.3">
      <c r="A290" s="1">
        <v>281</v>
      </c>
      <c r="B290" s="1" t="s">
        <v>114</v>
      </c>
      <c r="C290" s="1" t="s">
        <v>2347</v>
      </c>
      <c r="D290" s="1" t="s">
        <v>2344</v>
      </c>
      <c r="E290" s="1" t="s">
        <v>618</v>
      </c>
      <c r="F290" s="1" t="s">
        <v>573</v>
      </c>
      <c r="G290" s="1" t="s">
        <v>618</v>
      </c>
      <c r="H290" s="1" t="s">
        <v>2844</v>
      </c>
      <c r="I290" s="3" t="s">
        <v>30</v>
      </c>
      <c r="J290" s="1" t="s">
        <v>2345</v>
      </c>
      <c r="K290" s="1" t="s">
        <v>619</v>
      </c>
      <c r="L290" s="1" t="s">
        <v>548</v>
      </c>
      <c r="M290" s="1" t="s">
        <v>2813</v>
      </c>
      <c r="N290" s="1" t="s">
        <v>2814</v>
      </c>
      <c r="O290" s="1" t="s">
        <v>42</v>
      </c>
      <c r="Q290" s="1" t="s">
        <v>2346</v>
      </c>
      <c r="R290" s="1" t="s">
        <v>2353</v>
      </c>
      <c r="S290" s="1" t="s">
        <v>2354</v>
      </c>
      <c r="T290" s="49">
        <v>5785148.4699999997</v>
      </c>
      <c r="U290" s="20">
        <v>0</v>
      </c>
      <c r="V290" s="20">
        <v>0</v>
      </c>
      <c r="W290" s="20">
        <v>0</v>
      </c>
      <c r="X290" s="20">
        <v>0</v>
      </c>
      <c r="Y290" s="20">
        <v>0</v>
      </c>
      <c r="Z290" s="20">
        <v>72334.929999999993</v>
      </c>
      <c r="AA290" s="20">
        <v>91287.55</v>
      </c>
      <c r="AB290" s="20">
        <v>92443.77</v>
      </c>
      <c r="AC290" s="20">
        <v>834876.46</v>
      </c>
      <c r="AD290" s="20">
        <v>794776.89</v>
      </c>
      <c r="AE290" s="20">
        <v>0</v>
      </c>
      <c r="AF290" s="20">
        <v>0</v>
      </c>
      <c r="AG290" s="51">
        <f t="shared" si="15"/>
        <v>3899428.8699999996</v>
      </c>
      <c r="AH290" s="20">
        <v>5425200</v>
      </c>
      <c r="AI290" s="20">
        <v>3387600</v>
      </c>
      <c r="AJ290" s="20">
        <v>8670600</v>
      </c>
      <c r="AK290" s="20">
        <f t="shared" si="13"/>
        <v>5827800</v>
      </c>
      <c r="AL290" s="26">
        <f t="shared" si="14"/>
        <v>-7.3186331034009733E-3</v>
      </c>
    </row>
    <row r="291" spans="1:39" x14ac:dyDescent="0.3">
      <c r="A291" s="1">
        <v>282</v>
      </c>
      <c r="B291" s="1" t="s">
        <v>114</v>
      </c>
      <c r="C291" s="1" t="s">
        <v>2347</v>
      </c>
      <c r="D291" s="1" t="s">
        <v>2344</v>
      </c>
      <c r="E291" s="1" t="s">
        <v>622</v>
      </c>
      <c r="F291" s="1" t="s">
        <v>573</v>
      </c>
      <c r="G291" s="1" t="s">
        <v>622</v>
      </c>
      <c r="H291" s="1" t="s">
        <v>2845</v>
      </c>
      <c r="I291" s="3" t="s">
        <v>30</v>
      </c>
      <c r="J291" s="1" t="s">
        <v>2345</v>
      </c>
      <c r="K291" s="1" t="s">
        <v>623</v>
      </c>
      <c r="L291" s="1" t="s">
        <v>548</v>
      </c>
      <c r="M291" s="1" t="s">
        <v>2813</v>
      </c>
      <c r="N291" s="1" t="s">
        <v>2814</v>
      </c>
      <c r="O291" s="1" t="s">
        <v>42</v>
      </c>
      <c r="Q291" s="1" t="s">
        <v>2346</v>
      </c>
      <c r="R291" s="1" t="s">
        <v>2353</v>
      </c>
      <c r="S291" s="1" t="s">
        <v>2354</v>
      </c>
      <c r="T291" s="49">
        <v>4627557.3</v>
      </c>
      <c r="U291" s="20">
        <v>0</v>
      </c>
      <c r="V291" s="20">
        <v>0</v>
      </c>
      <c r="W291" s="20">
        <v>0</v>
      </c>
      <c r="X291" s="20">
        <v>0</v>
      </c>
      <c r="Y291" s="20">
        <v>0</v>
      </c>
      <c r="Z291" s="20">
        <v>57860.92</v>
      </c>
      <c r="AA291" s="20">
        <v>73021.179999999993</v>
      </c>
      <c r="AB291" s="20">
        <v>73946.039999999994</v>
      </c>
      <c r="AC291" s="20">
        <v>667820.14</v>
      </c>
      <c r="AD291" s="20">
        <v>635744.37</v>
      </c>
      <c r="AE291" s="20">
        <v>0</v>
      </c>
      <c r="AF291" s="20">
        <v>0</v>
      </c>
      <c r="AG291" s="51">
        <f t="shared" si="15"/>
        <v>3119164.65</v>
      </c>
      <c r="AH291" s="20">
        <v>6766650</v>
      </c>
      <c r="AI291" s="20">
        <v>6073200</v>
      </c>
      <c r="AJ291" s="20">
        <v>9545100</v>
      </c>
      <c r="AK291" s="20">
        <f t="shared" si="13"/>
        <v>7461650</v>
      </c>
      <c r="AL291" s="26">
        <f t="shared" si="14"/>
        <v>-0.37982117896175782</v>
      </c>
      <c r="AM291" s="1" t="s">
        <v>3019</v>
      </c>
    </row>
    <row r="292" spans="1:39" x14ac:dyDescent="0.3">
      <c r="A292" s="1">
        <v>283</v>
      </c>
      <c r="B292" s="1" t="s">
        <v>114</v>
      </c>
      <c r="C292" s="1" t="s">
        <v>2347</v>
      </c>
      <c r="D292" s="1" t="s">
        <v>2344</v>
      </c>
      <c r="E292" s="1" t="s">
        <v>612</v>
      </c>
      <c r="F292" s="1" t="s">
        <v>573</v>
      </c>
      <c r="G292" s="1" t="s">
        <v>612</v>
      </c>
      <c r="H292" s="1" t="s">
        <v>2846</v>
      </c>
      <c r="I292" s="3" t="s">
        <v>30</v>
      </c>
      <c r="J292" s="1" t="s">
        <v>2345</v>
      </c>
      <c r="K292" s="1" t="s">
        <v>613</v>
      </c>
      <c r="L292" s="1" t="s">
        <v>548</v>
      </c>
      <c r="M292" s="1" t="s">
        <v>2813</v>
      </c>
      <c r="N292" s="1" t="s">
        <v>2814</v>
      </c>
      <c r="O292" s="1" t="s">
        <v>42</v>
      </c>
      <c r="Q292" s="1" t="s">
        <v>2346</v>
      </c>
      <c r="R292" s="1" t="s">
        <v>2353</v>
      </c>
      <c r="S292" s="1" t="s">
        <v>2354</v>
      </c>
      <c r="T292" s="49">
        <v>6258799.6500000004</v>
      </c>
      <c r="U292" s="20">
        <v>0</v>
      </c>
      <c r="V292" s="20">
        <v>0</v>
      </c>
      <c r="W292" s="20">
        <v>0</v>
      </c>
      <c r="X292" s="20">
        <v>0</v>
      </c>
      <c r="Y292" s="20">
        <v>0</v>
      </c>
      <c r="Z292" s="20">
        <v>78257.259999999995</v>
      </c>
      <c r="AA292" s="20">
        <v>98761.59</v>
      </c>
      <c r="AB292" s="20">
        <v>100012.48</v>
      </c>
      <c r="AC292" s="20">
        <v>903230.84</v>
      </c>
      <c r="AD292" s="20">
        <v>859848.16</v>
      </c>
      <c r="AE292" s="20">
        <v>0</v>
      </c>
      <c r="AF292" s="20">
        <v>0</v>
      </c>
      <c r="AG292" s="51">
        <f t="shared" si="15"/>
        <v>4218689.32</v>
      </c>
      <c r="AH292" s="20">
        <v>8200650</v>
      </c>
      <c r="AI292" s="20">
        <v>7869300</v>
      </c>
      <c r="AJ292" s="20">
        <v>10761150</v>
      </c>
      <c r="AK292" s="20">
        <f t="shared" si="13"/>
        <v>8943700</v>
      </c>
      <c r="AL292" s="26">
        <f t="shared" si="14"/>
        <v>-0.30020018001498261</v>
      </c>
      <c r="AM292" s="1" t="s">
        <v>3019</v>
      </c>
    </row>
    <row r="293" spans="1:39" x14ac:dyDescent="0.3">
      <c r="A293" s="1">
        <v>284</v>
      </c>
      <c r="B293" s="1" t="s">
        <v>114</v>
      </c>
      <c r="C293" s="1" t="s">
        <v>2347</v>
      </c>
      <c r="D293" s="1" t="s">
        <v>2344</v>
      </c>
      <c r="F293" s="1" t="s">
        <v>2375</v>
      </c>
      <c r="H293" s="1" t="s">
        <v>2847</v>
      </c>
      <c r="I293" s="3" t="s">
        <v>30</v>
      </c>
      <c r="J293" s="1" t="s">
        <v>2345</v>
      </c>
      <c r="K293" s="1" t="s">
        <v>2848</v>
      </c>
      <c r="L293" s="1" t="s">
        <v>2849</v>
      </c>
      <c r="M293" s="1" t="s">
        <v>2813</v>
      </c>
      <c r="N293" s="1" t="s">
        <v>2814</v>
      </c>
      <c r="O293" s="1" t="s">
        <v>42</v>
      </c>
      <c r="Q293" s="1" t="s">
        <v>2346</v>
      </c>
      <c r="R293" s="1" t="s">
        <v>2353</v>
      </c>
      <c r="S293" s="1" t="s">
        <v>2354</v>
      </c>
      <c r="T293" s="49">
        <v>5870129.8700000001</v>
      </c>
      <c r="U293" s="20">
        <v>0</v>
      </c>
      <c r="V293" s="20">
        <v>0</v>
      </c>
      <c r="W293" s="20">
        <v>0</v>
      </c>
      <c r="X293" s="20">
        <v>0</v>
      </c>
      <c r="Y293" s="20">
        <v>0</v>
      </c>
      <c r="Z293" s="20">
        <v>703796.1872388511</v>
      </c>
      <c r="AA293" s="20">
        <v>92628.51</v>
      </c>
      <c r="AB293" s="20">
        <v>1093801.72</v>
      </c>
      <c r="AC293" s="20">
        <v>1847140.45</v>
      </c>
      <c r="AD293" s="20">
        <v>1806451.81</v>
      </c>
      <c r="AE293" s="20">
        <v>0</v>
      </c>
      <c r="AF293" s="20">
        <v>0</v>
      </c>
      <c r="AG293" s="51">
        <f t="shared" si="15"/>
        <v>326311.19276114833</v>
      </c>
      <c r="AH293" s="20">
        <v>0</v>
      </c>
      <c r="AI293" s="20">
        <v>0</v>
      </c>
      <c r="AJ293" s="20">
        <v>0</v>
      </c>
      <c r="AK293" s="20">
        <f t="shared" si="13"/>
        <v>0</v>
      </c>
      <c r="AL293" s="26">
        <f t="shared" si="14"/>
        <v>0</v>
      </c>
    </row>
    <row r="294" spans="1:39" x14ac:dyDescent="0.3">
      <c r="A294" s="1">
        <v>285</v>
      </c>
      <c r="B294" s="1" t="s">
        <v>114</v>
      </c>
      <c r="C294" s="1" t="s">
        <v>2347</v>
      </c>
      <c r="D294" s="1" t="s">
        <v>2344</v>
      </c>
      <c r="F294" s="1" t="s">
        <v>2375</v>
      </c>
      <c r="H294" s="1" t="s">
        <v>2850</v>
      </c>
      <c r="I294" s="3" t="s">
        <v>30</v>
      </c>
      <c r="J294" s="1" t="s">
        <v>2345</v>
      </c>
      <c r="K294" s="1" t="s">
        <v>2851</v>
      </c>
      <c r="L294" s="1" t="s">
        <v>2852</v>
      </c>
      <c r="M294" s="1" t="s">
        <v>2813</v>
      </c>
      <c r="N294" s="1" t="s">
        <v>2814</v>
      </c>
      <c r="O294" s="1" t="s">
        <v>42</v>
      </c>
      <c r="Q294" s="1" t="s">
        <v>2346</v>
      </c>
      <c r="R294" s="1" t="s">
        <v>2353</v>
      </c>
      <c r="S294" s="1" t="s">
        <v>2354</v>
      </c>
      <c r="T294" s="49">
        <v>5870129.8700000001</v>
      </c>
      <c r="U294" s="20">
        <v>0</v>
      </c>
      <c r="V294" s="20">
        <v>0</v>
      </c>
      <c r="W294" s="20">
        <v>0</v>
      </c>
      <c r="X294" s="20">
        <v>0</v>
      </c>
      <c r="Y294" s="20">
        <v>0</v>
      </c>
      <c r="Z294" s="20">
        <v>703796.1872388511</v>
      </c>
      <c r="AA294" s="20">
        <v>92628.51</v>
      </c>
      <c r="AB294" s="20">
        <v>1093801.72</v>
      </c>
      <c r="AC294" s="20">
        <v>1847140.45</v>
      </c>
      <c r="AD294" s="20">
        <v>1806451.81</v>
      </c>
      <c r="AE294" s="20">
        <v>0</v>
      </c>
      <c r="AF294" s="20">
        <v>0</v>
      </c>
      <c r="AG294" s="51">
        <f t="shared" si="15"/>
        <v>326311.19276114833</v>
      </c>
      <c r="AH294" s="20">
        <v>0</v>
      </c>
      <c r="AI294" s="20">
        <v>0</v>
      </c>
      <c r="AJ294" s="20">
        <v>0</v>
      </c>
      <c r="AK294" s="20">
        <f t="shared" si="13"/>
        <v>0</v>
      </c>
      <c r="AL294" s="26">
        <f t="shared" si="14"/>
        <v>0</v>
      </c>
    </row>
    <row r="295" spans="1:39" x14ac:dyDescent="0.3">
      <c r="A295" s="1">
        <v>286</v>
      </c>
      <c r="B295" s="1" t="s">
        <v>114</v>
      </c>
      <c r="C295" s="1" t="s">
        <v>2347</v>
      </c>
      <c r="D295" s="1" t="s">
        <v>2344</v>
      </c>
      <c r="F295" s="1" t="s">
        <v>2375</v>
      </c>
      <c r="H295" s="1" t="s">
        <v>2853</v>
      </c>
      <c r="I295" s="3" t="s">
        <v>30</v>
      </c>
      <c r="J295" s="1" t="s">
        <v>2345</v>
      </c>
      <c r="K295" s="1" t="s">
        <v>2854</v>
      </c>
      <c r="M295" s="1" t="s">
        <v>2813</v>
      </c>
      <c r="N295" s="1" t="s">
        <v>2814</v>
      </c>
      <c r="O295" s="1" t="s">
        <v>42</v>
      </c>
      <c r="Q295" s="1" t="s">
        <v>2346</v>
      </c>
      <c r="R295" s="1" t="s">
        <v>2353</v>
      </c>
      <c r="S295" s="1" t="s">
        <v>2354</v>
      </c>
      <c r="T295" s="49">
        <v>5870129.8700000001</v>
      </c>
      <c r="U295" s="20">
        <v>0</v>
      </c>
      <c r="V295" s="20">
        <v>0</v>
      </c>
      <c r="W295" s="20">
        <v>0</v>
      </c>
      <c r="X295" s="20">
        <v>0</v>
      </c>
      <c r="Y295" s="20">
        <v>0</v>
      </c>
      <c r="Z295" s="20">
        <v>703796.1872388511</v>
      </c>
      <c r="AA295" s="20">
        <v>92628.51</v>
      </c>
      <c r="AB295" s="20">
        <v>1093801.72</v>
      </c>
      <c r="AC295" s="20">
        <v>1847140.45</v>
      </c>
      <c r="AD295" s="20">
        <v>1806451.81</v>
      </c>
      <c r="AE295" s="20">
        <v>0</v>
      </c>
      <c r="AF295" s="20">
        <v>0</v>
      </c>
      <c r="AG295" s="51">
        <f t="shared" si="15"/>
        <v>326311.19276114833</v>
      </c>
      <c r="AH295" s="20">
        <v>0</v>
      </c>
      <c r="AI295" s="20">
        <v>0</v>
      </c>
      <c r="AJ295" s="20">
        <v>0</v>
      </c>
      <c r="AK295" s="20">
        <f t="shared" si="13"/>
        <v>0</v>
      </c>
      <c r="AL295" s="26">
        <f t="shared" si="14"/>
        <v>0</v>
      </c>
    </row>
    <row r="296" spans="1:39" x14ac:dyDescent="0.3">
      <c r="A296" s="1">
        <v>287</v>
      </c>
      <c r="B296" s="1" t="s">
        <v>114</v>
      </c>
      <c r="C296" s="1" t="s">
        <v>2347</v>
      </c>
      <c r="D296" s="1" t="s">
        <v>2344</v>
      </c>
      <c r="F296" s="1" t="s">
        <v>2375</v>
      </c>
      <c r="H296" s="1" t="s">
        <v>2855</v>
      </c>
      <c r="I296" s="3" t="s">
        <v>30</v>
      </c>
      <c r="J296" s="1" t="s">
        <v>2345</v>
      </c>
      <c r="K296" s="1" t="s">
        <v>2856</v>
      </c>
      <c r="L296" s="1" t="s">
        <v>2856</v>
      </c>
      <c r="M296" s="1" t="s">
        <v>2813</v>
      </c>
      <c r="N296" s="1" t="s">
        <v>2814</v>
      </c>
      <c r="O296" s="1" t="s">
        <v>42</v>
      </c>
      <c r="Q296" s="1" t="s">
        <v>2346</v>
      </c>
      <c r="R296" s="1" t="s">
        <v>2353</v>
      </c>
      <c r="S296" s="1" t="s">
        <v>2354</v>
      </c>
      <c r="T296" s="49">
        <v>5870129.8700000001</v>
      </c>
      <c r="U296" s="20">
        <v>0</v>
      </c>
      <c r="V296" s="20">
        <v>0</v>
      </c>
      <c r="W296" s="20">
        <v>0</v>
      </c>
      <c r="X296" s="20">
        <v>0</v>
      </c>
      <c r="Y296" s="20">
        <v>0</v>
      </c>
      <c r="Z296" s="20">
        <v>703796.1872388511</v>
      </c>
      <c r="AA296" s="20">
        <v>92628.51</v>
      </c>
      <c r="AB296" s="20">
        <v>1093801.72</v>
      </c>
      <c r="AC296" s="20">
        <v>1847140.45</v>
      </c>
      <c r="AD296" s="20">
        <v>1806451.81</v>
      </c>
      <c r="AE296" s="20">
        <v>0</v>
      </c>
      <c r="AF296" s="20">
        <v>0</v>
      </c>
      <c r="AG296" s="51">
        <f t="shared" si="15"/>
        <v>326311.19276114833</v>
      </c>
      <c r="AH296" s="20">
        <v>0</v>
      </c>
      <c r="AI296" s="20">
        <v>0</v>
      </c>
      <c r="AJ296" s="20">
        <v>0</v>
      </c>
      <c r="AK296" s="20">
        <f t="shared" si="13"/>
        <v>0</v>
      </c>
      <c r="AL296" s="26">
        <f t="shared" si="14"/>
        <v>0</v>
      </c>
    </row>
    <row r="297" spans="1:39" x14ac:dyDescent="0.3">
      <c r="A297" s="1">
        <v>288</v>
      </c>
      <c r="B297" s="1" t="s">
        <v>114</v>
      </c>
      <c r="C297" s="1" t="s">
        <v>2347</v>
      </c>
      <c r="D297" s="1" t="s">
        <v>2344</v>
      </c>
      <c r="F297" s="1" t="s">
        <v>2375</v>
      </c>
      <c r="H297" s="1" t="s">
        <v>2857</v>
      </c>
      <c r="I297" s="3" t="s">
        <v>30</v>
      </c>
      <c r="J297" s="1" t="s">
        <v>2345</v>
      </c>
      <c r="K297" s="1" t="s">
        <v>2858</v>
      </c>
      <c r="L297" s="1" t="s">
        <v>2858</v>
      </c>
      <c r="M297" s="1" t="s">
        <v>2813</v>
      </c>
      <c r="N297" s="1" t="s">
        <v>2814</v>
      </c>
      <c r="O297" s="1" t="s">
        <v>42</v>
      </c>
      <c r="Q297" s="1" t="s">
        <v>2346</v>
      </c>
      <c r="R297" s="1" t="s">
        <v>2353</v>
      </c>
      <c r="S297" s="1" t="s">
        <v>2354</v>
      </c>
      <c r="T297" s="49">
        <v>5870129.8700000001</v>
      </c>
      <c r="U297" s="20">
        <v>0</v>
      </c>
      <c r="V297" s="20">
        <v>0</v>
      </c>
      <c r="W297" s="20">
        <v>0</v>
      </c>
      <c r="X297" s="20">
        <v>0</v>
      </c>
      <c r="Y297" s="20">
        <v>0</v>
      </c>
      <c r="Z297" s="20">
        <v>703796.1872388511</v>
      </c>
      <c r="AA297" s="20">
        <v>92628.51</v>
      </c>
      <c r="AB297" s="20">
        <v>1093801.72</v>
      </c>
      <c r="AC297" s="20">
        <v>1847140.45</v>
      </c>
      <c r="AD297" s="20">
        <v>1806451.81</v>
      </c>
      <c r="AE297" s="20">
        <v>0</v>
      </c>
      <c r="AF297" s="20">
        <v>0</v>
      </c>
      <c r="AG297" s="51">
        <f t="shared" si="15"/>
        <v>326311.19276114833</v>
      </c>
      <c r="AH297" s="20">
        <v>0</v>
      </c>
      <c r="AI297" s="20">
        <v>0</v>
      </c>
      <c r="AJ297" s="20">
        <v>0</v>
      </c>
      <c r="AK297" s="20">
        <f t="shared" si="13"/>
        <v>0</v>
      </c>
      <c r="AL297" s="26">
        <f t="shared" si="14"/>
        <v>0</v>
      </c>
    </row>
    <row r="298" spans="1:39" x14ac:dyDescent="0.3">
      <c r="A298" s="1">
        <v>289</v>
      </c>
      <c r="B298" s="1" t="s">
        <v>114</v>
      </c>
      <c r="C298" s="1" t="s">
        <v>2347</v>
      </c>
      <c r="D298" s="1" t="s">
        <v>2344</v>
      </c>
      <c r="F298" s="1" t="s">
        <v>2375</v>
      </c>
      <c r="H298" s="1" t="s">
        <v>2859</v>
      </c>
      <c r="I298" s="3" t="s">
        <v>30</v>
      </c>
      <c r="J298" s="1" t="s">
        <v>2345</v>
      </c>
      <c r="K298" s="1" t="s">
        <v>2860</v>
      </c>
      <c r="L298" s="1" t="s">
        <v>2860</v>
      </c>
      <c r="M298" s="1" t="s">
        <v>2813</v>
      </c>
      <c r="N298" s="1" t="s">
        <v>2814</v>
      </c>
      <c r="O298" s="1" t="s">
        <v>42</v>
      </c>
      <c r="Q298" s="1" t="s">
        <v>2346</v>
      </c>
      <c r="R298" s="1" t="s">
        <v>2353</v>
      </c>
      <c r="S298" s="1" t="s">
        <v>2354</v>
      </c>
      <c r="T298" s="49">
        <v>5870129.8700000001</v>
      </c>
      <c r="U298" s="20">
        <v>0</v>
      </c>
      <c r="V298" s="20">
        <v>0</v>
      </c>
      <c r="W298" s="20">
        <v>0</v>
      </c>
      <c r="X298" s="20">
        <v>0</v>
      </c>
      <c r="Y298" s="20">
        <v>0</v>
      </c>
      <c r="Z298" s="20">
        <v>703796.1872388511</v>
      </c>
      <c r="AA298" s="20">
        <v>92628.51</v>
      </c>
      <c r="AB298" s="20">
        <v>1093801.72</v>
      </c>
      <c r="AC298" s="20">
        <v>1847140.45</v>
      </c>
      <c r="AD298" s="20">
        <v>1806451.81</v>
      </c>
      <c r="AE298" s="20">
        <v>0</v>
      </c>
      <c r="AF298" s="20">
        <v>0</v>
      </c>
      <c r="AG298" s="51">
        <f t="shared" si="15"/>
        <v>326311.19276114833</v>
      </c>
      <c r="AH298" s="20">
        <v>0</v>
      </c>
      <c r="AI298" s="20">
        <v>0</v>
      </c>
      <c r="AJ298" s="20">
        <v>0</v>
      </c>
      <c r="AK298" s="20">
        <f t="shared" si="13"/>
        <v>0</v>
      </c>
      <c r="AL298" s="26">
        <f t="shared" si="14"/>
        <v>0</v>
      </c>
    </row>
    <row r="299" spans="1:39" x14ac:dyDescent="0.3">
      <c r="A299" s="1">
        <v>290</v>
      </c>
      <c r="B299" s="1" t="s">
        <v>114</v>
      </c>
      <c r="C299" s="1" t="s">
        <v>2347</v>
      </c>
      <c r="D299" s="1" t="s">
        <v>2344</v>
      </c>
      <c r="F299" s="1" t="s">
        <v>2375</v>
      </c>
      <c r="H299" s="1" t="s">
        <v>2861</v>
      </c>
      <c r="I299" s="3" t="s">
        <v>30</v>
      </c>
      <c r="J299" s="1" t="s">
        <v>2345</v>
      </c>
      <c r="K299" s="1" t="s">
        <v>2862</v>
      </c>
      <c r="L299" s="1" t="s">
        <v>2862</v>
      </c>
      <c r="M299" s="1" t="s">
        <v>2813</v>
      </c>
      <c r="N299" s="1" t="s">
        <v>2814</v>
      </c>
      <c r="O299" s="1" t="s">
        <v>42</v>
      </c>
      <c r="Q299" s="1" t="s">
        <v>2346</v>
      </c>
      <c r="R299" s="1" t="s">
        <v>2353</v>
      </c>
      <c r="S299" s="1" t="s">
        <v>2354</v>
      </c>
      <c r="T299" s="49">
        <v>5870129.8700000001</v>
      </c>
      <c r="U299" s="20">
        <v>0</v>
      </c>
      <c r="V299" s="20">
        <v>0</v>
      </c>
      <c r="W299" s="20">
        <v>0</v>
      </c>
      <c r="X299" s="20">
        <v>0</v>
      </c>
      <c r="Y299" s="20">
        <v>0</v>
      </c>
      <c r="Z299" s="20">
        <v>703796.1872388511</v>
      </c>
      <c r="AA299" s="20">
        <v>92628.51</v>
      </c>
      <c r="AB299" s="20">
        <v>1093801.72</v>
      </c>
      <c r="AC299" s="20">
        <v>1847140.45</v>
      </c>
      <c r="AD299" s="20">
        <v>1806451.81</v>
      </c>
      <c r="AE299" s="20">
        <v>0</v>
      </c>
      <c r="AF299" s="20">
        <v>0</v>
      </c>
      <c r="AG299" s="51">
        <f t="shared" si="15"/>
        <v>326311.19276114833</v>
      </c>
      <c r="AH299" s="20">
        <v>0</v>
      </c>
      <c r="AI299" s="20">
        <v>0</v>
      </c>
      <c r="AJ299" s="20">
        <v>0</v>
      </c>
      <c r="AK299" s="20">
        <f t="shared" si="13"/>
        <v>0</v>
      </c>
      <c r="AL299" s="26">
        <f t="shared" si="14"/>
        <v>0</v>
      </c>
    </row>
    <row r="300" spans="1:39" x14ac:dyDescent="0.3">
      <c r="A300" s="1">
        <v>291</v>
      </c>
      <c r="B300" s="1" t="s">
        <v>114</v>
      </c>
      <c r="C300" s="1" t="s">
        <v>2347</v>
      </c>
      <c r="D300" s="1" t="s">
        <v>2344</v>
      </c>
      <c r="F300" s="1" t="s">
        <v>2375</v>
      </c>
      <c r="H300" s="1" t="s">
        <v>2863</v>
      </c>
      <c r="I300" s="3" t="s">
        <v>30</v>
      </c>
      <c r="J300" s="1" t="s">
        <v>2345</v>
      </c>
      <c r="K300" s="1" t="s">
        <v>2864</v>
      </c>
      <c r="L300" s="1" t="s">
        <v>2864</v>
      </c>
      <c r="M300" s="1" t="s">
        <v>2813</v>
      </c>
      <c r="N300" s="1" t="s">
        <v>2814</v>
      </c>
      <c r="O300" s="1" t="s">
        <v>42</v>
      </c>
      <c r="Q300" s="1" t="s">
        <v>2346</v>
      </c>
      <c r="R300" s="1" t="s">
        <v>2353</v>
      </c>
      <c r="S300" s="1" t="s">
        <v>2354</v>
      </c>
      <c r="T300" s="49">
        <v>5870129.8700000001</v>
      </c>
      <c r="U300" s="20">
        <v>0</v>
      </c>
      <c r="V300" s="20">
        <v>0</v>
      </c>
      <c r="W300" s="20">
        <v>0</v>
      </c>
      <c r="X300" s="20">
        <v>0</v>
      </c>
      <c r="Y300" s="20">
        <v>0</v>
      </c>
      <c r="Z300" s="20">
        <v>703796.1872388511</v>
      </c>
      <c r="AA300" s="20">
        <v>92628.51</v>
      </c>
      <c r="AB300" s="20">
        <v>1093801.72</v>
      </c>
      <c r="AC300" s="20">
        <v>1847140.45</v>
      </c>
      <c r="AD300" s="20">
        <v>1806451.81</v>
      </c>
      <c r="AE300" s="20">
        <v>0</v>
      </c>
      <c r="AF300" s="20">
        <v>0</v>
      </c>
      <c r="AG300" s="51">
        <f t="shared" si="15"/>
        <v>326311.19276114833</v>
      </c>
      <c r="AH300" s="20">
        <v>0</v>
      </c>
      <c r="AI300" s="20">
        <v>0</v>
      </c>
      <c r="AJ300" s="20">
        <v>0</v>
      </c>
      <c r="AK300" s="20">
        <f t="shared" si="13"/>
        <v>0</v>
      </c>
      <c r="AL300" s="26">
        <f t="shared" si="14"/>
        <v>0</v>
      </c>
    </row>
    <row r="301" spans="1:39" x14ac:dyDescent="0.3">
      <c r="A301" s="1">
        <v>292</v>
      </c>
      <c r="B301" s="1" t="s">
        <v>114</v>
      </c>
      <c r="C301" s="1" t="s">
        <v>2347</v>
      </c>
      <c r="D301" s="1" t="s">
        <v>2344</v>
      </c>
      <c r="F301" s="1" t="s">
        <v>2375</v>
      </c>
      <c r="H301" s="1" t="s">
        <v>2865</v>
      </c>
      <c r="I301" s="3" t="s">
        <v>30</v>
      </c>
      <c r="J301" s="1" t="s">
        <v>2345</v>
      </c>
      <c r="K301" s="1" t="s">
        <v>2866</v>
      </c>
      <c r="L301" s="1" t="s">
        <v>2866</v>
      </c>
      <c r="M301" s="1" t="s">
        <v>2813</v>
      </c>
      <c r="N301" s="1" t="s">
        <v>2814</v>
      </c>
      <c r="O301" s="1" t="s">
        <v>42</v>
      </c>
      <c r="Q301" s="1" t="s">
        <v>2346</v>
      </c>
      <c r="R301" s="1" t="s">
        <v>2353</v>
      </c>
      <c r="S301" s="1" t="s">
        <v>2354</v>
      </c>
      <c r="T301" s="49">
        <v>5870129.8700000001</v>
      </c>
      <c r="U301" s="20">
        <v>0</v>
      </c>
      <c r="V301" s="20">
        <v>0</v>
      </c>
      <c r="W301" s="20">
        <v>0</v>
      </c>
      <c r="X301" s="20">
        <v>0</v>
      </c>
      <c r="Y301" s="20">
        <v>0</v>
      </c>
      <c r="Z301" s="20">
        <v>703796.1872388511</v>
      </c>
      <c r="AA301" s="20">
        <v>92628.51</v>
      </c>
      <c r="AB301" s="20">
        <v>1093801.72</v>
      </c>
      <c r="AC301" s="20">
        <v>1847140.45</v>
      </c>
      <c r="AD301" s="20">
        <v>1806451.81</v>
      </c>
      <c r="AE301" s="20">
        <v>0</v>
      </c>
      <c r="AF301" s="20">
        <v>0</v>
      </c>
      <c r="AG301" s="51">
        <f t="shared" si="15"/>
        <v>326311.19276114833</v>
      </c>
      <c r="AH301" s="20">
        <v>0</v>
      </c>
      <c r="AI301" s="20">
        <v>0</v>
      </c>
      <c r="AJ301" s="20">
        <v>0</v>
      </c>
      <c r="AK301" s="20">
        <f t="shared" si="13"/>
        <v>0</v>
      </c>
      <c r="AL301" s="26">
        <f t="shared" si="14"/>
        <v>0</v>
      </c>
    </row>
    <row r="302" spans="1:39" x14ac:dyDescent="0.3">
      <c r="A302" s="1">
        <v>293</v>
      </c>
      <c r="B302" s="1" t="s">
        <v>114</v>
      </c>
      <c r="C302" s="1" t="s">
        <v>2347</v>
      </c>
      <c r="D302" s="1" t="s">
        <v>2344</v>
      </c>
      <c r="F302" s="1" t="s">
        <v>2375</v>
      </c>
      <c r="H302" s="1" t="s">
        <v>2867</v>
      </c>
      <c r="I302" s="3" t="s">
        <v>30</v>
      </c>
      <c r="J302" s="1" t="s">
        <v>2345</v>
      </c>
      <c r="K302" s="1" t="s">
        <v>2868</v>
      </c>
      <c r="L302" s="1" t="s">
        <v>2868</v>
      </c>
      <c r="M302" s="1" t="s">
        <v>2813</v>
      </c>
      <c r="N302" s="1" t="s">
        <v>2814</v>
      </c>
      <c r="O302" s="1" t="s">
        <v>42</v>
      </c>
      <c r="Q302" s="1" t="s">
        <v>2346</v>
      </c>
      <c r="R302" s="1" t="s">
        <v>2353</v>
      </c>
      <c r="S302" s="1" t="s">
        <v>2354</v>
      </c>
      <c r="T302" s="49">
        <v>5870129.8700000001</v>
      </c>
      <c r="U302" s="20">
        <v>0</v>
      </c>
      <c r="V302" s="20">
        <v>0</v>
      </c>
      <c r="W302" s="20">
        <v>0</v>
      </c>
      <c r="X302" s="20">
        <v>0</v>
      </c>
      <c r="Y302" s="20">
        <v>0</v>
      </c>
      <c r="Z302" s="20">
        <v>703796.1872388511</v>
      </c>
      <c r="AA302" s="20">
        <v>92628.51</v>
      </c>
      <c r="AB302" s="20">
        <v>1093801.72</v>
      </c>
      <c r="AC302" s="20">
        <v>1847140.45</v>
      </c>
      <c r="AD302" s="20">
        <v>1806451.81</v>
      </c>
      <c r="AE302" s="20">
        <v>0</v>
      </c>
      <c r="AF302" s="20">
        <v>0</v>
      </c>
      <c r="AG302" s="51">
        <f t="shared" si="15"/>
        <v>326311.19276114833</v>
      </c>
      <c r="AH302" s="20">
        <v>0</v>
      </c>
      <c r="AI302" s="20">
        <v>0</v>
      </c>
      <c r="AJ302" s="20">
        <v>0</v>
      </c>
      <c r="AK302" s="20">
        <f t="shared" si="13"/>
        <v>0</v>
      </c>
      <c r="AL302" s="26">
        <f t="shared" si="14"/>
        <v>0</v>
      </c>
    </row>
    <row r="303" spans="1:39" x14ac:dyDescent="0.3">
      <c r="A303" s="1">
        <v>294</v>
      </c>
      <c r="B303" s="1" t="s">
        <v>114</v>
      </c>
      <c r="C303" s="1" t="s">
        <v>2347</v>
      </c>
      <c r="D303" s="1" t="s">
        <v>2344</v>
      </c>
      <c r="F303" s="1" t="s">
        <v>2375</v>
      </c>
      <c r="H303" s="1" t="s">
        <v>2869</v>
      </c>
      <c r="I303" s="3" t="s">
        <v>30</v>
      </c>
      <c r="J303" s="1" t="s">
        <v>2345</v>
      </c>
      <c r="K303" s="1" t="s">
        <v>2870</v>
      </c>
      <c r="L303" s="1" t="s">
        <v>2871</v>
      </c>
      <c r="M303" s="1" t="s">
        <v>2813</v>
      </c>
      <c r="N303" s="1" t="s">
        <v>2814</v>
      </c>
      <c r="O303" s="1" t="s">
        <v>42</v>
      </c>
      <c r="Q303" s="1" t="s">
        <v>2346</v>
      </c>
      <c r="R303" s="1" t="s">
        <v>2353</v>
      </c>
      <c r="S303" s="1" t="s">
        <v>2354</v>
      </c>
      <c r="T303" s="49">
        <v>5870129.8700000001</v>
      </c>
      <c r="U303" s="20">
        <v>0</v>
      </c>
      <c r="V303" s="20">
        <v>0</v>
      </c>
      <c r="W303" s="20">
        <v>0</v>
      </c>
      <c r="X303" s="20">
        <v>0</v>
      </c>
      <c r="Y303" s="20">
        <v>0</v>
      </c>
      <c r="Z303" s="20">
        <v>703796.1872388511</v>
      </c>
      <c r="AA303" s="20">
        <v>92628.51</v>
      </c>
      <c r="AB303" s="20">
        <v>1093801.72</v>
      </c>
      <c r="AC303" s="20">
        <v>1847140.45</v>
      </c>
      <c r="AD303" s="20">
        <v>1806451.81</v>
      </c>
      <c r="AE303" s="20">
        <v>0</v>
      </c>
      <c r="AF303" s="20">
        <v>0</v>
      </c>
      <c r="AG303" s="51">
        <f t="shared" si="15"/>
        <v>326311.19276114833</v>
      </c>
      <c r="AH303" s="20">
        <v>0</v>
      </c>
      <c r="AI303" s="20">
        <v>0</v>
      </c>
      <c r="AJ303" s="20">
        <v>0</v>
      </c>
      <c r="AK303" s="20">
        <f t="shared" si="13"/>
        <v>0</v>
      </c>
      <c r="AL303" s="26">
        <f t="shared" si="14"/>
        <v>0</v>
      </c>
    </row>
    <row r="304" spans="1:39" x14ac:dyDescent="0.3">
      <c r="A304" s="1">
        <v>295</v>
      </c>
      <c r="B304" s="1" t="s">
        <v>114</v>
      </c>
      <c r="C304" s="1" t="s">
        <v>2347</v>
      </c>
      <c r="D304" s="1" t="s">
        <v>2344</v>
      </c>
      <c r="F304" s="1" t="s">
        <v>2375</v>
      </c>
      <c r="H304" s="1" t="s">
        <v>2872</v>
      </c>
      <c r="I304" s="3" t="s">
        <v>30</v>
      </c>
      <c r="J304" s="1" t="s">
        <v>2345</v>
      </c>
      <c r="K304" s="1" t="s">
        <v>2873</v>
      </c>
      <c r="L304" s="1" t="s">
        <v>2874</v>
      </c>
      <c r="M304" s="1" t="s">
        <v>2813</v>
      </c>
      <c r="N304" s="1" t="s">
        <v>2814</v>
      </c>
      <c r="O304" s="1" t="s">
        <v>42</v>
      </c>
      <c r="Q304" s="1" t="s">
        <v>2346</v>
      </c>
      <c r="R304" s="1" t="s">
        <v>2353</v>
      </c>
      <c r="S304" s="1" t="s">
        <v>2354</v>
      </c>
      <c r="T304" s="49">
        <v>5870129.8700000001</v>
      </c>
      <c r="U304" s="20">
        <v>0</v>
      </c>
      <c r="V304" s="20">
        <v>0</v>
      </c>
      <c r="W304" s="20">
        <v>0</v>
      </c>
      <c r="X304" s="20">
        <v>0</v>
      </c>
      <c r="Y304" s="20">
        <v>0</v>
      </c>
      <c r="Z304" s="20">
        <v>703796.1872388511</v>
      </c>
      <c r="AA304" s="20">
        <v>92628.51</v>
      </c>
      <c r="AB304" s="20">
        <v>1093801.72</v>
      </c>
      <c r="AC304" s="20">
        <v>1847140.45</v>
      </c>
      <c r="AD304" s="20">
        <v>1806451.81</v>
      </c>
      <c r="AE304" s="20">
        <v>0</v>
      </c>
      <c r="AF304" s="20">
        <v>0</v>
      </c>
      <c r="AG304" s="51">
        <f t="shared" si="15"/>
        <v>326311.19276114833</v>
      </c>
      <c r="AH304" s="20">
        <v>0</v>
      </c>
      <c r="AI304" s="20">
        <v>0</v>
      </c>
      <c r="AJ304" s="20">
        <v>0</v>
      </c>
      <c r="AK304" s="20">
        <f t="shared" si="13"/>
        <v>0</v>
      </c>
      <c r="AL304" s="26">
        <f t="shared" si="14"/>
        <v>0</v>
      </c>
    </row>
    <row r="305" spans="1:38" x14ac:dyDescent="0.3">
      <c r="A305" s="1">
        <v>296</v>
      </c>
      <c r="B305" s="1" t="s">
        <v>114</v>
      </c>
      <c r="C305" s="1" t="s">
        <v>2347</v>
      </c>
      <c r="D305" s="1" t="s">
        <v>2344</v>
      </c>
      <c r="F305" s="1" t="s">
        <v>2375</v>
      </c>
      <c r="H305" s="1" t="s">
        <v>2875</v>
      </c>
      <c r="I305" s="3" t="s">
        <v>30</v>
      </c>
      <c r="J305" s="1" t="s">
        <v>2345</v>
      </c>
      <c r="K305" s="1" t="s">
        <v>2876</v>
      </c>
      <c r="L305" s="1" t="s">
        <v>2877</v>
      </c>
      <c r="M305" s="1" t="s">
        <v>2813</v>
      </c>
      <c r="N305" s="1" t="s">
        <v>2814</v>
      </c>
      <c r="O305" s="1" t="s">
        <v>42</v>
      </c>
      <c r="Q305" s="1" t="s">
        <v>2346</v>
      </c>
      <c r="R305" s="1" t="s">
        <v>2353</v>
      </c>
      <c r="S305" s="1" t="s">
        <v>2354</v>
      </c>
      <c r="T305" s="49">
        <v>5870129.8700000001</v>
      </c>
      <c r="U305" s="20">
        <v>0</v>
      </c>
      <c r="V305" s="20">
        <v>0</v>
      </c>
      <c r="W305" s="20">
        <v>0</v>
      </c>
      <c r="X305" s="20">
        <v>0</v>
      </c>
      <c r="Y305" s="20">
        <v>0</v>
      </c>
      <c r="Z305" s="20">
        <v>703796.1872388511</v>
      </c>
      <c r="AA305" s="20">
        <v>92628.51</v>
      </c>
      <c r="AB305" s="20">
        <v>1093801.72</v>
      </c>
      <c r="AC305" s="20">
        <v>1847140.45</v>
      </c>
      <c r="AD305" s="20">
        <v>1806451.81</v>
      </c>
      <c r="AE305" s="20">
        <v>0</v>
      </c>
      <c r="AF305" s="20">
        <v>0</v>
      </c>
      <c r="AG305" s="51">
        <f t="shared" si="15"/>
        <v>326311.19276114833</v>
      </c>
      <c r="AH305" s="20">
        <v>0</v>
      </c>
      <c r="AI305" s="20">
        <v>0</v>
      </c>
      <c r="AJ305" s="20">
        <v>0</v>
      </c>
      <c r="AK305" s="20">
        <f t="shared" si="13"/>
        <v>0</v>
      </c>
      <c r="AL305" s="26">
        <f t="shared" si="14"/>
        <v>0</v>
      </c>
    </row>
    <row r="306" spans="1:38" x14ac:dyDescent="0.3">
      <c r="A306" s="1">
        <v>297</v>
      </c>
      <c r="B306" s="1" t="s">
        <v>114</v>
      </c>
      <c r="C306" s="1" t="s">
        <v>2347</v>
      </c>
      <c r="D306" s="1" t="s">
        <v>2344</v>
      </c>
      <c r="E306" s="1" t="s">
        <v>95</v>
      </c>
      <c r="F306" s="1" t="s">
        <v>2348</v>
      </c>
      <c r="H306" s="1" t="s">
        <v>2878</v>
      </c>
      <c r="I306" s="3" t="s">
        <v>2340</v>
      </c>
      <c r="J306" s="1" t="s">
        <v>2345</v>
      </c>
      <c r="K306" s="1" t="s">
        <v>2879</v>
      </c>
      <c r="L306" s="1" t="s">
        <v>2880</v>
      </c>
      <c r="M306" s="1" t="s">
        <v>2881</v>
      </c>
      <c r="N306" s="1" t="s">
        <v>2882</v>
      </c>
      <c r="O306" s="1" t="s">
        <v>42</v>
      </c>
      <c r="Q306" s="1" t="s">
        <v>2346</v>
      </c>
      <c r="R306" s="1" t="s">
        <v>2353</v>
      </c>
      <c r="S306" s="1" t="s">
        <v>2354</v>
      </c>
      <c r="T306" s="49">
        <v>30424489.800000001</v>
      </c>
      <c r="U306" s="20">
        <v>932824.49</v>
      </c>
      <c r="V306" s="20">
        <v>0</v>
      </c>
      <c r="W306" s="20">
        <v>753110.2</v>
      </c>
      <c r="X306" s="20">
        <v>14349028.57</v>
      </c>
      <c r="Y306" s="20">
        <v>10875648.98</v>
      </c>
      <c r="Z306" s="20">
        <v>0</v>
      </c>
      <c r="AA306" s="20">
        <v>0</v>
      </c>
      <c r="AB306" s="20">
        <v>0</v>
      </c>
      <c r="AC306" s="20">
        <v>0</v>
      </c>
      <c r="AD306" s="20">
        <v>0</v>
      </c>
      <c r="AE306" s="20">
        <v>0</v>
      </c>
      <c r="AF306" s="20">
        <v>0</v>
      </c>
      <c r="AG306" s="51">
        <f t="shared" si="15"/>
        <v>3513877.5599999987</v>
      </c>
      <c r="AH306" s="20">
        <v>0</v>
      </c>
      <c r="AI306" s="20">
        <v>0</v>
      </c>
      <c r="AJ306" s="20">
        <v>0</v>
      </c>
      <c r="AK306" s="20">
        <f t="shared" si="13"/>
        <v>0</v>
      </c>
      <c r="AL306" s="26">
        <f t="shared" si="14"/>
        <v>0</v>
      </c>
    </row>
    <row r="307" spans="1:38" x14ac:dyDescent="0.3">
      <c r="A307" s="1">
        <v>298</v>
      </c>
      <c r="B307" s="1" t="s">
        <v>114</v>
      </c>
      <c r="C307" s="1" t="s">
        <v>2347</v>
      </c>
      <c r="D307" s="1" t="s">
        <v>2344</v>
      </c>
      <c r="E307" s="1" t="s">
        <v>95</v>
      </c>
      <c r="F307" s="1" t="s">
        <v>2348</v>
      </c>
      <c r="H307" s="1" t="s">
        <v>2883</v>
      </c>
      <c r="I307" s="3" t="s">
        <v>2340</v>
      </c>
      <c r="J307" s="1" t="s">
        <v>2345</v>
      </c>
      <c r="K307" s="1" t="s">
        <v>2884</v>
      </c>
      <c r="L307" s="1" t="s">
        <v>2885</v>
      </c>
      <c r="M307" s="1" t="s">
        <v>2881</v>
      </c>
      <c r="N307" s="1" t="s">
        <v>2882</v>
      </c>
      <c r="O307" s="1" t="s">
        <v>42</v>
      </c>
      <c r="Q307" s="1" t="s">
        <v>2346</v>
      </c>
      <c r="R307" s="1" t="s">
        <v>2353</v>
      </c>
      <c r="S307" s="1" t="s">
        <v>2354</v>
      </c>
      <c r="T307" s="49">
        <v>30424489.800000001</v>
      </c>
      <c r="U307" s="20">
        <v>932824.49</v>
      </c>
      <c r="V307" s="20">
        <v>0</v>
      </c>
      <c r="W307" s="20">
        <v>753110.2</v>
      </c>
      <c r="X307" s="20">
        <v>14349028.57</v>
      </c>
      <c r="Y307" s="20">
        <v>10875648.98</v>
      </c>
      <c r="Z307" s="20">
        <v>0</v>
      </c>
      <c r="AA307" s="20">
        <v>0</v>
      </c>
      <c r="AB307" s="20">
        <v>0</v>
      </c>
      <c r="AC307" s="20">
        <v>0</v>
      </c>
      <c r="AD307" s="20">
        <v>0</v>
      </c>
      <c r="AE307" s="20">
        <v>0</v>
      </c>
      <c r="AF307" s="20">
        <v>0</v>
      </c>
      <c r="AG307" s="51">
        <f t="shared" si="15"/>
        <v>3513877.5599999987</v>
      </c>
      <c r="AH307" s="20">
        <v>0</v>
      </c>
      <c r="AI307" s="20">
        <v>0</v>
      </c>
      <c r="AJ307" s="20">
        <v>0</v>
      </c>
      <c r="AK307" s="20">
        <f t="shared" si="13"/>
        <v>0</v>
      </c>
      <c r="AL307" s="26">
        <f t="shared" si="14"/>
        <v>0</v>
      </c>
    </row>
    <row r="308" spans="1:38" x14ac:dyDescent="0.3">
      <c r="A308" s="1">
        <v>299</v>
      </c>
      <c r="B308" s="1" t="s">
        <v>114</v>
      </c>
      <c r="C308" s="1" t="s">
        <v>2347</v>
      </c>
      <c r="D308" s="1" t="s">
        <v>2344</v>
      </c>
      <c r="E308" s="1" t="s">
        <v>95</v>
      </c>
      <c r="F308" s="1" t="s">
        <v>2348</v>
      </c>
      <c r="H308" s="1" t="s">
        <v>2886</v>
      </c>
      <c r="I308" s="3" t="s">
        <v>2340</v>
      </c>
      <c r="J308" s="1" t="s">
        <v>2345</v>
      </c>
      <c r="K308" s="1" t="s">
        <v>2887</v>
      </c>
      <c r="L308" s="1" t="s">
        <v>2888</v>
      </c>
      <c r="M308" s="1" t="s">
        <v>2881</v>
      </c>
      <c r="N308" s="1" t="s">
        <v>2882</v>
      </c>
      <c r="O308" s="1" t="s">
        <v>42</v>
      </c>
      <c r="Q308" s="1" t="s">
        <v>2346</v>
      </c>
      <c r="R308" s="1" t="s">
        <v>2353</v>
      </c>
      <c r="S308" s="1" t="s">
        <v>2354</v>
      </c>
      <c r="T308" s="49">
        <v>30424489.800000001</v>
      </c>
      <c r="U308" s="20">
        <v>932824.49</v>
      </c>
      <c r="V308" s="20">
        <v>0</v>
      </c>
      <c r="W308" s="20">
        <v>753110.2</v>
      </c>
      <c r="X308" s="20">
        <v>14349028.57</v>
      </c>
      <c r="Y308" s="20">
        <v>10875648.98</v>
      </c>
      <c r="Z308" s="20">
        <v>0</v>
      </c>
      <c r="AA308" s="20">
        <v>0</v>
      </c>
      <c r="AB308" s="20">
        <v>0</v>
      </c>
      <c r="AC308" s="20">
        <v>0</v>
      </c>
      <c r="AD308" s="20">
        <v>0</v>
      </c>
      <c r="AE308" s="20">
        <v>0</v>
      </c>
      <c r="AF308" s="20">
        <v>0</v>
      </c>
      <c r="AG308" s="51">
        <f t="shared" si="15"/>
        <v>3513877.5599999987</v>
      </c>
      <c r="AH308" s="20">
        <v>0</v>
      </c>
      <c r="AI308" s="20">
        <v>0</v>
      </c>
      <c r="AJ308" s="20">
        <v>0</v>
      </c>
      <c r="AK308" s="20">
        <f t="shared" si="13"/>
        <v>0</v>
      </c>
      <c r="AL308" s="26">
        <f t="shared" si="14"/>
        <v>0</v>
      </c>
    </row>
    <row r="309" spans="1:38" x14ac:dyDescent="0.3">
      <c r="A309" s="1">
        <v>300</v>
      </c>
      <c r="B309" s="1" t="s">
        <v>114</v>
      </c>
      <c r="C309" s="1" t="s">
        <v>2347</v>
      </c>
      <c r="D309" s="1" t="s">
        <v>2344</v>
      </c>
      <c r="E309" s="1" t="s">
        <v>95</v>
      </c>
      <c r="F309" s="1" t="s">
        <v>2348</v>
      </c>
      <c r="H309" s="1" t="s">
        <v>2889</v>
      </c>
      <c r="I309" s="3" t="s">
        <v>2340</v>
      </c>
      <c r="J309" s="1" t="s">
        <v>2345</v>
      </c>
      <c r="K309" s="1" t="s">
        <v>2890</v>
      </c>
      <c r="L309" s="1" t="s">
        <v>2891</v>
      </c>
      <c r="M309" s="1" t="s">
        <v>2881</v>
      </c>
      <c r="N309" s="1" t="s">
        <v>2882</v>
      </c>
      <c r="O309" s="1" t="s">
        <v>42</v>
      </c>
      <c r="Q309" s="1" t="s">
        <v>2346</v>
      </c>
      <c r="R309" s="1" t="s">
        <v>2353</v>
      </c>
      <c r="S309" s="1" t="s">
        <v>2354</v>
      </c>
      <c r="T309" s="49">
        <v>30424489.800000001</v>
      </c>
      <c r="U309" s="20">
        <v>932824.49</v>
      </c>
      <c r="V309" s="20">
        <v>0</v>
      </c>
      <c r="W309" s="20">
        <v>753110.2</v>
      </c>
      <c r="X309" s="20">
        <v>14349028.57</v>
      </c>
      <c r="Y309" s="20">
        <v>10875648.98</v>
      </c>
      <c r="Z309" s="20">
        <v>0</v>
      </c>
      <c r="AA309" s="20">
        <v>0</v>
      </c>
      <c r="AB309" s="20">
        <v>0</v>
      </c>
      <c r="AC309" s="20">
        <v>0</v>
      </c>
      <c r="AD309" s="20">
        <v>0</v>
      </c>
      <c r="AE309" s="20">
        <v>0</v>
      </c>
      <c r="AF309" s="20">
        <v>0</v>
      </c>
      <c r="AG309" s="51">
        <f t="shared" si="15"/>
        <v>3513877.5599999987</v>
      </c>
      <c r="AH309" s="20">
        <v>0</v>
      </c>
      <c r="AI309" s="20">
        <v>0</v>
      </c>
      <c r="AJ309" s="20">
        <v>0</v>
      </c>
      <c r="AK309" s="20">
        <f t="shared" si="13"/>
        <v>0</v>
      </c>
      <c r="AL309" s="26">
        <f t="shared" si="14"/>
        <v>0</v>
      </c>
    </row>
    <row r="310" spans="1:38" x14ac:dyDescent="0.3">
      <c r="A310" s="1">
        <v>301</v>
      </c>
      <c r="B310" s="1" t="s">
        <v>114</v>
      </c>
      <c r="C310" s="1" t="s">
        <v>2347</v>
      </c>
      <c r="D310" s="1" t="s">
        <v>2344</v>
      </c>
      <c r="E310" s="1" t="s">
        <v>95</v>
      </c>
      <c r="F310" s="1" t="s">
        <v>2348</v>
      </c>
      <c r="H310" s="1" t="s">
        <v>2892</v>
      </c>
      <c r="I310" s="3" t="s">
        <v>2340</v>
      </c>
      <c r="J310" s="1" t="s">
        <v>2345</v>
      </c>
      <c r="K310" s="1" t="s">
        <v>2893</v>
      </c>
      <c r="L310" s="1" t="s">
        <v>2894</v>
      </c>
      <c r="M310" s="1" t="s">
        <v>2881</v>
      </c>
      <c r="N310" s="1" t="s">
        <v>2882</v>
      </c>
      <c r="O310" s="1" t="s">
        <v>42</v>
      </c>
      <c r="Q310" s="1" t="s">
        <v>2346</v>
      </c>
      <c r="R310" s="1" t="s">
        <v>2353</v>
      </c>
      <c r="S310" s="1" t="s">
        <v>2354</v>
      </c>
      <c r="T310" s="49">
        <v>30424489.800000001</v>
      </c>
      <c r="U310" s="20">
        <v>932824.49</v>
      </c>
      <c r="V310" s="20">
        <v>0</v>
      </c>
      <c r="W310" s="20">
        <v>753110.2</v>
      </c>
      <c r="X310" s="20">
        <v>14349028.57</v>
      </c>
      <c r="Y310" s="20">
        <v>10875648.98</v>
      </c>
      <c r="Z310" s="20">
        <v>0</v>
      </c>
      <c r="AA310" s="20">
        <v>0</v>
      </c>
      <c r="AB310" s="20">
        <v>0</v>
      </c>
      <c r="AC310" s="20">
        <v>0</v>
      </c>
      <c r="AD310" s="20">
        <v>0</v>
      </c>
      <c r="AE310" s="20">
        <v>0</v>
      </c>
      <c r="AF310" s="20">
        <v>0</v>
      </c>
      <c r="AG310" s="51">
        <f t="shared" si="15"/>
        <v>3513877.5599999987</v>
      </c>
      <c r="AH310" s="20">
        <v>0</v>
      </c>
      <c r="AI310" s="20">
        <v>0</v>
      </c>
      <c r="AJ310" s="20">
        <v>0</v>
      </c>
      <c r="AK310" s="20">
        <f t="shared" si="13"/>
        <v>0</v>
      </c>
      <c r="AL310" s="26">
        <f t="shared" si="14"/>
        <v>0</v>
      </c>
    </row>
    <row r="311" spans="1:38" x14ac:dyDescent="0.3">
      <c r="A311" s="1">
        <v>302</v>
      </c>
      <c r="B311" s="1" t="s">
        <v>114</v>
      </c>
      <c r="C311" s="1" t="s">
        <v>2347</v>
      </c>
      <c r="D311" s="1" t="s">
        <v>2344</v>
      </c>
      <c r="E311" s="1" t="s">
        <v>95</v>
      </c>
      <c r="F311" s="1" t="s">
        <v>2348</v>
      </c>
      <c r="I311" s="3" t="s">
        <v>2340</v>
      </c>
      <c r="J311" s="1" t="s">
        <v>2345</v>
      </c>
      <c r="K311" s="1" t="s">
        <v>2895</v>
      </c>
      <c r="L311" s="1" t="s">
        <v>2350</v>
      </c>
      <c r="M311" s="1" t="s">
        <v>2881</v>
      </c>
      <c r="N311" s="1" t="s">
        <v>2882</v>
      </c>
      <c r="O311" s="1" t="s">
        <v>42</v>
      </c>
      <c r="Q311" s="1" t="s">
        <v>2346</v>
      </c>
      <c r="R311" s="1" t="s">
        <v>2353</v>
      </c>
      <c r="S311" s="1" t="s">
        <v>2354</v>
      </c>
      <c r="T311" s="49">
        <v>30424489.800000001</v>
      </c>
      <c r="U311" s="20">
        <v>932824.49</v>
      </c>
      <c r="V311" s="20">
        <v>0</v>
      </c>
      <c r="W311" s="20">
        <v>753110.2</v>
      </c>
      <c r="X311" s="20">
        <v>14349028.57</v>
      </c>
      <c r="Y311" s="20">
        <v>10875648.98</v>
      </c>
      <c r="Z311" s="20">
        <v>0</v>
      </c>
      <c r="AA311" s="20">
        <v>0</v>
      </c>
      <c r="AB311" s="20">
        <v>0</v>
      </c>
      <c r="AC311" s="20">
        <v>0</v>
      </c>
      <c r="AD311" s="20">
        <v>0</v>
      </c>
      <c r="AE311" s="20">
        <v>0</v>
      </c>
      <c r="AF311" s="20">
        <v>0</v>
      </c>
      <c r="AG311" s="51">
        <f t="shared" si="15"/>
        <v>3513877.5599999987</v>
      </c>
      <c r="AH311" s="20">
        <v>0</v>
      </c>
      <c r="AI311" s="20">
        <v>0</v>
      </c>
      <c r="AJ311" s="20">
        <v>0</v>
      </c>
      <c r="AK311" s="20">
        <f t="shared" si="13"/>
        <v>0</v>
      </c>
      <c r="AL311" s="26">
        <f t="shared" si="14"/>
        <v>0</v>
      </c>
    </row>
    <row r="312" spans="1:38" x14ac:dyDescent="0.3">
      <c r="A312" s="1">
        <v>303</v>
      </c>
      <c r="B312" s="1" t="s">
        <v>114</v>
      </c>
      <c r="C312" s="1" t="s">
        <v>2347</v>
      </c>
      <c r="D312" s="1" t="s">
        <v>2344</v>
      </c>
      <c r="E312" s="1" t="s">
        <v>95</v>
      </c>
      <c r="F312" s="1" t="s">
        <v>2348</v>
      </c>
      <c r="H312" s="1" t="s">
        <v>2896</v>
      </c>
      <c r="I312" s="3" t="s">
        <v>2340</v>
      </c>
      <c r="J312" s="1" t="s">
        <v>2345</v>
      </c>
      <c r="K312" s="1" t="s">
        <v>2897</v>
      </c>
      <c r="L312" s="1" t="s">
        <v>2898</v>
      </c>
      <c r="M312" s="1" t="s">
        <v>2881</v>
      </c>
      <c r="N312" s="1" t="s">
        <v>2882</v>
      </c>
      <c r="O312" s="1" t="s">
        <v>42</v>
      </c>
      <c r="Q312" s="1" t="s">
        <v>2346</v>
      </c>
      <c r="R312" s="1" t="s">
        <v>2353</v>
      </c>
      <c r="S312" s="1" t="s">
        <v>2354</v>
      </c>
      <c r="T312" s="49">
        <v>30424489.800000001</v>
      </c>
      <c r="U312" s="20">
        <v>932824.49</v>
      </c>
      <c r="V312" s="20">
        <v>0</v>
      </c>
      <c r="W312" s="20">
        <v>753110.2</v>
      </c>
      <c r="X312" s="20">
        <v>14349028.57</v>
      </c>
      <c r="Y312" s="20">
        <v>10875648.98</v>
      </c>
      <c r="Z312" s="20">
        <v>0</v>
      </c>
      <c r="AA312" s="20">
        <v>0</v>
      </c>
      <c r="AB312" s="20">
        <v>0</v>
      </c>
      <c r="AC312" s="20">
        <v>0</v>
      </c>
      <c r="AD312" s="20">
        <v>0</v>
      </c>
      <c r="AE312" s="20">
        <v>0</v>
      </c>
      <c r="AF312" s="20">
        <v>0</v>
      </c>
      <c r="AG312" s="51">
        <f t="shared" si="15"/>
        <v>3513877.5599999987</v>
      </c>
      <c r="AH312" s="20">
        <v>0</v>
      </c>
      <c r="AI312" s="20">
        <v>0</v>
      </c>
      <c r="AJ312" s="20">
        <v>0</v>
      </c>
      <c r="AK312" s="20">
        <f t="shared" si="13"/>
        <v>0</v>
      </c>
      <c r="AL312" s="26">
        <f t="shared" si="14"/>
        <v>0</v>
      </c>
    </row>
    <row r="313" spans="1:38" x14ac:dyDescent="0.3">
      <c r="A313" s="1">
        <v>304</v>
      </c>
      <c r="B313" s="1" t="s">
        <v>114</v>
      </c>
      <c r="C313" s="1" t="s">
        <v>2347</v>
      </c>
      <c r="D313" s="1" t="s">
        <v>2344</v>
      </c>
      <c r="E313" s="1" t="s">
        <v>95</v>
      </c>
      <c r="F313" s="1" t="s">
        <v>2348</v>
      </c>
      <c r="H313" s="1" t="s">
        <v>2899</v>
      </c>
      <c r="I313" s="3" t="s">
        <v>2340</v>
      </c>
      <c r="J313" s="1" t="s">
        <v>2345</v>
      </c>
      <c r="K313" s="1" t="s">
        <v>2900</v>
      </c>
      <c r="L313" s="1" t="s">
        <v>2901</v>
      </c>
      <c r="M313" s="1" t="s">
        <v>2881</v>
      </c>
      <c r="N313" s="1" t="s">
        <v>2882</v>
      </c>
      <c r="O313" s="1" t="s">
        <v>42</v>
      </c>
      <c r="Q313" s="1" t="s">
        <v>2346</v>
      </c>
      <c r="R313" s="1" t="s">
        <v>2353</v>
      </c>
      <c r="S313" s="1" t="s">
        <v>2354</v>
      </c>
      <c r="T313" s="49">
        <v>30424489.800000001</v>
      </c>
      <c r="U313" s="20">
        <v>932824.49</v>
      </c>
      <c r="V313" s="20">
        <v>0</v>
      </c>
      <c r="W313" s="20">
        <v>753110.2</v>
      </c>
      <c r="X313" s="20">
        <v>14349028.57</v>
      </c>
      <c r="Y313" s="20">
        <v>10875648.98</v>
      </c>
      <c r="Z313" s="20">
        <v>0</v>
      </c>
      <c r="AA313" s="20">
        <v>0</v>
      </c>
      <c r="AB313" s="20">
        <v>0</v>
      </c>
      <c r="AC313" s="20">
        <v>0</v>
      </c>
      <c r="AD313" s="20">
        <v>0</v>
      </c>
      <c r="AE313" s="20">
        <v>0</v>
      </c>
      <c r="AF313" s="20">
        <v>0</v>
      </c>
      <c r="AG313" s="51">
        <f t="shared" si="15"/>
        <v>3513877.5599999987</v>
      </c>
      <c r="AH313" s="20">
        <v>0</v>
      </c>
      <c r="AI313" s="20">
        <v>0</v>
      </c>
      <c r="AJ313" s="20">
        <v>0</v>
      </c>
      <c r="AK313" s="20">
        <f t="shared" si="13"/>
        <v>0</v>
      </c>
      <c r="AL313" s="26">
        <f t="shared" si="14"/>
        <v>0</v>
      </c>
    </row>
    <row r="314" spans="1:38" x14ac:dyDescent="0.3">
      <c r="A314" s="1">
        <v>305</v>
      </c>
      <c r="B314" s="1" t="s">
        <v>114</v>
      </c>
      <c r="C314" s="1" t="s">
        <v>2347</v>
      </c>
      <c r="D314" s="1" t="s">
        <v>2344</v>
      </c>
      <c r="E314" s="1" t="s">
        <v>95</v>
      </c>
      <c r="F314" s="1" t="s">
        <v>2348</v>
      </c>
      <c r="I314" s="3" t="s">
        <v>2340</v>
      </c>
      <c r="J314" s="1" t="s">
        <v>2345</v>
      </c>
      <c r="K314" s="1" t="s">
        <v>2902</v>
      </c>
      <c r="L314" s="1" t="s">
        <v>2350</v>
      </c>
      <c r="M314" s="1" t="s">
        <v>2881</v>
      </c>
      <c r="N314" s="1" t="s">
        <v>2882</v>
      </c>
      <c r="O314" s="1" t="s">
        <v>42</v>
      </c>
      <c r="Q314" s="1" t="s">
        <v>2346</v>
      </c>
      <c r="R314" s="1" t="s">
        <v>2353</v>
      </c>
      <c r="S314" s="1" t="s">
        <v>2354</v>
      </c>
      <c r="T314" s="49">
        <v>30424489.800000001</v>
      </c>
      <c r="U314" s="20">
        <v>932824.49</v>
      </c>
      <c r="V314" s="20">
        <v>0</v>
      </c>
      <c r="W314" s="20">
        <v>753110.2</v>
      </c>
      <c r="X314" s="20">
        <v>14349028.57</v>
      </c>
      <c r="Y314" s="20">
        <v>10875648.98</v>
      </c>
      <c r="Z314" s="20">
        <v>0</v>
      </c>
      <c r="AA314" s="20">
        <v>0</v>
      </c>
      <c r="AB314" s="20">
        <v>0</v>
      </c>
      <c r="AC314" s="20">
        <v>0</v>
      </c>
      <c r="AD314" s="20">
        <v>0</v>
      </c>
      <c r="AE314" s="20">
        <v>0</v>
      </c>
      <c r="AF314" s="20">
        <v>0</v>
      </c>
      <c r="AG314" s="51">
        <f t="shared" si="15"/>
        <v>3513877.5599999987</v>
      </c>
      <c r="AH314" s="20">
        <v>0</v>
      </c>
      <c r="AI314" s="20">
        <v>0</v>
      </c>
      <c r="AJ314" s="20">
        <v>0</v>
      </c>
      <c r="AK314" s="20">
        <f t="shared" si="13"/>
        <v>0</v>
      </c>
      <c r="AL314" s="26">
        <f t="shared" si="14"/>
        <v>0</v>
      </c>
    </row>
    <row r="315" spans="1:38" x14ac:dyDescent="0.3">
      <c r="A315" s="1">
        <v>306</v>
      </c>
      <c r="B315" s="1" t="s">
        <v>114</v>
      </c>
      <c r="C315" s="1" t="s">
        <v>2347</v>
      </c>
      <c r="D315" s="1" t="s">
        <v>2344</v>
      </c>
      <c r="E315" s="1" t="s">
        <v>95</v>
      </c>
      <c r="F315" s="1" t="s">
        <v>2348</v>
      </c>
      <c r="H315" s="1" t="s">
        <v>2903</v>
      </c>
      <c r="I315" s="3" t="s">
        <v>2340</v>
      </c>
      <c r="J315" s="1" t="s">
        <v>2345</v>
      </c>
      <c r="K315" s="1" t="s">
        <v>2904</v>
      </c>
      <c r="L315" s="1" t="s">
        <v>2905</v>
      </c>
      <c r="M315" s="1" t="s">
        <v>2881</v>
      </c>
      <c r="N315" s="1" t="s">
        <v>2882</v>
      </c>
      <c r="O315" s="1" t="s">
        <v>42</v>
      </c>
      <c r="Q315" s="1" t="s">
        <v>2346</v>
      </c>
      <c r="R315" s="1" t="s">
        <v>2353</v>
      </c>
      <c r="S315" s="1" t="s">
        <v>2354</v>
      </c>
      <c r="T315" s="49">
        <v>30424489.800000001</v>
      </c>
      <c r="U315" s="20">
        <v>932824.49</v>
      </c>
      <c r="V315" s="20">
        <v>0</v>
      </c>
      <c r="W315" s="20">
        <v>753110.2</v>
      </c>
      <c r="X315" s="20">
        <v>14349028.57</v>
      </c>
      <c r="Y315" s="20">
        <v>10875648.98</v>
      </c>
      <c r="Z315" s="20">
        <v>0</v>
      </c>
      <c r="AA315" s="20">
        <v>0</v>
      </c>
      <c r="AB315" s="20">
        <v>0</v>
      </c>
      <c r="AC315" s="20">
        <v>0</v>
      </c>
      <c r="AD315" s="20">
        <v>0</v>
      </c>
      <c r="AE315" s="20">
        <v>0</v>
      </c>
      <c r="AF315" s="20">
        <v>0</v>
      </c>
      <c r="AG315" s="51">
        <f t="shared" si="15"/>
        <v>3513877.5599999987</v>
      </c>
      <c r="AH315" s="20">
        <v>0</v>
      </c>
      <c r="AI315" s="20">
        <v>0</v>
      </c>
      <c r="AJ315" s="20">
        <v>0</v>
      </c>
      <c r="AK315" s="20">
        <f t="shared" si="13"/>
        <v>0</v>
      </c>
      <c r="AL315" s="26">
        <f t="shared" si="14"/>
        <v>0</v>
      </c>
    </row>
    <row r="316" spans="1:38" x14ac:dyDescent="0.3">
      <c r="A316" s="1">
        <v>307</v>
      </c>
      <c r="B316" s="1" t="s">
        <v>114</v>
      </c>
      <c r="C316" s="1" t="s">
        <v>2347</v>
      </c>
      <c r="D316" s="1" t="s">
        <v>2344</v>
      </c>
      <c r="E316" s="1" t="s">
        <v>95</v>
      </c>
      <c r="F316" s="1" t="s">
        <v>2348</v>
      </c>
      <c r="H316" s="1" t="s">
        <v>2906</v>
      </c>
      <c r="I316" s="3" t="s">
        <v>2340</v>
      </c>
      <c r="J316" s="1" t="s">
        <v>2345</v>
      </c>
      <c r="K316" s="1" t="s">
        <v>2907</v>
      </c>
      <c r="L316" s="1" t="s">
        <v>2908</v>
      </c>
      <c r="M316" s="1" t="s">
        <v>2881</v>
      </c>
      <c r="N316" s="1" t="s">
        <v>2882</v>
      </c>
      <c r="O316" s="1" t="s">
        <v>42</v>
      </c>
      <c r="Q316" s="1" t="s">
        <v>2346</v>
      </c>
      <c r="R316" s="1" t="s">
        <v>2353</v>
      </c>
      <c r="S316" s="1" t="s">
        <v>2354</v>
      </c>
      <c r="T316" s="49">
        <v>30424489.800000001</v>
      </c>
      <c r="U316" s="20">
        <v>932824.49</v>
      </c>
      <c r="V316" s="20">
        <v>0</v>
      </c>
      <c r="W316" s="20">
        <v>753110.2</v>
      </c>
      <c r="X316" s="20">
        <v>14349028.57</v>
      </c>
      <c r="Y316" s="20">
        <v>10875648.98</v>
      </c>
      <c r="Z316" s="20">
        <v>0</v>
      </c>
      <c r="AA316" s="20">
        <v>0</v>
      </c>
      <c r="AB316" s="20">
        <v>0</v>
      </c>
      <c r="AC316" s="20">
        <v>0</v>
      </c>
      <c r="AD316" s="20">
        <v>0</v>
      </c>
      <c r="AE316" s="20">
        <v>0</v>
      </c>
      <c r="AF316" s="20">
        <v>0</v>
      </c>
      <c r="AG316" s="51">
        <f t="shared" si="15"/>
        <v>3513877.5599999987</v>
      </c>
      <c r="AH316" s="20">
        <v>0</v>
      </c>
      <c r="AI316" s="20">
        <v>0</v>
      </c>
      <c r="AJ316" s="20">
        <v>0</v>
      </c>
      <c r="AK316" s="20">
        <f t="shared" ref="AK316:AK379" si="16">IFERROR(SUM(AH316:AJ316)/COUNTIFS(AH316:AJ316,"&lt;&gt;0"),0)</f>
        <v>0</v>
      </c>
      <c r="AL316" s="26">
        <f t="shared" ref="AL316:AL379" si="17">IFERROR((T316/AK316)-100%,0)</f>
        <v>0</v>
      </c>
    </row>
    <row r="317" spans="1:38" x14ac:dyDescent="0.3">
      <c r="A317" s="1">
        <v>308</v>
      </c>
      <c r="B317" s="1" t="s">
        <v>114</v>
      </c>
      <c r="C317" s="1" t="s">
        <v>2347</v>
      </c>
      <c r="D317" s="1" t="s">
        <v>2344</v>
      </c>
      <c r="E317" s="1" t="s">
        <v>95</v>
      </c>
      <c r="F317" s="1" t="s">
        <v>2348</v>
      </c>
      <c r="H317" s="1" t="s">
        <v>2909</v>
      </c>
      <c r="I317" s="3" t="s">
        <v>2340</v>
      </c>
      <c r="J317" s="1" t="s">
        <v>2345</v>
      </c>
      <c r="K317" s="1" t="s">
        <v>2910</v>
      </c>
      <c r="L317" s="1" t="s">
        <v>2911</v>
      </c>
      <c r="M317" s="1" t="s">
        <v>2881</v>
      </c>
      <c r="N317" s="1" t="s">
        <v>2882</v>
      </c>
      <c r="O317" s="1" t="s">
        <v>42</v>
      </c>
      <c r="Q317" s="1" t="s">
        <v>2346</v>
      </c>
      <c r="R317" s="1" t="s">
        <v>2353</v>
      </c>
      <c r="S317" s="1" t="s">
        <v>2354</v>
      </c>
      <c r="T317" s="49">
        <v>30424489.800000001</v>
      </c>
      <c r="U317" s="20">
        <v>932824.49</v>
      </c>
      <c r="V317" s="20">
        <v>0</v>
      </c>
      <c r="W317" s="20">
        <v>753110.2</v>
      </c>
      <c r="X317" s="20">
        <v>14349028.57</v>
      </c>
      <c r="Y317" s="20">
        <v>10875648.98</v>
      </c>
      <c r="Z317" s="20">
        <v>0</v>
      </c>
      <c r="AA317" s="20">
        <v>0</v>
      </c>
      <c r="AB317" s="20">
        <v>0</v>
      </c>
      <c r="AC317" s="20">
        <v>0</v>
      </c>
      <c r="AD317" s="20">
        <v>0</v>
      </c>
      <c r="AE317" s="20">
        <v>0</v>
      </c>
      <c r="AF317" s="20">
        <v>0</v>
      </c>
      <c r="AG317" s="51">
        <f t="shared" si="15"/>
        <v>3513877.5599999987</v>
      </c>
      <c r="AH317" s="20">
        <v>0</v>
      </c>
      <c r="AI317" s="20">
        <v>0</v>
      </c>
      <c r="AJ317" s="20">
        <v>0</v>
      </c>
      <c r="AK317" s="20">
        <f t="shared" si="16"/>
        <v>0</v>
      </c>
      <c r="AL317" s="26">
        <f t="shared" si="17"/>
        <v>0</v>
      </c>
    </row>
    <row r="318" spans="1:38" x14ac:dyDescent="0.3">
      <c r="A318" s="1">
        <v>309</v>
      </c>
      <c r="B318" s="1" t="s">
        <v>114</v>
      </c>
      <c r="C318" s="1" t="s">
        <v>2347</v>
      </c>
      <c r="D318" s="1" t="s">
        <v>2344</v>
      </c>
      <c r="E318" s="1" t="s">
        <v>95</v>
      </c>
      <c r="F318" s="1" t="s">
        <v>2348</v>
      </c>
      <c r="H318" s="1" t="s">
        <v>2912</v>
      </c>
      <c r="I318" s="3" t="s">
        <v>2340</v>
      </c>
      <c r="J318" s="1" t="s">
        <v>2345</v>
      </c>
      <c r="K318" s="1" t="s">
        <v>2913</v>
      </c>
      <c r="L318" s="1" t="s">
        <v>2914</v>
      </c>
      <c r="M318" s="1" t="s">
        <v>2881</v>
      </c>
      <c r="N318" s="1" t="s">
        <v>2882</v>
      </c>
      <c r="O318" s="1" t="s">
        <v>42</v>
      </c>
      <c r="Q318" s="1" t="s">
        <v>2346</v>
      </c>
      <c r="R318" s="1" t="s">
        <v>2353</v>
      </c>
      <c r="S318" s="1" t="s">
        <v>2354</v>
      </c>
      <c r="T318" s="49">
        <v>30424489.800000001</v>
      </c>
      <c r="U318" s="20">
        <v>932824.49</v>
      </c>
      <c r="V318" s="20">
        <v>0</v>
      </c>
      <c r="W318" s="20">
        <v>753110.2</v>
      </c>
      <c r="X318" s="20">
        <v>14349028.57</v>
      </c>
      <c r="Y318" s="20">
        <v>10875648.98</v>
      </c>
      <c r="Z318" s="20">
        <v>0</v>
      </c>
      <c r="AA318" s="20">
        <v>0</v>
      </c>
      <c r="AB318" s="20">
        <v>0</v>
      </c>
      <c r="AC318" s="20">
        <v>0</v>
      </c>
      <c r="AD318" s="20">
        <v>0</v>
      </c>
      <c r="AE318" s="20">
        <v>0</v>
      </c>
      <c r="AF318" s="20">
        <v>0</v>
      </c>
      <c r="AG318" s="51">
        <f t="shared" si="15"/>
        <v>3513877.5599999987</v>
      </c>
      <c r="AH318" s="20">
        <v>0</v>
      </c>
      <c r="AI318" s="20">
        <v>0</v>
      </c>
      <c r="AJ318" s="20">
        <v>0</v>
      </c>
      <c r="AK318" s="20">
        <f t="shared" si="16"/>
        <v>0</v>
      </c>
      <c r="AL318" s="26">
        <f t="shared" si="17"/>
        <v>0</v>
      </c>
    </row>
    <row r="319" spans="1:38" x14ac:dyDescent="0.3">
      <c r="A319" s="1">
        <v>310</v>
      </c>
      <c r="B319" s="1" t="s">
        <v>114</v>
      </c>
      <c r="C319" s="1" t="s">
        <v>2347</v>
      </c>
      <c r="D319" s="1" t="s">
        <v>2344</v>
      </c>
      <c r="E319" s="1" t="s">
        <v>95</v>
      </c>
      <c r="F319" s="1" t="s">
        <v>2348</v>
      </c>
      <c r="H319" s="1" t="s">
        <v>2915</v>
      </c>
      <c r="I319" s="3" t="s">
        <v>2340</v>
      </c>
      <c r="J319" s="1" t="s">
        <v>2345</v>
      </c>
      <c r="K319" s="1" t="s">
        <v>2916</v>
      </c>
      <c r="L319" s="1" t="s">
        <v>2917</v>
      </c>
      <c r="M319" s="1" t="s">
        <v>2881</v>
      </c>
      <c r="N319" s="1" t="s">
        <v>2882</v>
      </c>
      <c r="O319" s="1" t="s">
        <v>42</v>
      </c>
      <c r="Q319" s="1" t="s">
        <v>2346</v>
      </c>
      <c r="R319" s="1" t="s">
        <v>2353</v>
      </c>
      <c r="S319" s="1" t="s">
        <v>2354</v>
      </c>
      <c r="T319" s="49">
        <v>30424489.800000001</v>
      </c>
      <c r="U319" s="20">
        <v>932824.49</v>
      </c>
      <c r="V319" s="20">
        <v>0</v>
      </c>
      <c r="W319" s="20">
        <v>753110.2</v>
      </c>
      <c r="X319" s="20">
        <v>14349028.57</v>
      </c>
      <c r="Y319" s="20">
        <v>10875648.98</v>
      </c>
      <c r="Z319" s="20">
        <v>0</v>
      </c>
      <c r="AA319" s="20">
        <v>0</v>
      </c>
      <c r="AB319" s="20">
        <v>0</v>
      </c>
      <c r="AC319" s="20">
        <v>0</v>
      </c>
      <c r="AD319" s="20">
        <v>0</v>
      </c>
      <c r="AE319" s="20">
        <v>0</v>
      </c>
      <c r="AF319" s="20">
        <v>0</v>
      </c>
      <c r="AG319" s="51">
        <f t="shared" si="15"/>
        <v>3513877.5599999987</v>
      </c>
      <c r="AH319" s="20">
        <v>0</v>
      </c>
      <c r="AI319" s="20">
        <v>0</v>
      </c>
      <c r="AJ319" s="20">
        <v>0</v>
      </c>
      <c r="AK319" s="20">
        <f t="shared" si="16"/>
        <v>0</v>
      </c>
      <c r="AL319" s="26">
        <f t="shared" si="17"/>
        <v>0</v>
      </c>
    </row>
    <row r="320" spans="1:38" x14ac:dyDescent="0.3">
      <c r="A320" s="1">
        <v>311</v>
      </c>
      <c r="B320" s="1" t="s">
        <v>114</v>
      </c>
      <c r="C320" s="1" t="s">
        <v>2347</v>
      </c>
      <c r="D320" s="1" t="s">
        <v>2344</v>
      </c>
      <c r="E320" s="1" t="s">
        <v>95</v>
      </c>
      <c r="F320" s="1" t="s">
        <v>2348</v>
      </c>
      <c r="H320" s="1" t="s">
        <v>2918</v>
      </c>
      <c r="I320" s="3" t="s">
        <v>2340</v>
      </c>
      <c r="J320" s="1" t="s">
        <v>2345</v>
      </c>
      <c r="K320" s="1" t="s">
        <v>2919</v>
      </c>
      <c r="L320" s="1" t="s">
        <v>2920</v>
      </c>
      <c r="M320" s="1" t="s">
        <v>2881</v>
      </c>
      <c r="N320" s="1" t="s">
        <v>2882</v>
      </c>
      <c r="O320" s="1" t="s">
        <v>42</v>
      </c>
      <c r="Q320" s="1" t="s">
        <v>2346</v>
      </c>
      <c r="R320" s="1" t="s">
        <v>2353</v>
      </c>
      <c r="S320" s="1" t="s">
        <v>2354</v>
      </c>
      <c r="T320" s="49">
        <v>30424489.800000001</v>
      </c>
      <c r="U320" s="20">
        <v>932824.49</v>
      </c>
      <c r="V320" s="20">
        <v>0</v>
      </c>
      <c r="W320" s="20">
        <v>753110.2</v>
      </c>
      <c r="X320" s="20">
        <v>14349028.57</v>
      </c>
      <c r="Y320" s="20">
        <v>10875648.98</v>
      </c>
      <c r="Z320" s="20">
        <v>0</v>
      </c>
      <c r="AA320" s="20">
        <v>0</v>
      </c>
      <c r="AB320" s="20">
        <v>0</v>
      </c>
      <c r="AC320" s="20">
        <v>0</v>
      </c>
      <c r="AD320" s="20">
        <v>0</v>
      </c>
      <c r="AE320" s="20">
        <v>0</v>
      </c>
      <c r="AF320" s="20">
        <v>0</v>
      </c>
      <c r="AG320" s="51">
        <f t="shared" si="15"/>
        <v>3513877.5599999987</v>
      </c>
      <c r="AH320" s="20">
        <v>0</v>
      </c>
      <c r="AI320" s="20">
        <v>0</v>
      </c>
      <c r="AJ320" s="20">
        <v>0</v>
      </c>
      <c r="AK320" s="20">
        <f t="shared" si="16"/>
        <v>0</v>
      </c>
      <c r="AL320" s="26">
        <f t="shared" si="17"/>
        <v>0</v>
      </c>
    </row>
    <row r="321" spans="1:39" x14ac:dyDescent="0.3">
      <c r="A321" s="1">
        <v>312</v>
      </c>
      <c r="B321" s="1" t="s">
        <v>114</v>
      </c>
      <c r="C321" s="1" t="s">
        <v>2347</v>
      </c>
      <c r="D321" s="1" t="s">
        <v>2344</v>
      </c>
      <c r="E321" s="1" t="s">
        <v>95</v>
      </c>
      <c r="F321" s="1" t="s">
        <v>2348</v>
      </c>
      <c r="H321" s="1" t="s">
        <v>2921</v>
      </c>
      <c r="I321" s="3" t="s">
        <v>2340</v>
      </c>
      <c r="J321" s="1" t="s">
        <v>2345</v>
      </c>
      <c r="K321" s="1" t="s">
        <v>2922</v>
      </c>
      <c r="L321" s="1" t="s">
        <v>2923</v>
      </c>
      <c r="M321" s="1" t="s">
        <v>2881</v>
      </c>
      <c r="N321" s="1" t="s">
        <v>2882</v>
      </c>
      <c r="O321" s="1" t="s">
        <v>42</v>
      </c>
      <c r="Q321" s="1" t="s">
        <v>2346</v>
      </c>
      <c r="R321" s="1" t="s">
        <v>2353</v>
      </c>
      <c r="S321" s="1" t="s">
        <v>2354</v>
      </c>
      <c r="T321" s="49">
        <v>30424489.800000001</v>
      </c>
      <c r="U321" s="20">
        <v>932824.49</v>
      </c>
      <c r="V321" s="20">
        <v>0</v>
      </c>
      <c r="W321" s="20">
        <v>753110.2</v>
      </c>
      <c r="X321" s="20">
        <v>14349028.57</v>
      </c>
      <c r="Y321" s="20">
        <v>10875648.98</v>
      </c>
      <c r="Z321" s="20">
        <v>0</v>
      </c>
      <c r="AA321" s="20">
        <v>0</v>
      </c>
      <c r="AB321" s="20">
        <v>0</v>
      </c>
      <c r="AC321" s="20">
        <v>0</v>
      </c>
      <c r="AD321" s="20">
        <v>0</v>
      </c>
      <c r="AE321" s="20">
        <v>0</v>
      </c>
      <c r="AF321" s="20">
        <v>0</v>
      </c>
      <c r="AG321" s="51">
        <f t="shared" si="15"/>
        <v>3513877.5599999987</v>
      </c>
      <c r="AH321" s="20">
        <v>0</v>
      </c>
      <c r="AI321" s="20">
        <v>0</v>
      </c>
      <c r="AJ321" s="20">
        <v>0</v>
      </c>
      <c r="AK321" s="20">
        <f t="shared" si="16"/>
        <v>0</v>
      </c>
      <c r="AL321" s="26">
        <f t="shared" si="17"/>
        <v>0</v>
      </c>
    </row>
    <row r="322" spans="1:39" x14ac:dyDescent="0.3">
      <c r="A322" s="1">
        <v>313</v>
      </c>
      <c r="B322" s="1" t="s">
        <v>114</v>
      </c>
      <c r="C322" s="1" t="s">
        <v>2347</v>
      </c>
      <c r="D322" s="1" t="s">
        <v>2344</v>
      </c>
      <c r="E322" s="1" t="s">
        <v>95</v>
      </c>
      <c r="F322" s="1" t="s">
        <v>2348</v>
      </c>
      <c r="H322" s="1" t="s">
        <v>2924</v>
      </c>
      <c r="I322" s="3" t="s">
        <v>2340</v>
      </c>
      <c r="J322" s="1" t="s">
        <v>2345</v>
      </c>
      <c r="K322" s="1" t="s">
        <v>2925</v>
      </c>
      <c r="L322" s="1" t="s">
        <v>2926</v>
      </c>
      <c r="M322" s="1" t="s">
        <v>2881</v>
      </c>
      <c r="N322" s="1" t="s">
        <v>2882</v>
      </c>
      <c r="O322" s="1" t="s">
        <v>42</v>
      </c>
      <c r="Q322" s="1" t="s">
        <v>2346</v>
      </c>
      <c r="R322" s="1" t="s">
        <v>2353</v>
      </c>
      <c r="S322" s="1" t="s">
        <v>2354</v>
      </c>
      <c r="T322" s="49">
        <v>30424489.800000001</v>
      </c>
      <c r="U322" s="20">
        <v>932824.49</v>
      </c>
      <c r="V322" s="20">
        <v>0</v>
      </c>
      <c r="W322" s="20">
        <v>753110.2</v>
      </c>
      <c r="X322" s="20">
        <v>14349028.57</v>
      </c>
      <c r="Y322" s="20">
        <v>10875648.98</v>
      </c>
      <c r="Z322" s="20">
        <v>0</v>
      </c>
      <c r="AA322" s="20">
        <v>0</v>
      </c>
      <c r="AB322" s="20">
        <v>0</v>
      </c>
      <c r="AC322" s="20">
        <v>0</v>
      </c>
      <c r="AD322" s="20">
        <v>0</v>
      </c>
      <c r="AE322" s="20">
        <v>0</v>
      </c>
      <c r="AF322" s="20">
        <v>0</v>
      </c>
      <c r="AG322" s="51">
        <f t="shared" si="15"/>
        <v>3513877.5599999987</v>
      </c>
      <c r="AH322" s="20">
        <v>0</v>
      </c>
      <c r="AI322" s="20">
        <v>0</v>
      </c>
      <c r="AJ322" s="20">
        <v>0</v>
      </c>
      <c r="AK322" s="20">
        <f t="shared" si="16"/>
        <v>0</v>
      </c>
      <c r="AL322" s="26">
        <f t="shared" si="17"/>
        <v>0</v>
      </c>
    </row>
    <row r="323" spans="1:39" x14ac:dyDescent="0.3">
      <c r="A323" s="1">
        <v>314</v>
      </c>
      <c r="B323" s="1" t="s">
        <v>114</v>
      </c>
      <c r="C323" s="1" t="s">
        <v>2347</v>
      </c>
      <c r="D323" s="1" t="s">
        <v>2344</v>
      </c>
      <c r="E323" s="1" t="s">
        <v>95</v>
      </c>
      <c r="F323" s="1" t="s">
        <v>2348</v>
      </c>
      <c r="H323" s="1" t="s">
        <v>2927</v>
      </c>
      <c r="I323" s="3" t="s">
        <v>2340</v>
      </c>
      <c r="J323" s="1" t="s">
        <v>2345</v>
      </c>
      <c r="K323" s="1" t="s">
        <v>2928</v>
      </c>
      <c r="L323" s="1" t="s">
        <v>2929</v>
      </c>
      <c r="M323" s="1" t="s">
        <v>2881</v>
      </c>
      <c r="N323" s="1" t="s">
        <v>2882</v>
      </c>
      <c r="O323" s="1" t="s">
        <v>42</v>
      </c>
      <c r="Q323" s="1" t="s">
        <v>2346</v>
      </c>
      <c r="R323" s="1" t="s">
        <v>2353</v>
      </c>
      <c r="S323" s="1" t="s">
        <v>2354</v>
      </c>
      <c r="T323" s="49">
        <v>30424489.800000001</v>
      </c>
      <c r="U323" s="20">
        <v>932824.49</v>
      </c>
      <c r="V323" s="20">
        <v>0</v>
      </c>
      <c r="W323" s="20">
        <v>753110.2</v>
      </c>
      <c r="X323" s="20">
        <v>14349028.57</v>
      </c>
      <c r="Y323" s="20">
        <v>10875648.98</v>
      </c>
      <c r="Z323" s="20">
        <v>0</v>
      </c>
      <c r="AA323" s="20">
        <v>0</v>
      </c>
      <c r="AB323" s="20">
        <v>0</v>
      </c>
      <c r="AC323" s="20">
        <v>0</v>
      </c>
      <c r="AD323" s="20">
        <v>0</v>
      </c>
      <c r="AE323" s="20">
        <v>0</v>
      </c>
      <c r="AF323" s="20">
        <v>0</v>
      </c>
      <c r="AG323" s="51">
        <f t="shared" si="15"/>
        <v>3513877.5599999987</v>
      </c>
      <c r="AH323" s="20">
        <v>0</v>
      </c>
      <c r="AI323" s="20">
        <v>0</v>
      </c>
      <c r="AJ323" s="20">
        <v>0</v>
      </c>
      <c r="AK323" s="20">
        <f t="shared" si="16"/>
        <v>0</v>
      </c>
      <c r="AL323" s="26">
        <f t="shared" si="17"/>
        <v>0</v>
      </c>
    </row>
    <row r="324" spans="1:39" x14ac:dyDescent="0.3">
      <c r="A324" s="1">
        <v>315</v>
      </c>
      <c r="B324" s="1" t="s">
        <v>114</v>
      </c>
      <c r="C324" s="1" t="s">
        <v>2347</v>
      </c>
      <c r="D324" s="1" t="s">
        <v>2344</v>
      </c>
      <c r="E324" s="1" t="s">
        <v>95</v>
      </c>
      <c r="F324" s="1" t="s">
        <v>2348</v>
      </c>
      <c r="H324" s="1" t="s">
        <v>2930</v>
      </c>
      <c r="I324" s="3" t="s">
        <v>2340</v>
      </c>
      <c r="J324" s="1" t="s">
        <v>2345</v>
      </c>
      <c r="K324" s="1" t="s">
        <v>2931</v>
      </c>
      <c r="L324" s="1" t="s">
        <v>2932</v>
      </c>
      <c r="M324" s="1" t="s">
        <v>2881</v>
      </c>
      <c r="N324" s="1" t="s">
        <v>2882</v>
      </c>
      <c r="O324" s="1" t="s">
        <v>42</v>
      </c>
      <c r="Q324" s="1" t="s">
        <v>2346</v>
      </c>
      <c r="R324" s="1" t="s">
        <v>2353</v>
      </c>
      <c r="S324" s="1" t="s">
        <v>2354</v>
      </c>
      <c r="T324" s="49">
        <v>30424489.800000001</v>
      </c>
      <c r="U324" s="20">
        <v>932824.49</v>
      </c>
      <c r="V324" s="20">
        <v>0</v>
      </c>
      <c r="W324" s="20">
        <v>753110.2</v>
      </c>
      <c r="X324" s="20">
        <v>14349028.57</v>
      </c>
      <c r="Y324" s="20">
        <v>10875648.98</v>
      </c>
      <c r="Z324" s="20">
        <v>0</v>
      </c>
      <c r="AA324" s="20">
        <v>0</v>
      </c>
      <c r="AB324" s="20">
        <v>0</v>
      </c>
      <c r="AC324" s="20">
        <v>0</v>
      </c>
      <c r="AD324" s="20">
        <v>0</v>
      </c>
      <c r="AE324" s="20">
        <v>0</v>
      </c>
      <c r="AF324" s="20">
        <v>0</v>
      </c>
      <c r="AG324" s="51">
        <f t="shared" si="15"/>
        <v>3513877.5599999987</v>
      </c>
      <c r="AH324" s="20">
        <v>0</v>
      </c>
      <c r="AI324" s="20">
        <v>0</v>
      </c>
      <c r="AJ324" s="20">
        <v>0</v>
      </c>
      <c r="AK324" s="20">
        <f t="shared" si="16"/>
        <v>0</v>
      </c>
      <c r="AL324" s="26">
        <f t="shared" si="17"/>
        <v>0</v>
      </c>
    </row>
    <row r="325" spans="1:39" x14ac:dyDescent="0.3">
      <c r="A325" s="1">
        <v>316</v>
      </c>
      <c r="B325" s="1" t="s">
        <v>114</v>
      </c>
      <c r="C325" s="1" t="s">
        <v>2347</v>
      </c>
      <c r="D325" s="1" t="s">
        <v>2344</v>
      </c>
      <c r="E325" s="1" t="s">
        <v>95</v>
      </c>
      <c r="F325" s="1" t="s">
        <v>2348</v>
      </c>
      <c r="H325" s="1" t="s">
        <v>2933</v>
      </c>
      <c r="I325" s="3" t="s">
        <v>2340</v>
      </c>
      <c r="J325" s="1" t="s">
        <v>2345</v>
      </c>
      <c r="K325" s="1" t="s">
        <v>2934</v>
      </c>
      <c r="L325" s="1" t="s">
        <v>2935</v>
      </c>
      <c r="M325" s="1" t="s">
        <v>2881</v>
      </c>
      <c r="N325" s="1" t="s">
        <v>2882</v>
      </c>
      <c r="O325" s="1" t="s">
        <v>42</v>
      </c>
      <c r="Q325" s="1" t="s">
        <v>2346</v>
      </c>
      <c r="R325" s="1" t="s">
        <v>2353</v>
      </c>
      <c r="S325" s="1" t="s">
        <v>2354</v>
      </c>
      <c r="T325" s="49">
        <v>30424489.800000001</v>
      </c>
      <c r="U325" s="20">
        <v>932824.49</v>
      </c>
      <c r="V325" s="20">
        <v>0</v>
      </c>
      <c r="W325" s="20">
        <v>753110.2</v>
      </c>
      <c r="X325" s="20">
        <v>14349028.57</v>
      </c>
      <c r="Y325" s="20">
        <v>10875648.98</v>
      </c>
      <c r="Z325" s="20">
        <v>0</v>
      </c>
      <c r="AA325" s="20">
        <v>0</v>
      </c>
      <c r="AB325" s="20">
        <v>0</v>
      </c>
      <c r="AC325" s="20">
        <v>0</v>
      </c>
      <c r="AD325" s="20">
        <v>0</v>
      </c>
      <c r="AE325" s="20">
        <v>0</v>
      </c>
      <c r="AF325" s="20">
        <v>0</v>
      </c>
      <c r="AG325" s="51">
        <f t="shared" si="15"/>
        <v>3513877.5599999987</v>
      </c>
      <c r="AH325" s="20">
        <v>0</v>
      </c>
      <c r="AI325" s="20">
        <v>0</v>
      </c>
      <c r="AJ325" s="20">
        <v>0</v>
      </c>
      <c r="AK325" s="20">
        <f t="shared" si="16"/>
        <v>0</v>
      </c>
      <c r="AL325" s="26">
        <f t="shared" si="17"/>
        <v>0</v>
      </c>
    </row>
    <row r="326" spans="1:39" x14ac:dyDescent="0.3">
      <c r="A326" s="1">
        <v>317</v>
      </c>
      <c r="B326" s="1" t="s">
        <v>114</v>
      </c>
      <c r="C326" s="1" t="s">
        <v>2347</v>
      </c>
      <c r="D326" s="1" t="s">
        <v>2344</v>
      </c>
      <c r="E326" s="1" t="s">
        <v>733</v>
      </c>
      <c r="F326" s="1" t="s">
        <v>734</v>
      </c>
      <c r="H326" s="1" t="s">
        <v>2936</v>
      </c>
      <c r="I326" s="3" t="s">
        <v>30</v>
      </c>
      <c r="J326" s="1" t="s">
        <v>2345</v>
      </c>
      <c r="K326" s="1" t="s">
        <v>735</v>
      </c>
      <c r="L326" s="1" t="s">
        <v>2544</v>
      </c>
      <c r="M326" s="1" t="s">
        <v>2881</v>
      </c>
      <c r="N326" s="1" t="s">
        <v>2882</v>
      </c>
      <c r="O326" s="1" t="s">
        <v>42</v>
      </c>
      <c r="Q326" s="1" t="s">
        <v>2346</v>
      </c>
      <c r="R326" s="1" t="s">
        <v>2353</v>
      </c>
      <c r="S326" s="1" t="s">
        <v>2354</v>
      </c>
      <c r="T326" s="49">
        <v>94500000</v>
      </c>
      <c r="U326" s="20">
        <v>0</v>
      </c>
      <c r="V326" s="20">
        <v>0</v>
      </c>
      <c r="W326" s="20">
        <v>0</v>
      </c>
      <c r="X326" s="20">
        <v>0</v>
      </c>
      <c r="Y326" s="20">
        <v>0</v>
      </c>
      <c r="Z326" s="20">
        <v>1181586.2</v>
      </c>
      <c r="AA326" s="20">
        <v>1491175.64</v>
      </c>
      <c r="AB326" s="20">
        <v>38827874.047419995</v>
      </c>
      <c r="AC326" s="20">
        <v>33637649.289999999</v>
      </c>
      <c r="AD326" s="20">
        <v>18982625.289999999</v>
      </c>
      <c r="AE326" s="20">
        <v>0</v>
      </c>
      <c r="AF326" s="20">
        <v>0</v>
      </c>
      <c r="AG326" s="51">
        <f t="shared" si="15"/>
        <v>379089.53258001804</v>
      </c>
      <c r="AH326" s="20">
        <v>72825900</v>
      </c>
      <c r="AI326" s="20">
        <v>37703100</v>
      </c>
      <c r="AJ326" s="20">
        <v>75553900</v>
      </c>
      <c r="AK326" s="20">
        <f t="shared" si="16"/>
        <v>62027633.333333336</v>
      </c>
      <c r="AL326" s="26">
        <f t="shared" si="17"/>
        <v>0.52351451960389683</v>
      </c>
      <c r="AM326" s="1" t="s">
        <v>3021</v>
      </c>
    </row>
    <row r="327" spans="1:39" x14ac:dyDescent="0.3">
      <c r="A327" s="1">
        <v>318</v>
      </c>
      <c r="B327" s="1" t="s">
        <v>114</v>
      </c>
      <c r="C327" s="1" t="s">
        <v>2347</v>
      </c>
      <c r="D327" s="1" t="s">
        <v>2344</v>
      </c>
      <c r="E327" s="1" t="s">
        <v>95</v>
      </c>
      <c r="F327" s="1" t="s">
        <v>2348</v>
      </c>
      <c r="H327" s="1">
        <v>4724</v>
      </c>
      <c r="I327" s="3" t="s">
        <v>2340</v>
      </c>
      <c r="J327" s="1" t="s">
        <v>2345</v>
      </c>
      <c r="K327" s="1" t="s">
        <v>2937</v>
      </c>
      <c r="L327" s="1" t="s">
        <v>2350</v>
      </c>
      <c r="O327" s="1" t="s">
        <v>42</v>
      </c>
      <c r="Q327" s="1" t="s">
        <v>2346</v>
      </c>
      <c r="R327" s="1" t="s">
        <v>2353</v>
      </c>
      <c r="S327" s="1" t="s">
        <v>2354</v>
      </c>
      <c r="T327" s="49">
        <v>44424489.799999997</v>
      </c>
      <c r="U327" s="20">
        <v>932824.49</v>
      </c>
      <c r="V327" s="20">
        <v>0</v>
      </c>
      <c r="W327" s="20">
        <v>753110.2</v>
      </c>
      <c r="X327" s="20">
        <v>14349028.57</v>
      </c>
      <c r="Y327" s="20">
        <v>10875648.98</v>
      </c>
      <c r="Z327" s="20">
        <v>0</v>
      </c>
      <c r="AA327" s="20">
        <v>0</v>
      </c>
      <c r="AB327" s="20">
        <v>0</v>
      </c>
      <c r="AC327" s="20">
        <v>0</v>
      </c>
      <c r="AD327" s="20">
        <v>0</v>
      </c>
      <c r="AE327" s="20">
        <v>0</v>
      </c>
      <c r="AF327" s="20">
        <v>0</v>
      </c>
      <c r="AG327" s="51">
        <f t="shared" si="15"/>
        <v>17513877.559999995</v>
      </c>
      <c r="AH327" s="20">
        <v>0</v>
      </c>
      <c r="AI327" s="20">
        <v>0</v>
      </c>
      <c r="AJ327" s="20">
        <v>0</v>
      </c>
      <c r="AK327" s="20">
        <f t="shared" si="16"/>
        <v>0</v>
      </c>
      <c r="AL327" s="26">
        <f t="shared" si="17"/>
        <v>0</v>
      </c>
    </row>
    <row r="328" spans="1:39" x14ac:dyDescent="0.3">
      <c r="A328" s="1">
        <v>319</v>
      </c>
      <c r="B328" s="1" t="s">
        <v>114</v>
      </c>
      <c r="C328" s="1" t="s">
        <v>2347</v>
      </c>
      <c r="D328" s="1" t="s">
        <v>2344</v>
      </c>
      <c r="E328" s="1" t="s">
        <v>95</v>
      </c>
      <c r="F328" s="1" t="s">
        <v>2348</v>
      </c>
      <c r="H328" s="1">
        <v>4511</v>
      </c>
      <c r="I328" s="3" t="s">
        <v>2340</v>
      </c>
      <c r="J328" s="1" t="s">
        <v>2345</v>
      </c>
      <c r="K328" s="1" t="s">
        <v>2938</v>
      </c>
      <c r="L328" s="1" t="s">
        <v>2350</v>
      </c>
      <c r="O328" s="1" t="s">
        <v>42</v>
      </c>
      <c r="Q328" s="1" t="s">
        <v>2346</v>
      </c>
      <c r="R328" s="1" t="s">
        <v>2353</v>
      </c>
      <c r="S328" s="1" t="s">
        <v>2354</v>
      </c>
      <c r="T328" s="49">
        <v>44424489.799999997</v>
      </c>
      <c r="U328" s="20">
        <v>932824.49</v>
      </c>
      <c r="V328" s="20">
        <v>0</v>
      </c>
      <c r="W328" s="20">
        <v>753110.2</v>
      </c>
      <c r="X328" s="20">
        <v>14349028.57</v>
      </c>
      <c r="Y328" s="20">
        <v>10875648.98</v>
      </c>
      <c r="Z328" s="20">
        <v>0</v>
      </c>
      <c r="AA328" s="20">
        <v>0</v>
      </c>
      <c r="AB328" s="20">
        <v>0</v>
      </c>
      <c r="AC328" s="20">
        <v>0</v>
      </c>
      <c r="AD328" s="20">
        <v>0</v>
      </c>
      <c r="AE328" s="20">
        <v>0</v>
      </c>
      <c r="AF328" s="20">
        <v>0</v>
      </c>
      <c r="AG328" s="51">
        <f t="shared" si="15"/>
        <v>17513877.559999995</v>
      </c>
      <c r="AH328" s="20">
        <v>0</v>
      </c>
      <c r="AI328" s="20">
        <v>0</v>
      </c>
      <c r="AJ328" s="20">
        <v>0</v>
      </c>
      <c r="AK328" s="20">
        <f t="shared" si="16"/>
        <v>0</v>
      </c>
      <c r="AL328" s="26">
        <f t="shared" si="17"/>
        <v>0</v>
      </c>
    </row>
    <row r="329" spans="1:39" x14ac:dyDescent="0.3">
      <c r="A329" s="1">
        <v>320</v>
      </c>
      <c r="B329" s="1" t="s">
        <v>114</v>
      </c>
      <c r="C329" s="1" t="s">
        <v>2347</v>
      </c>
      <c r="D329" s="1" t="s">
        <v>2344</v>
      </c>
      <c r="E329" s="1" t="s">
        <v>95</v>
      </c>
      <c r="F329" s="1" t="s">
        <v>2348</v>
      </c>
      <c r="H329" s="1">
        <v>14298</v>
      </c>
      <c r="I329" s="3" t="s">
        <v>2340</v>
      </c>
      <c r="J329" s="1" t="s">
        <v>2345</v>
      </c>
      <c r="K329" s="1" t="s">
        <v>2939</v>
      </c>
      <c r="L329" s="1" t="s">
        <v>2350</v>
      </c>
      <c r="O329" s="1" t="s">
        <v>42</v>
      </c>
      <c r="Q329" s="1" t="s">
        <v>2346</v>
      </c>
      <c r="R329" s="1" t="s">
        <v>2353</v>
      </c>
      <c r="S329" s="1" t="s">
        <v>2354</v>
      </c>
      <c r="T329" s="49">
        <v>44424489.799999997</v>
      </c>
      <c r="U329" s="20">
        <v>932824.49</v>
      </c>
      <c r="V329" s="20">
        <v>0</v>
      </c>
      <c r="W329" s="20">
        <v>753110.2</v>
      </c>
      <c r="X329" s="20">
        <v>14349028.57</v>
      </c>
      <c r="Y329" s="20">
        <v>10875648.98</v>
      </c>
      <c r="Z329" s="20">
        <v>0</v>
      </c>
      <c r="AA329" s="20">
        <v>0</v>
      </c>
      <c r="AB329" s="20">
        <v>0</v>
      </c>
      <c r="AC329" s="20">
        <v>0</v>
      </c>
      <c r="AD329" s="20">
        <v>0</v>
      </c>
      <c r="AE329" s="20">
        <v>0</v>
      </c>
      <c r="AF329" s="20">
        <v>0</v>
      </c>
      <c r="AG329" s="51">
        <f t="shared" si="15"/>
        <v>17513877.559999995</v>
      </c>
      <c r="AH329" s="20">
        <v>0</v>
      </c>
      <c r="AI329" s="20">
        <v>0</v>
      </c>
      <c r="AJ329" s="20">
        <v>0</v>
      </c>
      <c r="AK329" s="20">
        <f t="shared" si="16"/>
        <v>0</v>
      </c>
      <c r="AL329" s="26">
        <f t="shared" si="17"/>
        <v>0</v>
      </c>
    </row>
    <row r="330" spans="1:39" x14ac:dyDescent="0.3">
      <c r="A330" s="1">
        <v>321</v>
      </c>
      <c r="B330" s="1" t="s">
        <v>114</v>
      </c>
      <c r="C330" s="1" t="s">
        <v>2347</v>
      </c>
      <c r="D330" s="1" t="s">
        <v>2344</v>
      </c>
      <c r="E330" s="1" t="s">
        <v>95</v>
      </c>
      <c r="F330" s="1" t="s">
        <v>2348</v>
      </c>
      <c r="H330" s="1">
        <v>6040</v>
      </c>
      <c r="I330" s="3" t="s">
        <v>2340</v>
      </c>
      <c r="J330" s="1" t="s">
        <v>2345</v>
      </c>
      <c r="K330" s="1" t="s">
        <v>2940</v>
      </c>
      <c r="L330" s="1" t="s">
        <v>2350</v>
      </c>
      <c r="O330" s="1" t="s">
        <v>42</v>
      </c>
      <c r="Q330" s="1" t="s">
        <v>2346</v>
      </c>
      <c r="R330" s="1" t="s">
        <v>2353</v>
      </c>
      <c r="S330" s="1" t="s">
        <v>2354</v>
      </c>
      <c r="T330" s="49">
        <v>44424489.799999997</v>
      </c>
      <c r="U330" s="20">
        <v>932824.49</v>
      </c>
      <c r="V330" s="20">
        <v>0</v>
      </c>
      <c r="W330" s="20">
        <v>753110.2</v>
      </c>
      <c r="X330" s="20">
        <v>14349028.57</v>
      </c>
      <c r="Y330" s="20">
        <v>10875648.98</v>
      </c>
      <c r="Z330" s="20">
        <v>0</v>
      </c>
      <c r="AA330" s="20">
        <v>0</v>
      </c>
      <c r="AB330" s="20">
        <v>0</v>
      </c>
      <c r="AC330" s="20">
        <v>0</v>
      </c>
      <c r="AD330" s="20">
        <v>0</v>
      </c>
      <c r="AE330" s="20">
        <v>0</v>
      </c>
      <c r="AF330" s="20">
        <v>0</v>
      </c>
      <c r="AG330" s="51">
        <f t="shared" ref="AG330:AG384" si="18">T330-SUM(U330:AF330)</f>
        <v>17513877.559999995</v>
      </c>
      <c r="AH330" s="20">
        <v>0</v>
      </c>
      <c r="AI330" s="20">
        <v>0</v>
      </c>
      <c r="AJ330" s="20">
        <v>0</v>
      </c>
      <c r="AK330" s="20">
        <f t="shared" si="16"/>
        <v>0</v>
      </c>
      <c r="AL330" s="26">
        <f t="shared" si="17"/>
        <v>0</v>
      </c>
    </row>
    <row r="331" spans="1:39" x14ac:dyDescent="0.3">
      <c r="A331" s="1">
        <v>322</v>
      </c>
      <c r="B331" s="1" t="s">
        <v>114</v>
      </c>
      <c r="C331" s="1" t="s">
        <v>2347</v>
      </c>
      <c r="D331" s="1" t="s">
        <v>2344</v>
      </c>
      <c r="E331" s="1" t="s">
        <v>95</v>
      </c>
      <c r="F331" s="1" t="s">
        <v>2348</v>
      </c>
      <c r="H331" s="1">
        <v>5002</v>
      </c>
      <c r="I331" s="3" t="s">
        <v>2340</v>
      </c>
      <c r="J331" s="1" t="s">
        <v>2345</v>
      </c>
      <c r="K331" s="1" t="s">
        <v>2941</v>
      </c>
      <c r="L331" s="1" t="s">
        <v>2350</v>
      </c>
      <c r="O331" s="1" t="s">
        <v>42</v>
      </c>
      <c r="Q331" s="1" t="s">
        <v>2346</v>
      </c>
      <c r="R331" s="1" t="s">
        <v>2353</v>
      </c>
      <c r="S331" s="1" t="s">
        <v>2354</v>
      </c>
      <c r="T331" s="49">
        <v>44424489.799999997</v>
      </c>
      <c r="U331" s="20">
        <v>932824.49</v>
      </c>
      <c r="V331" s="20">
        <v>0</v>
      </c>
      <c r="W331" s="20">
        <v>753110.2</v>
      </c>
      <c r="X331" s="20">
        <v>14349028.57</v>
      </c>
      <c r="Y331" s="20">
        <v>10875648.98</v>
      </c>
      <c r="Z331" s="20">
        <v>0</v>
      </c>
      <c r="AA331" s="20">
        <v>0</v>
      </c>
      <c r="AB331" s="20">
        <v>0</v>
      </c>
      <c r="AC331" s="20">
        <v>0</v>
      </c>
      <c r="AD331" s="20">
        <v>0</v>
      </c>
      <c r="AE331" s="20">
        <v>0</v>
      </c>
      <c r="AF331" s="20">
        <v>0</v>
      </c>
      <c r="AG331" s="51">
        <f t="shared" si="18"/>
        <v>17513877.559999995</v>
      </c>
      <c r="AH331" s="20">
        <v>0</v>
      </c>
      <c r="AI331" s="20">
        <v>0</v>
      </c>
      <c r="AJ331" s="20">
        <v>0</v>
      </c>
      <c r="AK331" s="20">
        <f t="shared" si="16"/>
        <v>0</v>
      </c>
      <c r="AL331" s="26">
        <f t="shared" si="17"/>
        <v>0</v>
      </c>
    </row>
    <row r="332" spans="1:39" x14ac:dyDescent="0.3">
      <c r="A332" s="1">
        <v>323</v>
      </c>
      <c r="B332" s="1" t="s">
        <v>114</v>
      </c>
      <c r="C332" s="1" t="s">
        <v>2347</v>
      </c>
      <c r="D332" s="1" t="s">
        <v>2344</v>
      </c>
      <c r="E332" s="1" t="s">
        <v>95</v>
      </c>
      <c r="F332" s="1" t="s">
        <v>2348</v>
      </c>
      <c r="H332" s="1">
        <v>7011</v>
      </c>
      <c r="I332" s="3" t="s">
        <v>2340</v>
      </c>
      <c r="J332" s="1" t="s">
        <v>2345</v>
      </c>
      <c r="K332" s="1" t="s">
        <v>2942</v>
      </c>
      <c r="L332" s="1" t="s">
        <v>2350</v>
      </c>
      <c r="O332" s="1" t="s">
        <v>42</v>
      </c>
      <c r="Q332" s="1" t="s">
        <v>2346</v>
      </c>
      <c r="R332" s="1" t="s">
        <v>2353</v>
      </c>
      <c r="S332" s="1" t="s">
        <v>2354</v>
      </c>
      <c r="T332" s="49">
        <v>44424489.799999997</v>
      </c>
      <c r="U332" s="20">
        <v>932824.49</v>
      </c>
      <c r="V332" s="20">
        <v>0</v>
      </c>
      <c r="W332" s="20">
        <v>753110.2</v>
      </c>
      <c r="X332" s="20">
        <v>14349028.57</v>
      </c>
      <c r="Y332" s="20">
        <v>10875648.98</v>
      </c>
      <c r="Z332" s="20">
        <v>0</v>
      </c>
      <c r="AA332" s="20">
        <v>0</v>
      </c>
      <c r="AB332" s="20">
        <v>0</v>
      </c>
      <c r="AC332" s="20">
        <v>0</v>
      </c>
      <c r="AD332" s="20">
        <v>0</v>
      </c>
      <c r="AE332" s="20">
        <v>0</v>
      </c>
      <c r="AF332" s="20">
        <v>0</v>
      </c>
      <c r="AG332" s="51">
        <f t="shared" si="18"/>
        <v>17513877.559999995</v>
      </c>
      <c r="AH332" s="20">
        <v>0</v>
      </c>
      <c r="AI332" s="20">
        <v>0</v>
      </c>
      <c r="AJ332" s="20">
        <v>0</v>
      </c>
      <c r="AK332" s="20">
        <f t="shared" si="16"/>
        <v>0</v>
      </c>
      <c r="AL332" s="26">
        <f t="shared" si="17"/>
        <v>0</v>
      </c>
    </row>
    <row r="333" spans="1:39" x14ac:dyDescent="0.3">
      <c r="A333" s="1">
        <v>324</v>
      </c>
      <c r="B333" s="1" t="s">
        <v>114</v>
      </c>
      <c r="C333" s="1" t="s">
        <v>2347</v>
      </c>
      <c r="D333" s="1" t="s">
        <v>2344</v>
      </c>
      <c r="E333" s="1" t="s">
        <v>95</v>
      </c>
      <c r="F333" s="1" t="s">
        <v>2348</v>
      </c>
      <c r="H333" s="1">
        <v>6309</v>
      </c>
      <c r="I333" s="3" t="s">
        <v>2340</v>
      </c>
      <c r="J333" s="1" t="s">
        <v>2345</v>
      </c>
      <c r="K333" s="1" t="s">
        <v>2943</v>
      </c>
      <c r="L333" s="1" t="s">
        <v>2350</v>
      </c>
      <c r="O333" s="1" t="s">
        <v>42</v>
      </c>
      <c r="Q333" s="1" t="s">
        <v>2346</v>
      </c>
      <c r="R333" s="1" t="s">
        <v>2353</v>
      </c>
      <c r="S333" s="1" t="s">
        <v>2354</v>
      </c>
      <c r="T333" s="49">
        <v>44424489.799999997</v>
      </c>
      <c r="U333" s="20">
        <v>932824.49</v>
      </c>
      <c r="V333" s="20">
        <v>0</v>
      </c>
      <c r="W333" s="20">
        <v>753110.2</v>
      </c>
      <c r="X333" s="20">
        <v>14349028.57</v>
      </c>
      <c r="Y333" s="20">
        <v>10875648.98</v>
      </c>
      <c r="Z333" s="20">
        <v>0</v>
      </c>
      <c r="AA333" s="20">
        <v>0</v>
      </c>
      <c r="AB333" s="20">
        <v>0</v>
      </c>
      <c r="AC333" s="20">
        <v>0</v>
      </c>
      <c r="AD333" s="20">
        <v>0</v>
      </c>
      <c r="AE333" s="20">
        <v>0</v>
      </c>
      <c r="AF333" s="20">
        <v>0</v>
      </c>
      <c r="AG333" s="51">
        <f t="shared" si="18"/>
        <v>17513877.559999995</v>
      </c>
      <c r="AH333" s="20">
        <v>0</v>
      </c>
      <c r="AI333" s="20">
        <v>0</v>
      </c>
      <c r="AJ333" s="20">
        <v>0</v>
      </c>
      <c r="AK333" s="20">
        <f t="shared" si="16"/>
        <v>0</v>
      </c>
      <c r="AL333" s="26">
        <f t="shared" si="17"/>
        <v>0</v>
      </c>
    </row>
    <row r="334" spans="1:39" x14ac:dyDescent="0.3">
      <c r="A334" s="1">
        <v>325</v>
      </c>
      <c r="B334" s="1" t="s">
        <v>114</v>
      </c>
      <c r="C334" s="1" t="s">
        <v>2347</v>
      </c>
      <c r="D334" s="1" t="s">
        <v>2344</v>
      </c>
      <c r="E334" s="1" t="s">
        <v>95</v>
      </c>
      <c r="F334" s="1" t="s">
        <v>2348</v>
      </c>
      <c r="H334" s="1">
        <v>28573</v>
      </c>
      <c r="I334" s="3" t="s">
        <v>2340</v>
      </c>
      <c r="J334" s="1" t="s">
        <v>2345</v>
      </c>
      <c r="K334" s="1" t="s">
        <v>2944</v>
      </c>
      <c r="L334" s="1" t="s">
        <v>2350</v>
      </c>
      <c r="O334" s="1" t="s">
        <v>42</v>
      </c>
      <c r="Q334" s="1" t="s">
        <v>2346</v>
      </c>
      <c r="R334" s="1" t="s">
        <v>2353</v>
      </c>
      <c r="S334" s="1" t="s">
        <v>2354</v>
      </c>
      <c r="T334" s="49">
        <v>44424489.799999997</v>
      </c>
      <c r="U334" s="20">
        <v>932824.49</v>
      </c>
      <c r="V334" s="20">
        <v>0</v>
      </c>
      <c r="W334" s="20">
        <v>753110.2</v>
      </c>
      <c r="X334" s="20">
        <v>14349028.57</v>
      </c>
      <c r="Y334" s="20">
        <v>10875648.98</v>
      </c>
      <c r="Z334" s="20">
        <v>0</v>
      </c>
      <c r="AA334" s="20">
        <v>0</v>
      </c>
      <c r="AB334" s="20">
        <v>0</v>
      </c>
      <c r="AC334" s="20">
        <v>0</v>
      </c>
      <c r="AD334" s="20">
        <v>0</v>
      </c>
      <c r="AE334" s="20">
        <v>0</v>
      </c>
      <c r="AF334" s="20">
        <v>0</v>
      </c>
      <c r="AG334" s="51">
        <f t="shared" si="18"/>
        <v>17513877.559999995</v>
      </c>
      <c r="AH334" s="20">
        <v>0</v>
      </c>
      <c r="AI334" s="20">
        <v>0</v>
      </c>
      <c r="AJ334" s="20">
        <v>0</v>
      </c>
      <c r="AK334" s="20">
        <f t="shared" si="16"/>
        <v>0</v>
      </c>
      <c r="AL334" s="26">
        <f t="shared" si="17"/>
        <v>0</v>
      </c>
    </row>
    <row r="335" spans="1:39" x14ac:dyDescent="0.3">
      <c r="A335" s="1">
        <v>326</v>
      </c>
      <c r="B335" s="1" t="s">
        <v>114</v>
      </c>
      <c r="C335" s="1" t="s">
        <v>2347</v>
      </c>
      <c r="D335" s="1" t="s">
        <v>2344</v>
      </c>
      <c r="E335" s="1" t="s">
        <v>95</v>
      </c>
      <c r="F335" s="1" t="s">
        <v>2348</v>
      </c>
      <c r="H335" s="1">
        <v>30126</v>
      </c>
      <c r="I335" s="3" t="s">
        <v>2340</v>
      </c>
      <c r="J335" s="1" t="s">
        <v>2345</v>
      </c>
      <c r="K335" s="1" t="s">
        <v>2945</v>
      </c>
      <c r="L335" s="1" t="s">
        <v>2350</v>
      </c>
      <c r="O335" s="1" t="s">
        <v>42</v>
      </c>
      <c r="Q335" s="1" t="s">
        <v>2346</v>
      </c>
      <c r="R335" s="1" t="s">
        <v>2353</v>
      </c>
      <c r="S335" s="1" t="s">
        <v>2354</v>
      </c>
      <c r="T335" s="49">
        <v>44424489.799999997</v>
      </c>
      <c r="U335" s="20">
        <v>932824.49</v>
      </c>
      <c r="V335" s="20">
        <v>0</v>
      </c>
      <c r="W335" s="20">
        <v>753110.2</v>
      </c>
      <c r="X335" s="20">
        <v>14349028.57</v>
      </c>
      <c r="Y335" s="20">
        <v>10875648.98</v>
      </c>
      <c r="Z335" s="20">
        <v>0</v>
      </c>
      <c r="AA335" s="20">
        <v>0</v>
      </c>
      <c r="AB335" s="20">
        <v>0</v>
      </c>
      <c r="AC335" s="20">
        <v>0</v>
      </c>
      <c r="AD335" s="20">
        <v>0</v>
      </c>
      <c r="AE335" s="20">
        <v>0</v>
      </c>
      <c r="AF335" s="20">
        <v>0</v>
      </c>
      <c r="AG335" s="51">
        <f t="shared" si="18"/>
        <v>17513877.559999995</v>
      </c>
      <c r="AH335" s="20">
        <v>0</v>
      </c>
      <c r="AI335" s="20">
        <v>0</v>
      </c>
      <c r="AJ335" s="20">
        <v>0</v>
      </c>
      <c r="AK335" s="20">
        <f t="shared" si="16"/>
        <v>0</v>
      </c>
      <c r="AL335" s="26">
        <f t="shared" si="17"/>
        <v>0</v>
      </c>
    </row>
    <row r="336" spans="1:39" x14ac:dyDescent="0.3">
      <c r="A336" s="1">
        <v>327</v>
      </c>
      <c r="B336" s="1" t="s">
        <v>114</v>
      </c>
      <c r="C336" s="1" t="s">
        <v>2347</v>
      </c>
      <c r="D336" s="1" t="s">
        <v>2344</v>
      </c>
      <c r="E336" s="1" t="s">
        <v>95</v>
      </c>
      <c r="F336" s="1" t="s">
        <v>2348</v>
      </c>
      <c r="I336" s="3" t="s">
        <v>2340</v>
      </c>
      <c r="J336" s="1" t="s">
        <v>2345</v>
      </c>
      <c r="K336" s="1" t="s">
        <v>2946</v>
      </c>
      <c r="L336" s="1" t="s">
        <v>2350</v>
      </c>
      <c r="O336" s="1" t="s">
        <v>42</v>
      </c>
      <c r="Q336" s="1" t="s">
        <v>2346</v>
      </c>
      <c r="R336" s="1" t="s">
        <v>2353</v>
      </c>
      <c r="S336" s="1" t="s">
        <v>2354</v>
      </c>
      <c r="T336" s="49">
        <v>44424489.799999997</v>
      </c>
      <c r="U336" s="20">
        <v>932824.49</v>
      </c>
      <c r="V336" s="20">
        <v>0</v>
      </c>
      <c r="W336" s="20">
        <v>753110.2</v>
      </c>
      <c r="X336" s="20">
        <v>14349028.57</v>
      </c>
      <c r="Y336" s="20">
        <v>10875648.98</v>
      </c>
      <c r="Z336" s="20">
        <v>0</v>
      </c>
      <c r="AA336" s="20">
        <v>0</v>
      </c>
      <c r="AB336" s="20">
        <v>0</v>
      </c>
      <c r="AC336" s="20">
        <v>0</v>
      </c>
      <c r="AD336" s="20">
        <v>0</v>
      </c>
      <c r="AE336" s="20">
        <v>0</v>
      </c>
      <c r="AF336" s="20">
        <v>0</v>
      </c>
      <c r="AG336" s="51">
        <f t="shared" si="18"/>
        <v>17513877.559999995</v>
      </c>
      <c r="AH336" s="20">
        <v>0</v>
      </c>
      <c r="AI336" s="20">
        <v>0</v>
      </c>
      <c r="AJ336" s="20">
        <v>0</v>
      </c>
      <c r="AK336" s="20">
        <f t="shared" si="16"/>
        <v>0</v>
      </c>
      <c r="AL336" s="26">
        <f t="shared" si="17"/>
        <v>0</v>
      </c>
    </row>
    <row r="337" spans="1:38" x14ac:dyDescent="0.3">
      <c r="A337" s="1">
        <v>328</v>
      </c>
      <c r="B337" s="1" t="s">
        <v>114</v>
      </c>
      <c r="C337" s="1" t="s">
        <v>2347</v>
      </c>
      <c r="D337" s="1" t="s">
        <v>2344</v>
      </c>
      <c r="E337" s="1" t="s">
        <v>95</v>
      </c>
      <c r="F337" s="1" t="s">
        <v>2348</v>
      </c>
      <c r="H337" s="1">
        <v>4492</v>
      </c>
      <c r="I337" s="3" t="s">
        <v>2340</v>
      </c>
      <c r="J337" s="1" t="s">
        <v>2345</v>
      </c>
      <c r="K337" s="1" t="s">
        <v>2947</v>
      </c>
      <c r="L337" s="1" t="s">
        <v>2350</v>
      </c>
      <c r="O337" s="1" t="s">
        <v>42</v>
      </c>
      <c r="Q337" s="1" t="s">
        <v>2346</v>
      </c>
      <c r="R337" s="1" t="s">
        <v>2353</v>
      </c>
      <c r="S337" s="1" t="s">
        <v>2354</v>
      </c>
      <c r="T337" s="49">
        <v>44424489.799999997</v>
      </c>
      <c r="U337" s="20">
        <v>932824.49</v>
      </c>
      <c r="V337" s="20">
        <v>0</v>
      </c>
      <c r="W337" s="20">
        <v>753110.2</v>
      </c>
      <c r="X337" s="20">
        <v>14349028.57</v>
      </c>
      <c r="Y337" s="20">
        <v>10875648.98</v>
      </c>
      <c r="Z337" s="20">
        <v>0</v>
      </c>
      <c r="AA337" s="20">
        <v>0</v>
      </c>
      <c r="AB337" s="20">
        <v>0</v>
      </c>
      <c r="AC337" s="20">
        <v>0</v>
      </c>
      <c r="AD337" s="20">
        <v>0</v>
      </c>
      <c r="AE337" s="20">
        <v>0</v>
      </c>
      <c r="AF337" s="20">
        <v>0</v>
      </c>
      <c r="AG337" s="51">
        <f t="shared" si="18"/>
        <v>17513877.559999995</v>
      </c>
      <c r="AH337" s="20">
        <v>0</v>
      </c>
      <c r="AI337" s="20">
        <v>0</v>
      </c>
      <c r="AJ337" s="20">
        <v>0</v>
      </c>
      <c r="AK337" s="20">
        <f t="shared" si="16"/>
        <v>0</v>
      </c>
      <c r="AL337" s="26">
        <f t="shared" si="17"/>
        <v>0</v>
      </c>
    </row>
    <row r="338" spans="1:38" x14ac:dyDescent="0.3">
      <c r="A338" s="1">
        <v>329</v>
      </c>
      <c r="B338" s="1" t="s">
        <v>114</v>
      </c>
      <c r="C338" s="1" t="s">
        <v>2347</v>
      </c>
      <c r="D338" s="1" t="s">
        <v>2344</v>
      </c>
      <c r="E338" s="1" t="s">
        <v>95</v>
      </c>
      <c r="F338" s="1" t="s">
        <v>2348</v>
      </c>
      <c r="H338" s="1">
        <v>29847</v>
      </c>
      <c r="I338" s="3" t="s">
        <v>2340</v>
      </c>
      <c r="J338" s="1" t="s">
        <v>2345</v>
      </c>
      <c r="K338" s="1" t="s">
        <v>2948</v>
      </c>
      <c r="L338" s="1" t="s">
        <v>2350</v>
      </c>
      <c r="O338" s="1" t="s">
        <v>42</v>
      </c>
      <c r="Q338" s="1" t="s">
        <v>2346</v>
      </c>
      <c r="R338" s="1" t="s">
        <v>2353</v>
      </c>
      <c r="S338" s="1" t="s">
        <v>2354</v>
      </c>
      <c r="T338" s="49">
        <v>44424489.799999997</v>
      </c>
      <c r="U338" s="20">
        <v>932824.49</v>
      </c>
      <c r="V338" s="20">
        <v>0</v>
      </c>
      <c r="W338" s="20">
        <v>753110.2</v>
      </c>
      <c r="X338" s="20">
        <v>14349028.57</v>
      </c>
      <c r="Y338" s="20">
        <v>10875648.98</v>
      </c>
      <c r="Z338" s="20">
        <v>0</v>
      </c>
      <c r="AA338" s="20">
        <v>0</v>
      </c>
      <c r="AB338" s="20">
        <v>0</v>
      </c>
      <c r="AC338" s="20">
        <v>0</v>
      </c>
      <c r="AD338" s="20">
        <v>0</v>
      </c>
      <c r="AE338" s="20">
        <v>0</v>
      </c>
      <c r="AF338" s="20">
        <v>0</v>
      </c>
      <c r="AG338" s="51">
        <f t="shared" si="18"/>
        <v>17513877.559999995</v>
      </c>
      <c r="AH338" s="20">
        <v>0</v>
      </c>
      <c r="AI338" s="20">
        <v>0</v>
      </c>
      <c r="AJ338" s="20">
        <v>0</v>
      </c>
      <c r="AK338" s="20">
        <f t="shared" si="16"/>
        <v>0</v>
      </c>
      <c r="AL338" s="26">
        <f t="shared" si="17"/>
        <v>0</v>
      </c>
    </row>
    <row r="339" spans="1:38" x14ac:dyDescent="0.3">
      <c r="A339" s="1">
        <v>330</v>
      </c>
      <c r="B339" s="1" t="s">
        <v>114</v>
      </c>
      <c r="C339" s="1" t="s">
        <v>2347</v>
      </c>
      <c r="D339" s="1" t="s">
        <v>2344</v>
      </c>
      <c r="E339" s="1" t="s">
        <v>95</v>
      </c>
      <c r="F339" s="1" t="s">
        <v>2348</v>
      </c>
      <c r="I339" s="3" t="s">
        <v>2340</v>
      </c>
      <c r="J339" s="1" t="s">
        <v>2345</v>
      </c>
      <c r="K339" s="1" t="s">
        <v>2949</v>
      </c>
      <c r="L339" s="1" t="s">
        <v>2350</v>
      </c>
      <c r="O339" s="1" t="s">
        <v>42</v>
      </c>
      <c r="Q339" s="1" t="s">
        <v>2346</v>
      </c>
      <c r="R339" s="1" t="s">
        <v>2353</v>
      </c>
      <c r="S339" s="1" t="s">
        <v>2354</v>
      </c>
      <c r="T339" s="49">
        <v>44424489.799999997</v>
      </c>
      <c r="U339" s="20">
        <v>932824.49</v>
      </c>
      <c r="V339" s="20">
        <v>0</v>
      </c>
      <c r="W339" s="20">
        <v>753110.2</v>
      </c>
      <c r="X339" s="20">
        <v>14349028.57</v>
      </c>
      <c r="Y339" s="20">
        <v>10875648.98</v>
      </c>
      <c r="Z339" s="20">
        <v>0</v>
      </c>
      <c r="AA339" s="20">
        <v>0</v>
      </c>
      <c r="AB339" s="20">
        <v>0</v>
      </c>
      <c r="AC339" s="20">
        <v>0</v>
      </c>
      <c r="AD339" s="20">
        <v>0</v>
      </c>
      <c r="AE339" s="20">
        <v>0</v>
      </c>
      <c r="AF339" s="20">
        <v>0</v>
      </c>
      <c r="AG339" s="51">
        <f t="shared" si="18"/>
        <v>17513877.559999995</v>
      </c>
      <c r="AH339" s="20">
        <v>0</v>
      </c>
      <c r="AI339" s="20">
        <v>0</v>
      </c>
      <c r="AJ339" s="20">
        <v>0</v>
      </c>
      <c r="AK339" s="20">
        <f t="shared" si="16"/>
        <v>0</v>
      </c>
      <c r="AL339" s="26">
        <f t="shared" si="17"/>
        <v>0</v>
      </c>
    </row>
    <row r="340" spans="1:38" x14ac:dyDescent="0.3">
      <c r="A340" s="1">
        <v>331</v>
      </c>
      <c r="B340" s="1" t="s">
        <v>114</v>
      </c>
      <c r="C340" s="1" t="s">
        <v>2347</v>
      </c>
      <c r="D340" s="1" t="s">
        <v>2344</v>
      </c>
      <c r="E340" s="1" t="s">
        <v>95</v>
      </c>
      <c r="F340" s="1" t="s">
        <v>2348</v>
      </c>
      <c r="H340" s="1">
        <v>4389</v>
      </c>
      <c r="I340" s="3" t="s">
        <v>2340</v>
      </c>
      <c r="J340" s="1" t="s">
        <v>2345</v>
      </c>
      <c r="K340" s="1" t="s">
        <v>2950</v>
      </c>
      <c r="L340" s="1" t="s">
        <v>2350</v>
      </c>
      <c r="O340" s="1" t="s">
        <v>42</v>
      </c>
      <c r="Q340" s="1" t="s">
        <v>2346</v>
      </c>
      <c r="R340" s="1" t="s">
        <v>2353</v>
      </c>
      <c r="S340" s="1" t="s">
        <v>2354</v>
      </c>
      <c r="T340" s="49">
        <v>44424489.799999997</v>
      </c>
      <c r="U340" s="20">
        <v>932824.49</v>
      </c>
      <c r="V340" s="20">
        <v>0</v>
      </c>
      <c r="W340" s="20">
        <v>753110.2</v>
      </c>
      <c r="X340" s="20">
        <v>14349028.57</v>
      </c>
      <c r="Y340" s="20">
        <f>20875648.98-9492212.34</f>
        <v>11383436.640000001</v>
      </c>
      <c r="Z340" s="20">
        <v>0</v>
      </c>
      <c r="AA340" s="20">
        <v>0</v>
      </c>
      <c r="AB340" s="20">
        <v>0</v>
      </c>
      <c r="AC340" s="20">
        <v>0</v>
      </c>
      <c r="AD340" s="20">
        <v>0</v>
      </c>
      <c r="AE340" s="20">
        <v>0</v>
      </c>
      <c r="AF340" s="20">
        <v>0</v>
      </c>
      <c r="AG340" s="51">
        <f t="shared" si="18"/>
        <v>17006089.899999999</v>
      </c>
      <c r="AH340" s="20">
        <v>0</v>
      </c>
      <c r="AI340" s="20">
        <v>0</v>
      </c>
      <c r="AJ340" s="20">
        <v>0</v>
      </c>
      <c r="AK340" s="20">
        <f t="shared" si="16"/>
        <v>0</v>
      </c>
      <c r="AL340" s="26">
        <f t="shared" si="17"/>
        <v>0</v>
      </c>
    </row>
    <row r="341" spans="1:38" x14ac:dyDescent="0.3">
      <c r="A341" s="1">
        <v>332</v>
      </c>
      <c r="B341" s="1" t="s">
        <v>114</v>
      </c>
      <c r="C341" s="1" t="s">
        <v>2347</v>
      </c>
      <c r="D341" s="1" t="s">
        <v>2344</v>
      </c>
      <c r="E341" s="1" t="s">
        <v>95</v>
      </c>
      <c r="F341" s="1" t="s">
        <v>2348</v>
      </c>
      <c r="H341" s="1">
        <v>5216</v>
      </c>
      <c r="I341" s="3" t="s">
        <v>2340</v>
      </c>
      <c r="J341" s="1" t="s">
        <v>2345</v>
      </c>
      <c r="K341" s="1" t="s">
        <v>2951</v>
      </c>
      <c r="L341" s="1" t="s">
        <v>2350</v>
      </c>
      <c r="O341" s="1" t="s">
        <v>42</v>
      </c>
      <c r="Q341" s="1" t="s">
        <v>2346</v>
      </c>
      <c r="R341" s="1" t="s">
        <v>2353</v>
      </c>
      <c r="S341" s="1" t="s">
        <v>2354</v>
      </c>
      <c r="T341" s="49">
        <v>44424489.799999997</v>
      </c>
      <c r="U341" s="20">
        <v>932824.49</v>
      </c>
      <c r="V341" s="20">
        <v>0</v>
      </c>
      <c r="W341" s="20">
        <v>753110.2</v>
      </c>
      <c r="X341" s="20">
        <v>14349028.57</v>
      </c>
      <c r="Y341" s="20">
        <v>20875648.98</v>
      </c>
      <c r="Z341" s="20">
        <v>0</v>
      </c>
      <c r="AA341" s="20">
        <v>0</v>
      </c>
      <c r="AB341" s="20">
        <v>0</v>
      </c>
      <c r="AC341" s="20">
        <v>0</v>
      </c>
      <c r="AD341" s="20">
        <v>0</v>
      </c>
      <c r="AE341" s="20">
        <v>0</v>
      </c>
      <c r="AF341" s="20">
        <v>0</v>
      </c>
      <c r="AG341" s="51">
        <f t="shared" si="18"/>
        <v>7513877.5599999949</v>
      </c>
      <c r="AH341" s="20">
        <v>0</v>
      </c>
      <c r="AI341" s="20">
        <v>0</v>
      </c>
      <c r="AJ341" s="20">
        <v>0</v>
      </c>
      <c r="AK341" s="20">
        <f t="shared" si="16"/>
        <v>0</v>
      </c>
      <c r="AL341" s="26">
        <f t="shared" si="17"/>
        <v>0</v>
      </c>
    </row>
    <row r="342" spans="1:38" x14ac:dyDescent="0.3">
      <c r="A342" s="1">
        <v>333</v>
      </c>
      <c r="B342" s="1" t="s">
        <v>114</v>
      </c>
      <c r="C342" s="1" t="s">
        <v>2347</v>
      </c>
      <c r="D342" s="1" t="s">
        <v>2344</v>
      </c>
      <c r="E342" s="1" t="s">
        <v>95</v>
      </c>
      <c r="F342" s="1" t="s">
        <v>2348</v>
      </c>
      <c r="H342" s="1">
        <v>8221</v>
      </c>
      <c r="I342" s="3" t="s">
        <v>2340</v>
      </c>
      <c r="J342" s="1" t="s">
        <v>2345</v>
      </c>
      <c r="K342" s="1" t="s">
        <v>2952</v>
      </c>
      <c r="L342" s="1" t="s">
        <v>2350</v>
      </c>
      <c r="O342" s="1" t="s">
        <v>42</v>
      </c>
      <c r="Q342" s="1" t="s">
        <v>2346</v>
      </c>
      <c r="R342" s="1" t="s">
        <v>2353</v>
      </c>
      <c r="S342" s="1" t="s">
        <v>2354</v>
      </c>
      <c r="T342" s="49">
        <v>44424489.799999997</v>
      </c>
      <c r="U342" s="20">
        <v>932824.49</v>
      </c>
      <c r="V342" s="20">
        <v>0</v>
      </c>
      <c r="W342" s="20">
        <v>753110.2</v>
      </c>
      <c r="X342" s="20">
        <v>14349028.57</v>
      </c>
      <c r="Y342" s="20">
        <v>20875648.98</v>
      </c>
      <c r="Z342" s="20">
        <v>0</v>
      </c>
      <c r="AA342" s="20">
        <v>0</v>
      </c>
      <c r="AB342" s="20">
        <v>0</v>
      </c>
      <c r="AC342" s="20">
        <v>0</v>
      </c>
      <c r="AD342" s="20">
        <v>0</v>
      </c>
      <c r="AE342" s="20">
        <v>0</v>
      </c>
      <c r="AF342" s="20">
        <v>0</v>
      </c>
      <c r="AG342" s="51">
        <f t="shared" si="18"/>
        <v>7513877.5599999949</v>
      </c>
      <c r="AH342" s="20">
        <v>0</v>
      </c>
      <c r="AI342" s="20">
        <v>0</v>
      </c>
      <c r="AJ342" s="20">
        <v>0</v>
      </c>
      <c r="AK342" s="20">
        <f t="shared" si="16"/>
        <v>0</v>
      </c>
      <c r="AL342" s="26">
        <f t="shared" si="17"/>
        <v>0</v>
      </c>
    </row>
    <row r="343" spans="1:38" x14ac:dyDescent="0.3">
      <c r="A343" s="1">
        <v>334</v>
      </c>
      <c r="B343" s="1" t="s">
        <v>114</v>
      </c>
      <c r="C343" s="1" t="s">
        <v>2347</v>
      </c>
      <c r="D343" s="1" t="s">
        <v>2344</v>
      </c>
      <c r="E343" s="1" t="s">
        <v>95</v>
      </c>
      <c r="F343" s="1" t="s">
        <v>2348</v>
      </c>
      <c r="H343" s="1">
        <v>28861</v>
      </c>
      <c r="I343" s="3" t="s">
        <v>2340</v>
      </c>
      <c r="J343" s="1" t="s">
        <v>2345</v>
      </c>
      <c r="K343" s="1" t="s">
        <v>2953</v>
      </c>
      <c r="L343" s="1" t="s">
        <v>2350</v>
      </c>
      <c r="O343" s="1" t="s">
        <v>42</v>
      </c>
      <c r="Q343" s="1" t="s">
        <v>2346</v>
      </c>
      <c r="R343" s="1" t="s">
        <v>2353</v>
      </c>
      <c r="S343" s="1" t="s">
        <v>2354</v>
      </c>
      <c r="T343" s="49">
        <v>44424489.799999997</v>
      </c>
      <c r="U343" s="20">
        <v>932824.49</v>
      </c>
      <c r="V343" s="20">
        <v>0</v>
      </c>
      <c r="W343" s="20">
        <v>753110.2</v>
      </c>
      <c r="X343" s="20">
        <v>14349028.57</v>
      </c>
      <c r="Y343" s="20">
        <v>20875648.98</v>
      </c>
      <c r="Z343" s="20">
        <v>0</v>
      </c>
      <c r="AA343" s="20">
        <v>0</v>
      </c>
      <c r="AB343" s="20">
        <v>0</v>
      </c>
      <c r="AC343" s="20">
        <v>0</v>
      </c>
      <c r="AD343" s="20">
        <v>0</v>
      </c>
      <c r="AE343" s="20">
        <v>0</v>
      </c>
      <c r="AF343" s="20">
        <v>0</v>
      </c>
      <c r="AG343" s="51">
        <f t="shared" si="18"/>
        <v>7513877.5599999949</v>
      </c>
      <c r="AH343" s="20">
        <v>0</v>
      </c>
      <c r="AI343" s="20">
        <v>0</v>
      </c>
      <c r="AJ343" s="20">
        <v>0</v>
      </c>
      <c r="AK343" s="20">
        <f t="shared" si="16"/>
        <v>0</v>
      </c>
      <c r="AL343" s="26">
        <f t="shared" si="17"/>
        <v>0</v>
      </c>
    </row>
    <row r="344" spans="1:38" x14ac:dyDescent="0.3">
      <c r="A344" s="1">
        <v>335</v>
      </c>
      <c r="B344" s="1" t="s">
        <v>114</v>
      </c>
      <c r="C344" s="1" t="s">
        <v>2347</v>
      </c>
      <c r="D344" s="1" t="s">
        <v>2344</v>
      </c>
      <c r="E344" s="1" t="s">
        <v>95</v>
      </c>
      <c r="F344" s="1" t="s">
        <v>2348</v>
      </c>
      <c r="H344" s="1">
        <v>28774</v>
      </c>
      <c r="I344" s="3" t="s">
        <v>2340</v>
      </c>
      <c r="J344" s="1" t="s">
        <v>2345</v>
      </c>
      <c r="K344" s="1" t="s">
        <v>2954</v>
      </c>
      <c r="L344" s="1" t="s">
        <v>2350</v>
      </c>
      <c r="O344" s="1" t="s">
        <v>42</v>
      </c>
      <c r="Q344" s="1" t="s">
        <v>2346</v>
      </c>
      <c r="R344" s="1" t="s">
        <v>2353</v>
      </c>
      <c r="S344" s="1" t="s">
        <v>2354</v>
      </c>
      <c r="T344" s="49">
        <v>44424489.799999997</v>
      </c>
      <c r="U344" s="20">
        <v>932824.49</v>
      </c>
      <c r="V344" s="20">
        <v>0</v>
      </c>
      <c r="W344" s="20">
        <v>753110.2</v>
      </c>
      <c r="X344" s="20">
        <v>14349028.57</v>
      </c>
      <c r="Y344" s="20">
        <v>20875648.98</v>
      </c>
      <c r="Z344" s="20">
        <v>0</v>
      </c>
      <c r="AA344" s="20">
        <v>0</v>
      </c>
      <c r="AB344" s="20">
        <v>0</v>
      </c>
      <c r="AC344" s="20">
        <v>0</v>
      </c>
      <c r="AD344" s="20">
        <v>0</v>
      </c>
      <c r="AE344" s="20">
        <v>0</v>
      </c>
      <c r="AF344" s="20">
        <v>0</v>
      </c>
      <c r="AG344" s="51">
        <f t="shared" si="18"/>
        <v>7513877.5599999949</v>
      </c>
      <c r="AH344" s="20">
        <v>0</v>
      </c>
      <c r="AI344" s="20">
        <v>0</v>
      </c>
      <c r="AJ344" s="20">
        <v>0</v>
      </c>
      <c r="AK344" s="20">
        <f t="shared" si="16"/>
        <v>0</v>
      </c>
      <c r="AL344" s="26">
        <f t="shared" si="17"/>
        <v>0</v>
      </c>
    </row>
    <row r="345" spans="1:38" x14ac:dyDescent="0.3">
      <c r="A345" s="1">
        <v>336</v>
      </c>
      <c r="B345" s="1" t="s">
        <v>114</v>
      </c>
      <c r="C345" s="1" t="s">
        <v>2347</v>
      </c>
      <c r="D345" s="1" t="s">
        <v>2344</v>
      </c>
      <c r="E345" s="1" t="s">
        <v>95</v>
      </c>
      <c r="F345" s="1" t="s">
        <v>2348</v>
      </c>
      <c r="H345" s="1">
        <v>29848</v>
      </c>
      <c r="I345" s="3" t="s">
        <v>2340</v>
      </c>
      <c r="J345" s="1" t="s">
        <v>2345</v>
      </c>
      <c r="K345" s="1" t="s">
        <v>2955</v>
      </c>
      <c r="L345" s="1" t="s">
        <v>2350</v>
      </c>
      <c r="O345" s="1" t="s">
        <v>42</v>
      </c>
      <c r="Q345" s="1" t="s">
        <v>2346</v>
      </c>
      <c r="R345" s="1" t="s">
        <v>2353</v>
      </c>
      <c r="S345" s="1" t="s">
        <v>2354</v>
      </c>
      <c r="T345" s="49">
        <v>44424489.799999997</v>
      </c>
      <c r="U345" s="20">
        <v>932824.49</v>
      </c>
      <c r="V345" s="20">
        <v>0</v>
      </c>
      <c r="W345" s="20">
        <v>753110.2</v>
      </c>
      <c r="X345" s="20">
        <v>14349028.57</v>
      </c>
      <c r="Y345" s="20">
        <v>20875648.98</v>
      </c>
      <c r="Z345" s="20">
        <v>0</v>
      </c>
      <c r="AA345" s="20">
        <v>0</v>
      </c>
      <c r="AB345" s="20">
        <v>0</v>
      </c>
      <c r="AC345" s="20">
        <v>0</v>
      </c>
      <c r="AD345" s="20">
        <v>0</v>
      </c>
      <c r="AE345" s="20">
        <v>0</v>
      </c>
      <c r="AF345" s="20">
        <v>0</v>
      </c>
      <c r="AG345" s="51">
        <f t="shared" si="18"/>
        <v>7513877.5599999949</v>
      </c>
      <c r="AH345" s="20">
        <v>0</v>
      </c>
      <c r="AI345" s="20">
        <v>0</v>
      </c>
      <c r="AJ345" s="20">
        <v>0</v>
      </c>
      <c r="AK345" s="20">
        <f t="shared" si="16"/>
        <v>0</v>
      </c>
      <c r="AL345" s="26">
        <f t="shared" si="17"/>
        <v>0</v>
      </c>
    </row>
    <row r="346" spans="1:38" x14ac:dyDescent="0.3">
      <c r="A346" s="1">
        <v>337</v>
      </c>
      <c r="B346" s="1" t="s">
        <v>114</v>
      </c>
      <c r="C346" s="1" t="s">
        <v>2347</v>
      </c>
      <c r="D346" s="1" t="s">
        <v>2344</v>
      </c>
      <c r="E346" s="1" t="s">
        <v>95</v>
      </c>
      <c r="F346" s="1" t="s">
        <v>2348</v>
      </c>
      <c r="I346" s="3" t="s">
        <v>2340</v>
      </c>
      <c r="J346" s="1" t="s">
        <v>2345</v>
      </c>
      <c r="K346" s="1" t="s">
        <v>2956</v>
      </c>
      <c r="L346" s="1" t="s">
        <v>2350</v>
      </c>
      <c r="O346" s="1" t="s">
        <v>42</v>
      </c>
      <c r="Q346" s="1" t="s">
        <v>2346</v>
      </c>
      <c r="R346" s="1" t="s">
        <v>2353</v>
      </c>
      <c r="S346" s="1" t="s">
        <v>2354</v>
      </c>
      <c r="T346" s="49">
        <v>44424489.799999997</v>
      </c>
      <c r="U346" s="20">
        <v>932824.49</v>
      </c>
      <c r="V346" s="20">
        <v>0</v>
      </c>
      <c r="W346" s="20">
        <v>753110.2</v>
      </c>
      <c r="X346" s="20">
        <v>14349028.57</v>
      </c>
      <c r="Y346" s="20">
        <v>20875648.98</v>
      </c>
      <c r="Z346" s="20">
        <v>0</v>
      </c>
      <c r="AA346" s="20">
        <v>0</v>
      </c>
      <c r="AB346" s="20">
        <v>0</v>
      </c>
      <c r="AC346" s="20">
        <v>0</v>
      </c>
      <c r="AD346" s="20">
        <v>0</v>
      </c>
      <c r="AE346" s="20">
        <v>0</v>
      </c>
      <c r="AF346" s="20">
        <v>0</v>
      </c>
      <c r="AG346" s="51">
        <f t="shared" si="18"/>
        <v>7513877.5599999949</v>
      </c>
      <c r="AH346" s="20">
        <v>0</v>
      </c>
      <c r="AI346" s="20">
        <v>0</v>
      </c>
      <c r="AJ346" s="20">
        <v>0</v>
      </c>
      <c r="AK346" s="20">
        <f t="shared" si="16"/>
        <v>0</v>
      </c>
      <c r="AL346" s="26">
        <f t="shared" si="17"/>
        <v>0</v>
      </c>
    </row>
    <row r="347" spans="1:38" x14ac:dyDescent="0.3">
      <c r="A347" s="1">
        <v>338</v>
      </c>
      <c r="B347" s="1" t="s">
        <v>114</v>
      </c>
      <c r="C347" s="1" t="s">
        <v>2347</v>
      </c>
      <c r="D347" s="1" t="s">
        <v>2344</v>
      </c>
      <c r="E347" s="1" t="s">
        <v>95</v>
      </c>
      <c r="F347" s="1" t="s">
        <v>2348</v>
      </c>
      <c r="H347" s="1">
        <v>28572</v>
      </c>
      <c r="I347" s="3" t="s">
        <v>2340</v>
      </c>
      <c r="J347" s="1" t="s">
        <v>2345</v>
      </c>
      <c r="K347" s="1" t="s">
        <v>2957</v>
      </c>
      <c r="L347" s="1" t="s">
        <v>2350</v>
      </c>
      <c r="O347" s="1" t="s">
        <v>42</v>
      </c>
      <c r="Q347" s="1" t="s">
        <v>2346</v>
      </c>
      <c r="R347" s="1" t="s">
        <v>2353</v>
      </c>
      <c r="S347" s="1" t="s">
        <v>2354</v>
      </c>
      <c r="T347" s="49">
        <v>44424489.799999997</v>
      </c>
      <c r="U347" s="20">
        <v>932824.49</v>
      </c>
      <c r="V347" s="20">
        <v>0</v>
      </c>
      <c r="W347" s="20">
        <v>753110.2</v>
      </c>
      <c r="X347" s="20">
        <v>14349028.57</v>
      </c>
      <c r="Y347" s="20">
        <v>20875648.98</v>
      </c>
      <c r="Z347" s="20">
        <v>0</v>
      </c>
      <c r="AA347" s="20">
        <v>0</v>
      </c>
      <c r="AB347" s="20">
        <v>0</v>
      </c>
      <c r="AC347" s="20">
        <v>0</v>
      </c>
      <c r="AD347" s="20">
        <v>0</v>
      </c>
      <c r="AE347" s="20">
        <v>0</v>
      </c>
      <c r="AF347" s="20">
        <v>0</v>
      </c>
      <c r="AG347" s="51">
        <f t="shared" si="18"/>
        <v>7513877.5599999949</v>
      </c>
      <c r="AH347" s="20">
        <v>0</v>
      </c>
      <c r="AI347" s="20">
        <v>0</v>
      </c>
      <c r="AJ347" s="20">
        <v>0</v>
      </c>
      <c r="AK347" s="20">
        <f t="shared" si="16"/>
        <v>0</v>
      </c>
      <c r="AL347" s="26">
        <f t="shared" si="17"/>
        <v>0</v>
      </c>
    </row>
    <row r="348" spans="1:38" x14ac:dyDescent="0.3">
      <c r="A348" s="1">
        <v>339</v>
      </c>
      <c r="B348" s="1" t="s">
        <v>114</v>
      </c>
      <c r="C348" s="1" t="s">
        <v>2347</v>
      </c>
      <c r="D348" s="1" t="s">
        <v>2344</v>
      </c>
      <c r="E348" s="1" t="s">
        <v>95</v>
      </c>
      <c r="F348" s="1" t="s">
        <v>2348</v>
      </c>
      <c r="I348" s="3" t="s">
        <v>2340</v>
      </c>
      <c r="J348" s="1" t="s">
        <v>2345</v>
      </c>
      <c r="K348" s="1" t="s">
        <v>2958</v>
      </c>
      <c r="L348" s="1" t="s">
        <v>2350</v>
      </c>
      <c r="O348" s="1" t="s">
        <v>42</v>
      </c>
      <c r="Q348" s="1" t="s">
        <v>2346</v>
      </c>
      <c r="R348" s="1" t="s">
        <v>2353</v>
      </c>
      <c r="S348" s="1" t="s">
        <v>2354</v>
      </c>
      <c r="T348" s="49">
        <v>44424489.799999997</v>
      </c>
      <c r="U348" s="20">
        <v>932824.49</v>
      </c>
      <c r="V348" s="20">
        <v>0</v>
      </c>
      <c r="W348" s="20">
        <v>753110.2</v>
      </c>
      <c r="X348" s="20">
        <v>14349028.57</v>
      </c>
      <c r="Y348" s="20">
        <v>20875648.98</v>
      </c>
      <c r="Z348" s="20">
        <v>0</v>
      </c>
      <c r="AA348" s="20">
        <v>0</v>
      </c>
      <c r="AB348" s="20">
        <v>0</v>
      </c>
      <c r="AC348" s="20">
        <v>0</v>
      </c>
      <c r="AD348" s="20">
        <v>0</v>
      </c>
      <c r="AE348" s="20">
        <v>0</v>
      </c>
      <c r="AF348" s="20">
        <v>0</v>
      </c>
      <c r="AG348" s="51">
        <f t="shared" si="18"/>
        <v>7513877.5599999949</v>
      </c>
      <c r="AH348" s="20">
        <v>0</v>
      </c>
      <c r="AI348" s="20">
        <v>0</v>
      </c>
      <c r="AJ348" s="20">
        <v>0</v>
      </c>
      <c r="AK348" s="20">
        <f t="shared" si="16"/>
        <v>0</v>
      </c>
      <c r="AL348" s="26">
        <f t="shared" si="17"/>
        <v>0</v>
      </c>
    </row>
    <row r="349" spans="1:38" x14ac:dyDescent="0.3">
      <c r="A349" s="1">
        <v>340</v>
      </c>
      <c r="B349" s="1" t="s">
        <v>114</v>
      </c>
      <c r="C349" s="1" t="s">
        <v>2347</v>
      </c>
      <c r="D349" s="1" t="s">
        <v>2344</v>
      </c>
      <c r="E349" s="1" t="s">
        <v>95</v>
      </c>
      <c r="F349" s="1" t="s">
        <v>2348</v>
      </c>
      <c r="H349" s="1">
        <v>30016</v>
      </c>
      <c r="I349" s="3" t="s">
        <v>2340</v>
      </c>
      <c r="J349" s="1" t="s">
        <v>2345</v>
      </c>
      <c r="K349" s="1" t="s">
        <v>2959</v>
      </c>
      <c r="L349" s="1" t="s">
        <v>2350</v>
      </c>
      <c r="O349" s="1" t="s">
        <v>42</v>
      </c>
      <c r="Q349" s="1" t="s">
        <v>2346</v>
      </c>
      <c r="R349" s="1" t="s">
        <v>2353</v>
      </c>
      <c r="S349" s="1" t="s">
        <v>2354</v>
      </c>
      <c r="T349" s="49">
        <v>44424489.799999997</v>
      </c>
      <c r="U349" s="20">
        <v>932824.49</v>
      </c>
      <c r="V349" s="20">
        <v>0</v>
      </c>
      <c r="W349" s="20">
        <v>753110.2</v>
      </c>
      <c r="X349" s="20">
        <v>14349028.57</v>
      </c>
      <c r="Y349" s="20">
        <v>20875648.98</v>
      </c>
      <c r="Z349" s="20">
        <v>0</v>
      </c>
      <c r="AA349" s="20">
        <v>0</v>
      </c>
      <c r="AB349" s="20">
        <v>0</v>
      </c>
      <c r="AC349" s="20">
        <v>0</v>
      </c>
      <c r="AD349" s="20">
        <v>0</v>
      </c>
      <c r="AE349" s="20">
        <v>0</v>
      </c>
      <c r="AF349" s="20">
        <v>0</v>
      </c>
      <c r="AG349" s="51">
        <f t="shared" si="18"/>
        <v>7513877.5599999949</v>
      </c>
      <c r="AH349" s="20">
        <v>0</v>
      </c>
      <c r="AI349" s="20">
        <v>0</v>
      </c>
      <c r="AJ349" s="20">
        <v>0</v>
      </c>
      <c r="AK349" s="20">
        <f t="shared" si="16"/>
        <v>0</v>
      </c>
      <c r="AL349" s="26">
        <f t="shared" si="17"/>
        <v>0</v>
      </c>
    </row>
    <row r="350" spans="1:38" x14ac:dyDescent="0.3">
      <c r="A350" s="1">
        <v>341</v>
      </c>
      <c r="B350" s="1" t="s">
        <v>114</v>
      </c>
      <c r="C350" s="1" t="s">
        <v>2347</v>
      </c>
      <c r="D350" s="1" t="s">
        <v>2344</v>
      </c>
      <c r="E350" s="1" t="s">
        <v>95</v>
      </c>
      <c r="F350" s="1" t="s">
        <v>2348</v>
      </c>
      <c r="H350" s="1">
        <v>7155</v>
      </c>
      <c r="I350" s="3" t="s">
        <v>2340</v>
      </c>
      <c r="J350" s="1" t="s">
        <v>2345</v>
      </c>
      <c r="K350" s="1" t="s">
        <v>2960</v>
      </c>
      <c r="L350" s="1" t="s">
        <v>2350</v>
      </c>
      <c r="O350" s="1" t="s">
        <v>42</v>
      </c>
      <c r="Q350" s="1" t="s">
        <v>2346</v>
      </c>
      <c r="R350" s="1" t="s">
        <v>2353</v>
      </c>
      <c r="S350" s="1" t="s">
        <v>2354</v>
      </c>
      <c r="T350" s="49">
        <v>44424489.799999997</v>
      </c>
      <c r="U350" s="20">
        <v>932824.49</v>
      </c>
      <c r="V350" s="20">
        <v>0</v>
      </c>
      <c r="W350" s="20">
        <v>753110.2</v>
      </c>
      <c r="X350" s="20">
        <v>14349028.57</v>
      </c>
      <c r="Y350" s="20">
        <v>20875648.98</v>
      </c>
      <c r="Z350" s="20">
        <v>0</v>
      </c>
      <c r="AA350" s="20">
        <v>0</v>
      </c>
      <c r="AB350" s="20">
        <v>0</v>
      </c>
      <c r="AC350" s="20">
        <v>0</v>
      </c>
      <c r="AD350" s="20">
        <v>0</v>
      </c>
      <c r="AE350" s="20">
        <v>0</v>
      </c>
      <c r="AF350" s="20">
        <v>0</v>
      </c>
      <c r="AG350" s="51">
        <f t="shared" si="18"/>
        <v>7513877.5599999949</v>
      </c>
      <c r="AH350" s="20">
        <v>0</v>
      </c>
      <c r="AI350" s="20">
        <v>0</v>
      </c>
      <c r="AJ350" s="20">
        <v>0</v>
      </c>
      <c r="AK350" s="20">
        <f t="shared" si="16"/>
        <v>0</v>
      </c>
      <c r="AL350" s="26">
        <f t="shared" si="17"/>
        <v>0</v>
      </c>
    </row>
    <row r="351" spans="1:38" x14ac:dyDescent="0.3">
      <c r="A351" s="1">
        <v>342</v>
      </c>
      <c r="B351" s="1" t="s">
        <v>114</v>
      </c>
      <c r="C351" s="1" t="s">
        <v>2347</v>
      </c>
      <c r="D351" s="1" t="s">
        <v>2344</v>
      </c>
      <c r="E351" s="1" t="s">
        <v>95</v>
      </c>
      <c r="F351" s="1" t="s">
        <v>2348</v>
      </c>
      <c r="H351" s="1">
        <v>15003</v>
      </c>
      <c r="I351" s="3" t="s">
        <v>2340</v>
      </c>
      <c r="J351" s="1" t="s">
        <v>2345</v>
      </c>
      <c r="K351" s="1" t="s">
        <v>2961</v>
      </c>
      <c r="L351" s="1" t="s">
        <v>2350</v>
      </c>
      <c r="O351" s="1" t="s">
        <v>42</v>
      </c>
      <c r="Q351" s="1" t="s">
        <v>2346</v>
      </c>
      <c r="R351" s="1" t="s">
        <v>2353</v>
      </c>
      <c r="S351" s="1" t="s">
        <v>2354</v>
      </c>
      <c r="T351" s="49">
        <v>44424489.799999997</v>
      </c>
      <c r="U351" s="20">
        <v>932824.49</v>
      </c>
      <c r="V351" s="20">
        <v>0</v>
      </c>
      <c r="W351" s="20">
        <v>753110.2</v>
      </c>
      <c r="X351" s="20">
        <v>14349028.57</v>
      </c>
      <c r="Y351" s="20">
        <v>20875648.98</v>
      </c>
      <c r="Z351" s="20">
        <v>0</v>
      </c>
      <c r="AA351" s="20">
        <v>0</v>
      </c>
      <c r="AB351" s="20">
        <v>0</v>
      </c>
      <c r="AC351" s="20">
        <v>0</v>
      </c>
      <c r="AD351" s="20">
        <v>0</v>
      </c>
      <c r="AE351" s="20">
        <v>0</v>
      </c>
      <c r="AF351" s="20">
        <v>0</v>
      </c>
      <c r="AG351" s="51">
        <f t="shared" si="18"/>
        <v>7513877.5599999949</v>
      </c>
      <c r="AH351" s="20">
        <v>0</v>
      </c>
      <c r="AI351" s="20">
        <v>0</v>
      </c>
      <c r="AJ351" s="20">
        <v>0</v>
      </c>
      <c r="AK351" s="20">
        <f t="shared" si="16"/>
        <v>0</v>
      </c>
      <c r="AL351" s="26">
        <f t="shared" si="17"/>
        <v>0</v>
      </c>
    </row>
    <row r="352" spans="1:38" x14ac:dyDescent="0.3">
      <c r="A352" s="1">
        <v>343</v>
      </c>
      <c r="B352" s="1" t="s">
        <v>114</v>
      </c>
      <c r="C352" s="1" t="s">
        <v>2347</v>
      </c>
      <c r="D352" s="1" t="s">
        <v>2344</v>
      </c>
      <c r="E352" s="1" t="s">
        <v>95</v>
      </c>
      <c r="F352" s="1" t="s">
        <v>2348</v>
      </c>
      <c r="H352" s="1" t="s">
        <v>2962</v>
      </c>
      <c r="I352" s="3" t="s">
        <v>2340</v>
      </c>
      <c r="J352" s="1" t="s">
        <v>2345</v>
      </c>
      <c r="K352" s="1" t="s">
        <v>2963</v>
      </c>
      <c r="L352" s="1" t="s">
        <v>2350</v>
      </c>
      <c r="O352" s="1" t="s">
        <v>42</v>
      </c>
      <c r="Q352" s="1" t="s">
        <v>2346</v>
      </c>
      <c r="R352" s="1" t="s">
        <v>2353</v>
      </c>
      <c r="S352" s="1" t="s">
        <v>2354</v>
      </c>
      <c r="T352" s="49">
        <v>44424489.799999997</v>
      </c>
      <c r="U352" s="20">
        <v>932824.49</v>
      </c>
      <c r="V352" s="20">
        <v>0</v>
      </c>
      <c r="W352" s="20">
        <v>753110.2</v>
      </c>
      <c r="X352" s="20">
        <v>14349028.57</v>
      </c>
      <c r="Y352" s="20">
        <v>20875648.98</v>
      </c>
      <c r="Z352" s="20">
        <v>0</v>
      </c>
      <c r="AA352" s="20">
        <v>0</v>
      </c>
      <c r="AB352" s="20">
        <v>0</v>
      </c>
      <c r="AC352" s="20">
        <v>0</v>
      </c>
      <c r="AD352" s="20">
        <v>0</v>
      </c>
      <c r="AE352" s="20">
        <v>0</v>
      </c>
      <c r="AF352" s="20">
        <v>0</v>
      </c>
      <c r="AG352" s="51">
        <f t="shared" si="18"/>
        <v>7513877.5599999949</v>
      </c>
      <c r="AH352" s="20">
        <v>0</v>
      </c>
      <c r="AI352" s="20">
        <v>0</v>
      </c>
      <c r="AJ352" s="20">
        <v>0</v>
      </c>
      <c r="AK352" s="20">
        <f t="shared" si="16"/>
        <v>0</v>
      </c>
      <c r="AL352" s="26">
        <f t="shared" si="17"/>
        <v>0</v>
      </c>
    </row>
    <row r="353" spans="1:38" x14ac:dyDescent="0.3">
      <c r="A353" s="1">
        <v>344</v>
      </c>
      <c r="B353" s="1" t="s">
        <v>114</v>
      </c>
      <c r="C353" s="1" t="s">
        <v>2347</v>
      </c>
      <c r="D353" s="1" t="s">
        <v>2344</v>
      </c>
      <c r="E353" s="1" t="s">
        <v>95</v>
      </c>
      <c r="F353" s="1" t="s">
        <v>2348</v>
      </c>
      <c r="H353" s="1">
        <v>4754</v>
      </c>
      <c r="I353" s="3" t="s">
        <v>2340</v>
      </c>
      <c r="J353" s="1" t="s">
        <v>2345</v>
      </c>
      <c r="K353" s="1" t="s">
        <v>2964</v>
      </c>
      <c r="L353" s="1" t="s">
        <v>2350</v>
      </c>
      <c r="O353" s="1" t="s">
        <v>42</v>
      </c>
      <c r="Q353" s="1" t="s">
        <v>2346</v>
      </c>
      <c r="R353" s="1" t="s">
        <v>2353</v>
      </c>
      <c r="S353" s="1" t="s">
        <v>2354</v>
      </c>
      <c r="T353" s="49">
        <v>44424489.799999997</v>
      </c>
      <c r="U353" s="20">
        <v>932824.49</v>
      </c>
      <c r="V353" s="20">
        <v>0</v>
      </c>
      <c r="W353" s="20">
        <v>753110.2</v>
      </c>
      <c r="X353" s="20">
        <f>14349028.57+2188343.19</f>
        <v>16537371.76</v>
      </c>
      <c r="Y353" s="20">
        <v>20875648.98</v>
      </c>
      <c r="Z353" s="20">
        <v>0</v>
      </c>
      <c r="AA353" s="20">
        <v>0</v>
      </c>
      <c r="AB353" s="20">
        <v>0</v>
      </c>
      <c r="AC353" s="20">
        <v>0</v>
      </c>
      <c r="AD353" s="20">
        <v>0</v>
      </c>
      <c r="AE353" s="20">
        <v>0</v>
      </c>
      <c r="AF353" s="20">
        <v>0</v>
      </c>
      <c r="AG353" s="51">
        <f t="shared" si="18"/>
        <v>5325534.3699999973</v>
      </c>
      <c r="AH353" s="20">
        <v>0</v>
      </c>
      <c r="AI353" s="20">
        <v>0</v>
      </c>
      <c r="AJ353" s="20">
        <v>0</v>
      </c>
      <c r="AK353" s="20">
        <f t="shared" si="16"/>
        <v>0</v>
      </c>
      <c r="AL353" s="26">
        <f t="shared" si="17"/>
        <v>0</v>
      </c>
    </row>
    <row r="354" spans="1:38" x14ac:dyDescent="0.3">
      <c r="A354" s="1">
        <v>345</v>
      </c>
      <c r="B354" s="1" t="s">
        <v>114</v>
      </c>
      <c r="C354" s="1" t="s">
        <v>2347</v>
      </c>
      <c r="D354" s="1" t="s">
        <v>2344</v>
      </c>
      <c r="E354" s="1" t="s">
        <v>95</v>
      </c>
      <c r="F354" s="1" t="s">
        <v>2348</v>
      </c>
      <c r="H354" s="1">
        <v>6560</v>
      </c>
      <c r="I354" s="3" t="s">
        <v>2340</v>
      </c>
      <c r="J354" s="1" t="s">
        <v>2345</v>
      </c>
      <c r="K354" s="1" t="s">
        <v>2965</v>
      </c>
      <c r="L354" s="1" t="s">
        <v>2350</v>
      </c>
      <c r="O354" s="1" t="s">
        <v>42</v>
      </c>
      <c r="Q354" s="1" t="s">
        <v>2346</v>
      </c>
      <c r="R354" s="1" t="s">
        <v>2353</v>
      </c>
      <c r="S354" s="1" t="s">
        <v>2354</v>
      </c>
      <c r="T354" s="49">
        <v>44424489.799999997</v>
      </c>
      <c r="U354" s="20">
        <v>932824.49</v>
      </c>
      <c r="V354" s="20">
        <v>0</v>
      </c>
      <c r="W354" s="20">
        <v>753110.2</v>
      </c>
      <c r="X354" s="20">
        <v>24349028.57</v>
      </c>
      <c r="Y354" s="20">
        <v>10875648.98</v>
      </c>
      <c r="Z354" s="20">
        <v>0</v>
      </c>
      <c r="AA354" s="20">
        <v>0</v>
      </c>
      <c r="AB354" s="20">
        <v>0</v>
      </c>
      <c r="AC354" s="20">
        <v>0</v>
      </c>
      <c r="AD354" s="20">
        <v>0</v>
      </c>
      <c r="AE354" s="20">
        <v>0</v>
      </c>
      <c r="AF354" s="20">
        <v>0</v>
      </c>
      <c r="AG354" s="51">
        <f t="shared" si="18"/>
        <v>7513877.5599999949</v>
      </c>
      <c r="AH354" s="20">
        <v>0</v>
      </c>
      <c r="AI354" s="20">
        <v>0</v>
      </c>
      <c r="AJ354" s="20">
        <v>0</v>
      </c>
      <c r="AK354" s="20">
        <f t="shared" si="16"/>
        <v>0</v>
      </c>
      <c r="AL354" s="26">
        <f t="shared" si="17"/>
        <v>0</v>
      </c>
    </row>
    <row r="355" spans="1:38" x14ac:dyDescent="0.3">
      <c r="A355" s="1">
        <v>346</v>
      </c>
      <c r="B355" s="1" t="s">
        <v>114</v>
      </c>
      <c r="C355" s="1" t="s">
        <v>2347</v>
      </c>
      <c r="D355" s="1" t="s">
        <v>2344</v>
      </c>
      <c r="E355" s="1" t="s">
        <v>95</v>
      </c>
      <c r="F355" s="1" t="s">
        <v>2348</v>
      </c>
      <c r="H355" s="1">
        <v>6776</v>
      </c>
      <c r="I355" s="3" t="s">
        <v>2340</v>
      </c>
      <c r="J355" s="1" t="s">
        <v>2345</v>
      </c>
      <c r="K355" s="1" t="s">
        <v>2966</v>
      </c>
      <c r="L355" s="1" t="s">
        <v>2350</v>
      </c>
      <c r="O355" s="1" t="s">
        <v>42</v>
      </c>
      <c r="Q355" s="1" t="s">
        <v>2346</v>
      </c>
      <c r="R355" s="1" t="s">
        <v>2353</v>
      </c>
      <c r="S355" s="1" t="s">
        <v>2354</v>
      </c>
      <c r="T355" s="49">
        <v>44424489.799999997</v>
      </c>
      <c r="U355" s="20">
        <v>932824.49</v>
      </c>
      <c r="V355" s="20">
        <v>0</v>
      </c>
      <c r="W355" s="20">
        <v>753110.2</v>
      </c>
      <c r="X355" s="20">
        <v>24349028.57</v>
      </c>
      <c r="Y355" s="20">
        <v>10875648.98</v>
      </c>
      <c r="Z355" s="20">
        <v>0</v>
      </c>
      <c r="AA355" s="20">
        <v>0</v>
      </c>
      <c r="AB355" s="20">
        <v>0</v>
      </c>
      <c r="AC355" s="20">
        <v>0</v>
      </c>
      <c r="AD355" s="20">
        <v>0</v>
      </c>
      <c r="AE355" s="20">
        <v>0</v>
      </c>
      <c r="AF355" s="20">
        <v>0</v>
      </c>
      <c r="AG355" s="51">
        <f t="shared" si="18"/>
        <v>7513877.5599999949</v>
      </c>
      <c r="AH355" s="20">
        <v>0</v>
      </c>
      <c r="AI355" s="20">
        <v>0</v>
      </c>
      <c r="AJ355" s="20">
        <v>0</v>
      </c>
      <c r="AK355" s="20">
        <f t="shared" si="16"/>
        <v>0</v>
      </c>
      <c r="AL355" s="26">
        <f t="shared" si="17"/>
        <v>0</v>
      </c>
    </row>
    <row r="356" spans="1:38" x14ac:dyDescent="0.3">
      <c r="A356" s="1">
        <v>347</v>
      </c>
      <c r="B356" s="1" t="s">
        <v>114</v>
      </c>
      <c r="C356" s="1" t="s">
        <v>2347</v>
      </c>
      <c r="D356" s="1" t="s">
        <v>2344</v>
      </c>
      <c r="E356" s="1" t="s">
        <v>95</v>
      </c>
      <c r="F356" s="1" t="s">
        <v>2348</v>
      </c>
      <c r="H356" s="1">
        <v>30126</v>
      </c>
      <c r="I356" s="3" t="s">
        <v>2340</v>
      </c>
      <c r="J356" s="1" t="s">
        <v>2345</v>
      </c>
      <c r="K356" s="1" t="s">
        <v>2967</v>
      </c>
      <c r="L356" s="1" t="s">
        <v>2350</v>
      </c>
      <c r="O356" s="1" t="s">
        <v>42</v>
      </c>
      <c r="Q356" s="1" t="s">
        <v>2346</v>
      </c>
      <c r="R356" s="1" t="s">
        <v>2353</v>
      </c>
      <c r="S356" s="1" t="s">
        <v>2354</v>
      </c>
      <c r="T356" s="49">
        <v>44424489.799999997</v>
      </c>
      <c r="U356" s="20">
        <v>932824.49</v>
      </c>
      <c r="V356" s="20">
        <v>0</v>
      </c>
      <c r="W356" s="20">
        <v>753110.2</v>
      </c>
      <c r="X356" s="20">
        <v>24349028.57</v>
      </c>
      <c r="Y356" s="20">
        <v>10875648.98</v>
      </c>
      <c r="Z356" s="20">
        <v>0</v>
      </c>
      <c r="AA356" s="20">
        <v>0</v>
      </c>
      <c r="AB356" s="20">
        <v>0</v>
      </c>
      <c r="AC356" s="20">
        <v>0</v>
      </c>
      <c r="AD356" s="20">
        <v>0</v>
      </c>
      <c r="AE356" s="20">
        <v>0</v>
      </c>
      <c r="AF356" s="20">
        <v>0</v>
      </c>
      <c r="AG356" s="51">
        <f t="shared" si="18"/>
        <v>7513877.5599999949</v>
      </c>
      <c r="AH356" s="20">
        <v>0</v>
      </c>
      <c r="AI356" s="20">
        <v>0</v>
      </c>
      <c r="AJ356" s="20">
        <v>0</v>
      </c>
      <c r="AK356" s="20">
        <f t="shared" si="16"/>
        <v>0</v>
      </c>
      <c r="AL356" s="26">
        <f t="shared" si="17"/>
        <v>0</v>
      </c>
    </row>
    <row r="357" spans="1:38" x14ac:dyDescent="0.3">
      <c r="A357" s="1">
        <v>348</v>
      </c>
      <c r="B357" s="1" t="s">
        <v>114</v>
      </c>
      <c r="C357" s="1" t="s">
        <v>2347</v>
      </c>
      <c r="D357" s="1" t="s">
        <v>2344</v>
      </c>
      <c r="E357" s="1" t="s">
        <v>95</v>
      </c>
      <c r="F357" s="1" t="s">
        <v>2348</v>
      </c>
      <c r="H357" s="1">
        <v>4752</v>
      </c>
      <c r="I357" s="3" t="s">
        <v>2340</v>
      </c>
      <c r="J357" s="1" t="s">
        <v>2345</v>
      </c>
      <c r="K357" s="1" t="s">
        <v>2968</v>
      </c>
      <c r="L357" s="1" t="s">
        <v>2350</v>
      </c>
      <c r="O357" s="1" t="s">
        <v>42</v>
      </c>
      <c r="Q357" s="1" t="s">
        <v>2346</v>
      </c>
      <c r="R357" s="1" t="s">
        <v>2353</v>
      </c>
      <c r="S357" s="1" t="s">
        <v>2354</v>
      </c>
      <c r="T357" s="49">
        <v>44424489.799999997</v>
      </c>
      <c r="U357" s="20">
        <v>932824.49</v>
      </c>
      <c r="V357" s="20">
        <v>0</v>
      </c>
      <c r="W357" s="20">
        <v>753110.2</v>
      </c>
      <c r="X357" s="20">
        <v>24349028.57</v>
      </c>
      <c r="Y357" s="20">
        <v>10875648.98</v>
      </c>
      <c r="Z357" s="20">
        <v>0</v>
      </c>
      <c r="AA357" s="20">
        <v>0</v>
      </c>
      <c r="AB357" s="20">
        <v>0</v>
      </c>
      <c r="AC357" s="20">
        <v>0</v>
      </c>
      <c r="AD357" s="20">
        <v>0</v>
      </c>
      <c r="AE357" s="20">
        <v>0</v>
      </c>
      <c r="AF357" s="20">
        <v>0</v>
      </c>
      <c r="AG357" s="51">
        <f t="shared" si="18"/>
        <v>7513877.5599999949</v>
      </c>
      <c r="AH357" s="20">
        <v>0</v>
      </c>
      <c r="AI357" s="20">
        <v>0</v>
      </c>
      <c r="AJ357" s="20">
        <v>0</v>
      </c>
      <c r="AK357" s="20">
        <f t="shared" si="16"/>
        <v>0</v>
      </c>
      <c r="AL357" s="26">
        <f t="shared" si="17"/>
        <v>0</v>
      </c>
    </row>
    <row r="358" spans="1:38" x14ac:dyDescent="0.3">
      <c r="A358" s="1">
        <v>349</v>
      </c>
      <c r="B358" s="1" t="s">
        <v>114</v>
      </c>
      <c r="C358" s="1" t="s">
        <v>2347</v>
      </c>
      <c r="D358" s="1" t="s">
        <v>2344</v>
      </c>
      <c r="E358" s="1" t="s">
        <v>95</v>
      </c>
      <c r="F358" s="1" t="s">
        <v>2348</v>
      </c>
      <c r="H358" s="1">
        <v>8913</v>
      </c>
      <c r="I358" s="3" t="s">
        <v>2340</v>
      </c>
      <c r="J358" s="1" t="s">
        <v>2345</v>
      </c>
      <c r="K358" s="1" t="s">
        <v>2969</v>
      </c>
      <c r="L358" s="1" t="s">
        <v>2350</v>
      </c>
      <c r="O358" s="1" t="s">
        <v>42</v>
      </c>
      <c r="Q358" s="1" t="s">
        <v>2346</v>
      </c>
      <c r="R358" s="1" t="s">
        <v>2353</v>
      </c>
      <c r="S358" s="1" t="s">
        <v>2354</v>
      </c>
      <c r="T358" s="49">
        <v>44424489.799999997</v>
      </c>
      <c r="U358" s="20">
        <v>932824.49</v>
      </c>
      <c r="V358" s="20">
        <v>0</v>
      </c>
      <c r="W358" s="20">
        <v>753110.2</v>
      </c>
      <c r="X358" s="20">
        <v>24349028.57</v>
      </c>
      <c r="Y358" s="20">
        <v>10875648.98</v>
      </c>
      <c r="Z358" s="20">
        <v>0</v>
      </c>
      <c r="AA358" s="20">
        <v>0</v>
      </c>
      <c r="AB358" s="20">
        <v>0</v>
      </c>
      <c r="AC358" s="20">
        <v>0</v>
      </c>
      <c r="AD358" s="20">
        <v>0</v>
      </c>
      <c r="AE358" s="20">
        <v>0</v>
      </c>
      <c r="AF358" s="20">
        <v>0</v>
      </c>
      <c r="AG358" s="51">
        <f t="shared" si="18"/>
        <v>7513877.5599999949</v>
      </c>
      <c r="AH358" s="20">
        <v>0</v>
      </c>
      <c r="AI358" s="20">
        <v>0</v>
      </c>
      <c r="AJ358" s="20">
        <v>0</v>
      </c>
      <c r="AK358" s="20">
        <f t="shared" si="16"/>
        <v>0</v>
      </c>
      <c r="AL358" s="26">
        <f t="shared" si="17"/>
        <v>0</v>
      </c>
    </row>
    <row r="359" spans="1:38" x14ac:dyDescent="0.3">
      <c r="A359" s="1">
        <v>350</v>
      </c>
      <c r="B359" s="1" t="s">
        <v>114</v>
      </c>
      <c r="C359" s="1" t="s">
        <v>2347</v>
      </c>
      <c r="D359" s="1" t="s">
        <v>2344</v>
      </c>
      <c r="E359" s="1" t="s">
        <v>95</v>
      </c>
      <c r="F359" s="1" t="s">
        <v>2348</v>
      </c>
      <c r="H359" s="1">
        <v>6749</v>
      </c>
      <c r="I359" s="3" t="s">
        <v>2340</v>
      </c>
      <c r="J359" s="1" t="s">
        <v>2345</v>
      </c>
      <c r="K359" s="1" t="s">
        <v>2970</v>
      </c>
      <c r="L359" s="1" t="s">
        <v>2350</v>
      </c>
      <c r="O359" s="1" t="s">
        <v>42</v>
      </c>
      <c r="Q359" s="1" t="s">
        <v>2346</v>
      </c>
      <c r="R359" s="1" t="s">
        <v>2353</v>
      </c>
      <c r="S359" s="1" t="s">
        <v>2354</v>
      </c>
      <c r="T359" s="49">
        <v>44424489.799999997</v>
      </c>
      <c r="U359" s="20">
        <v>932824.49</v>
      </c>
      <c r="V359" s="20">
        <v>0</v>
      </c>
      <c r="W359" s="20">
        <v>753110.2</v>
      </c>
      <c r="X359" s="20">
        <v>24349028.57</v>
      </c>
      <c r="Y359" s="20">
        <v>10875648.98</v>
      </c>
      <c r="Z359" s="20">
        <v>0</v>
      </c>
      <c r="AA359" s="20">
        <v>0</v>
      </c>
      <c r="AB359" s="20">
        <v>0</v>
      </c>
      <c r="AC359" s="20">
        <v>0</v>
      </c>
      <c r="AD359" s="20">
        <v>0</v>
      </c>
      <c r="AE359" s="20">
        <v>0</v>
      </c>
      <c r="AF359" s="20">
        <v>0</v>
      </c>
      <c r="AG359" s="51">
        <f t="shared" si="18"/>
        <v>7513877.5599999949</v>
      </c>
      <c r="AH359" s="20">
        <v>0</v>
      </c>
      <c r="AI359" s="20">
        <v>0</v>
      </c>
      <c r="AJ359" s="20">
        <v>0</v>
      </c>
      <c r="AK359" s="20">
        <f t="shared" si="16"/>
        <v>0</v>
      </c>
      <c r="AL359" s="26">
        <f t="shared" si="17"/>
        <v>0</v>
      </c>
    </row>
    <row r="360" spans="1:38" x14ac:dyDescent="0.3">
      <c r="A360" s="1">
        <v>351</v>
      </c>
      <c r="B360" s="1" t="s">
        <v>114</v>
      </c>
      <c r="C360" s="1" t="s">
        <v>2347</v>
      </c>
      <c r="D360" s="1" t="s">
        <v>2344</v>
      </c>
      <c r="E360" s="1" t="s">
        <v>95</v>
      </c>
      <c r="F360" s="1" t="s">
        <v>2348</v>
      </c>
      <c r="H360" s="1">
        <v>4382</v>
      </c>
      <c r="I360" s="3" t="s">
        <v>2340</v>
      </c>
      <c r="J360" s="1" t="s">
        <v>2345</v>
      </c>
      <c r="K360" s="1" t="s">
        <v>2971</v>
      </c>
      <c r="L360" s="1" t="s">
        <v>2350</v>
      </c>
      <c r="O360" s="1" t="s">
        <v>42</v>
      </c>
      <c r="Q360" s="1" t="s">
        <v>2346</v>
      </c>
      <c r="R360" s="1" t="s">
        <v>2353</v>
      </c>
      <c r="S360" s="1" t="s">
        <v>2354</v>
      </c>
      <c r="T360" s="49">
        <v>44424489.799999997</v>
      </c>
      <c r="U360" s="20">
        <v>932824.49</v>
      </c>
      <c r="V360" s="20">
        <v>0</v>
      </c>
      <c r="W360" s="20">
        <v>753110.2</v>
      </c>
      <c r="X360" s="20">
        <v>24349028.57</v>
      </c>
      <c r="Y360" s="20">
        <v>10875648.98</v>
      </c>
      <c r="Z360" s="20">
        <v>0</v>
      </c>
      <c r="AA360" s="20">
        <v>0</v>
      </c>
      <c r="AB360" s="20">
        <v>0</v>
      </c>
      <c r="AC360" s="20">
        <v>0</v>
      </c>
      <c r="AD360" s="20">
        <v>0</v>
      </c>
      <c r="AE360" s="20">
        <v>0</v>
      </c>
      <c r="AF360" s="20">
        <v>0</v>
      </c>
      <c r="AG360" s="51">
        <f t="shared" si="18"/>
        <v>7513877.5599999949</v>
      </c>
      <c r="AH360" s="20">
        <v>0</v>
      </c>
      <c r="AI360" s="20">
        <v>0</v>
      </c>
      <c r="AJ360" s="20">
        <v>0</v>
      </c>
      <c r="AK360" s="20">
        <f t="shared" si="16"/>
        <v>0</v>
      </c>
      <c r="AL360" s="26">
        <f t="shared" si="17"/>
        <v>0</v>
      </c>
    </row>
    <row r="361" spans="1:38" x14ac:dyDescent="0.3">
      <c r="A361" s="1">
        <v>352</v>
      </c>
      <c r="B361" s="1" t="s">
        <v>114</v>
      </c>
      <c r="C361" s="1" t="s">
        <v>2347</v>
      </c>
      <c r="D361" s="1" t="s">
        <v>2344</v>
      </c>
      <c r="E361" s="1" t="s">
        <v>95</v>
      </c>
      <c r="F361" s="1" t="s">
        <v>2348</v>
      </c>
      <c r="H361" s="1">
        <v>6388</v>
      </c>
      <c r="I361" s="3" t="s">
        <v>2340</v>
      </c>
      <c r="J361" s="1" t="s">
        <v>2345</v>
      </c>
      <c r="K361" s="1" t="s">
        <v>2972</v>
      </c>
      <c r="L361" s="1" t="s">
        <v>2350</v>
      </c>
      <c r="O361" s="1" t="s">
        <v>42</v>
      </c>
      <c r="Q361" s="1" t="s">
        <v>2346</v>
      </c>
      <c r="R361" s="1" t="s">
        <v>2353</v>
      </c>
      <c r="S361" s="1" t="s">
        <v>2354</v>
      </c>
      <c r="T361" s="49">
        <v>44424489.799999997</v>
      </c>
      <c r="U361" s="20">
        <v>932824.49</v>
      </c>
      <c r="V361" s="20">
        <v>0</v>
      </c>
      <c r="W361" s="20">
        <v>753110.2</v>
      </c>
      <c r="X361" s="20">
        <v>24349028.57</v>
      </c>
      <c r="Y361" s="20">
        <v>10875648.98</v>
      </c>
      <c r="Z361" s="20">
        <v>0</v>
      </c>
      <c r="AA361" s="20">
        <v>0</v>
      </c>
      <c r="AB361" s="20">
        <v>0</v>
      </c>
      <c r="AC361" s="20">
        <v>0</v>
      </c>
      <c r="AD361" s="20">
        <v>0</v>
      </c>
      <c r="AE361" s="20">
        <v>0</v>
      </c>
      <c r="AF361" s="20">
        <v>0</v>
      </c>
      <c r="AG361" s="51">
        <f t="shared" si="18"/>
        <v>7513877.5599999949</v>
      </c>
      <c r="AH361" s="20">
        <v>0</v>
      </c>
      <c r="AI361" s="20">
        <v>0</v>
      </c>
      <c r="AJ361" s="20">
        <v>0</v>
      </c>
      <c r="AK361" s="20">
        <f t="shared" si="16"/>
        <v>0</v>
      </c>
      <c r="AL361" s="26">
        <f t="shared" si="17"/>
        <v>0</v>
      </c>
    </row>
    <row r="362" spans="1:38" x14ac:dyDescent="0.3">
      <c r="A362" s="1">
        <v>353</v>
      </c>
      <c r="B362" s="1" t="s">
        <v>114</v>
      </c>
      <c r="C362" s="1" t="s">
        <v>2347</v>
      </c>
      <c r="D362" s="1" t="s">
        <v>2344</v>
      </c>
      <c r="E362" s="1" t="s">
        <v>95</v>
      </c>
      <c r="F362" s="1" t="s">
        <v>2348</v>
      </c>
      <c r="H362" s="1">
        <v>6818</v>
      </c>
      <c r="I362" s="3" t="s">
        <v>2340</v>
      </c>
      <c r="J362" s="1" t="s">
        <v>2345</v>
      </c>
      <c r="K362" s="1" t="s">
        <v>2973</v>
      </c>
      <c r="L362" s="1" t="s">
        <v>2350</v>
      </c>
      <c r="O362" s="1" t="s">
        <v>42</v>
      </c>
      <c r="Q362" s="1" t="s">
        <v>2346</v>
      </c>
      <c r="R362" s="1" t="s">
        <v>2353</v>
      </c>
      <c r="S362" s="1" t="s">
        <v>2354</v>
      </c>
      <c r="T362" s="49">
        <v>44424489.799999997</v>
      </c>
      <c r="U362" s="20">
        <v>932824.49</v>
      </c>
      <c r="V362" s="20">
        <v>0</v>
      </c>
      <c r="W362" s="20">
        <v>753110.2</v>
      </c>
      <c r="X362" s="20">
        <v>24349028.57</v>
      </c>
      <c r="Y362" s="20">
        <v>10875648.98</v>
      </c>
      <c r="Z362" s="20">
        <v>0</v>
      </c>
      <c r="AA362" s="20">
        <v>0</v>
      </c>
      <c r="AB362" s="20">
        <v>0</v>
      </c>
      <c r="AC362" s="20">
        <v>0</v>
      </c>
      <c r="AD362" s="20">
        <v>0</v>
      </c>
      <c r="AE362" s="20">
        <v>0</v>
      </c>
      <c r="AF362" s="20">
        <v>0</v>
      </c>
      <c r="AG362" s="51">
        <f t="shared" si="18"/>
        <v>7513877.5599999949</v>
      </c>
      <c r="AH362" s="20">
        <v>0</v>
      </c>
      <c r="AI362" s="20">
        <v>0</v>
      </c>
      <c r="AJ362" s="20">
        <v>0</v>
      </c>
      <c r="AK362" s="20">
        <f t="shared" si="16"/>
        <v>0</v>
      </c>
      <c r="AL362" s="26">
        <f t="shared" si="17"/>
        <v>0</v>
      </c>
    </row>
    <row r="363" spans="1:38" x14ac:dyDescent="0.3">
      <c r="A363" s="1">
        <v>354</v>
      </c>
      <c r="B363" s="1" t="s">
        <v>114</v>
      </c>
      <c r="C363" s="1" t="s">
        <v>2347</v>
      </c>
      <c r="D363" s="1" t="s">
        <v>2344</v>
      </c>
      <c r="E363" s="1" t="s">
        <v>95</v>
      </c>
      <c r="F363" s="1" t="s">
        <v>2348</v>
      </c>
      <c r="H363" s="1">
        <v>6257</v>
      </c>
      <c r="I363" s="3" t="s">
        <v>2340</v>
      </c>
      <c r="J363" s="1" t="s">
        <v>2345</v>
      </c>
      <c r="K363" s="1" t="s">
        <v>2974</v>
      </c>
      <c r="L363" s="1" t="s">
        <v>2350</v>
      </c>
      <c r="O363" s="1" t="s">
        <v>42</v>
      </c>
      <c r="Q363" s="1" t="s">
        <v>2346</v>
      </c>
      <c r="R363" s="1" t="s">
        <v>2353</v>
      </c>
      <c r="S363" s="1" t="s">
        <v>2354</v>
      </c>
      <c r="T363" s="49">
        <v>44424489.799999997</v>
      </c>
      <c r="U363" s="20">
        <v>932824.49</v>
      </c>
      <c r="V363" s="20">
        <v>0</v>
      </c>
      <c r="W363" s="20">
        <v>753110.2</v>
      </c>
      <c r="X363" s="20">
        <v>24349028.57</v>
      </c>
      <c r="Y363" s="20">
        <v>10875648.98</v>
      </c>
      <c r="Z363" s="20">
        <v>0</v>
      </c>
      <c r="AA363" s="20">
        <v>0</v>
      </c>
      <c r="AB363" s="20">
        <v>0</v>
      </c>
      <c r="AC363" s="20">
        <v>0</v>
      </c>
      <c r="AD363" s="20">
        <v>0</v>
      </c>
      <c r="AE363" s="20">
        <v>0</v>
      </c>
      <c r="AF363" s="20">
        <v>0</v>
      </c>
      <c r="AG363" s="51">
        <f t="shared" si="18"/>
        <v>7513877.5599999949</v>
      </c>
      <c r="AH363" s="20">
        <v>0</v>
      </c>
      <c r="AI363" s="20">
        <v>0</v>
      </c>
      <c r="AJ363" s="20">
        <v>0</v>
      </c>
      <c r="AK363" s="20">
        <f t="shared" si="16"/>
        <v>0</v>
      </c>
      <c r="AL363" s="26">
        <f t="shared" si="17"/>
        <v>0</v>
      </c>
    </row>
    <row r="364" spans="1:38" x14ac:dyDescent="0.3">
      <c r="A364" s="1">
        <v>355</v>
      </c>
      <c r="B364" s="1" t="s">
        <v>114</v>
      </c>
      <c r="C364" s="1" t="s">
        <v>2347</v>
      </c>
      <c r="D364" s="1" t="s">
        <v>2344</v>
      </c>
      <c r="E364" s="1" t="s">
        <v>95</v>
      </c>
      <c r="F364" s="1" t="s">
        <v>2348</v>
      </c>
      <c r="H364" s="1">
        <v>6256</v>
      </c>
      <c r="I364" s="3" t="s">
        <v>2340</v>
      </c>
      <c r="J364" s="1" t="s">
        <v>2345</v>
      </c>
      <c r="K364" s="1" t="s">
        <v>2975</v>
      </c>
      <c r="L364" s="1" t="s">
        <v>2350</v>
      </c>
      <c r="O364" s="1" t="s">
        <v>42</v>
      </c>
      <c r="Q364" s="1" t="s">
        <v>2346</v>
      </c>
      <c r="R364" s="1" t="s">
        <v>2353</v>
      </c>
      <c r="S364" s="1" t="s">
        <v>2354</v>
      </c>
      <c r="T364" s="49">
        <v>44424489.799999997</v>
      </c>
      <c r="U364" s="20">
        <v>932824.49</v>
      </c>
      <c r="V364" s="20">
        <v>0</v>
      </c>
      <c r="W364" s="20">
        <v>753110.2</v>
      </c>
      <c r="X364" s="20">
        <v>24349028.57</v>
      </c>
      <c r="Y364" s="20">
        <v>10875648.98</v>
      </c>
      <c r="Z364" s="20">
        <v>0</v>
      </c>
      <c r="AA364" s="20">
        <v>0</v>
      </c>
      <c r="AB364" s="20">
        <v>0</v>
      </c>
      <c r="AC364" s="20">
        <v>0</v>
      </c>
      <c r="AD364" s="20">
        <v>0</v>
      </c>
      <c r="AE364" s="20">
        <v>0</v>
      </c>
      <c r="AF364" s="20">
        <v>0</v>
      </c>
      <c r="AG364" s="51">
        <f t="shared" si="18"/>
        <v>7513877.5599999949</v>
      </c>
      <c r="AH364" s="20">
        <v>0</v>
      </c>
      <c r="AI364" s="20">
        <v>0</v>
      </c>
      <c r="AJ364" s="20">
        <v>0</v>
      </c>
      <c r="AK364" s="20">
        <f t="shared" si="16"/>
        <v>0</v>
      </c>
      <c r="AL364" s="26">
        <f t="shared" si="17"/>
        <v>0</v>
      </c>
    </row>
    <row r="365" spans="1:38" x14ac:dyDescent="0.3">
      <c r="A365" s="1">
        <v>356</v>
      </c>
      <c r="B365" s="1" t="s">
        <v>114</v>
      </c>
      <c r="C365" s="1" t="s">
        <v>2347</v>
      </c>
      <c r="D365" s="1" t="s">
        <v>2344</v>
      </c>
      <c r="E365" s="1" t="s">
        <v>95</v>
      </c>
      <c r="F365" s="1" t="s">
        <v>2348</v>
      </c>
      <c r="H365" s="1">
        <v>6741</v>
      </c>
      <c r="I365" s="3" t="s">
        <v>2340</v>
      </c>
      <c r="J365" s="1" t="s">
        <v>2345</v>
      </c>
      <c r="K365" s="1" t="s">
        <v>2976</v>
      </c>
      <c r="L365" s="1" t="s">
        <v>2350</v>
      </c>
      <c r="O365" s="1" t="s">
        <v>42</v>
      </c>
      <c r="Q365" s="1" t="s">
        <v>2346</v>
      </c>
      <c r="R365" s="1" t="s">
        <v>2353</v>
      </c>
      <c r="S365" s="1" t="s">
        <v>2354</v>
      </c>
      <c r="T365" s="49">
        <v>44424489.799999997</v>
      </c>
      <c r="U365" s="20">
        <v>932824.49</v>
      </c>
      <c r="V365" s="20">
        <v>0</v>
      </c>
      <c r="W365" s="20">
        <v>753110.2</v>
      </c>
      <c r="X365" s="20">
        <v>24349028.57</v>
      </c>
      <c r="Y365" s="20">
        <v>10875648.98</v>
      </c>
      <c r="Z365" s="20">
        <v>0</v>
      </c>
      <c r="AA365" s="20">
        <v>0</v>
      </c>
      <c r="AB365" s="20">
        <v>0</v>
      </c>
      <c r="AC365" s="20">
        <v>0</v>
      </c>
      <c r="AD365" s="20">
        <v>0</v>
      </c>
      <c r="AE365" s="20">
        <v>0</v>
      </c>
      <c r="AF365" s="20">
        <v>0</v>
      </c>
      <c r="AG365" s="51">
        <f t="shared" si="18"/>
        <v>7513877.5599999949</v>
      </c>
      <c r="AH365" s="20">
        <v>0</v>
      </c>
      <c r="AI365" s="20">
        <v>0</v>
      </c>
      <c r="AJ365" s="20">
        <v>0</v>
      </c>
      <c r="AK365" s="20">
        <f t="shared" si="16"/>
        <v>0</v>
      </c>
      <c r="AL365" s="26">
        <f t="shared" si="17"/>
        <v>0</v>
      </c>
    </row>
    <row r="366" spans="1:38" x14ac:dyDescent="0.3">
      <c r="A366" s="1">
        <v>357</v>
      </c>
      <c r="B366" s="1" t="s">
        <v>114</v>
      </c>
      <c r="C366" s="1" t="s">
        <v>2347</v>
      </c>
      <c r="D366" s="1" t="s">
        <v>2344</v>
      </c>
      <c r="E366" s="1" t="s">
        <v>95</v>
      </c>
      <c r="F366" s="1" t="s">
        <v>2348</v>
      </c>
      <c r="H366" s="1">
        <v>8108</v>
      </c>
      <c r="I366" s="3" t="s">
        <v>2340</v>
      </c>
      <c r="J366" s="1" t="s">
        <v>2345</v>
      </c>
      <c r="K366" s="1" t="s">
        <v>2977</v>
      </c>
      <c r="L366" s="1" t="s">
        <v>2350</v>
      </c>
      <c r="O366" s="1" t="s">
        <v>42</v>
      </c>
      <c r="Q366" s="1" t="s">
        <v>2346</v>
      </c>
      <c r="R366" s="1" t="s">
        <v>2353</v>
      </c>
      <c r="S366" s="1" t="s">
        <v>2354</v>
      </c>
      <c r="T366" s="49">
        <v>44424489.799999997</v>
      </c>
      <c r="U366" s="20">
        <v>932824.49</v>
      </c>
      <c r="V366" s="20">
        <v>0</v>
      </c>
      <c r="W366" s="20">
        <v>753110.2</v>
      </c>
      <c r="X366" s="20">
        <v>24349028.57</v>
      </c>
      <c r="Y366" s="20">
        <v>10875648.98</v>
      </c>
      <c r="Z366" s="20">
        <v>0</v>
      </c>
      <c r="AA366" s="20">
        <v>0</v>
      </c>
      <c r="AB366" s="20">
        <v>0</v>
      </c>
      <c r="AC366" s="20">
        <v>0</v>
      </c>
      <c r="AD366" s="20">
        <v>0</v>
      </c>
      <c r="AE366" s="20">
        <v>0</v>
      </c>
      <c r="AF366" s="20">
        <v>0</v>
      </c>
      <c r="AG366" s="51">
        <f t="shared" si="18"/>
        <v>7513877.5599999949</v>
      </c>
      <c r="AH366" s="20">
        <v>0</v>
      </c>
      <c r="AI366" s="20">
        <v>0</v>
      </c>
      <c r="AJ366" s="20">
        <v>0</v>
      </c>
      <c r="AK366" s="20">
        <f t="shared" si="16"/>
        <v>0</v>
      </c>
      <c r="AL366" s="26">
        <f t="shared" si="17"/>
        <v>0</v>
      </c>
    </row>
    <row r="367" spans="1:38" x14ac:dyDescent="0.3">
      <c r="A367" s="1">
        <v>358</v>
      </c>
      <c r="B367" s="1" t="s">
        <v>114</v>
      </c>
      <c r="C367" s="1" t="s">
        <v>2347</v>
      </c>
      <c r="D367" s="1" t="s">
        <v>2344</v>
      </c>
      <c r="E367" s="1" t="s">
        <v>95</v>
      </c>
      <c r="F367" s="1" t="s">
        <v>2348</v>
      </c>
      <c r="H367" s="1">
        <v>4395</v>
      </c>
      <c r="I367" s="3" t="s">
        <v>2340</v>
      </c>
      <c r="J367" s="1" t="s">
        <v>2345</v>
      </c>
      <c r="K367" s="1" t="s">
        <v>2978</v>
      </c>
      <c r="L367" s="1" t="s">
        <v>2350</v>
      </c>
      <c r="O367" s="1" t="s">
        <v>42</v>
      </c>
      <c r="Q367" s="1" t="s">
        <v>2346</v>
      </c>
      <c r="R367" s="1" t="s">
        <v>2353</v>
      </c>
      <c r="S367" s="1" t="s">
        <v>2354</v>
      </c>
      <c r="T367" s="49">
        <v>44424489.799999997</v>
      </c>
      <c r="U367" s="20">
        <v>932824.49</v>
      </c>
      <c r="V367" s="20">
        <v>0</v>
      </c>
      <c r="W367" s="20">
        <v>753110.2</v>
      </c>
      <c r="X367" s="20">
        <v>24349028.57</v>
      </c>
      <c r="Y367" s="20">
        <v>10875648.98</v>
      </c>
      <c r="Z367" s="20">
        <v>0</v>
      </c>
      <c r="AA367" s="20">
        <v>0</v>
      </c>
      <c r="AB367" s="20">
        <v>0</v>
      </c>
      <c r="AC367" s="20">
        <v>0</v>
      </c>
      <c r="AD367" s="20">
        <v>0</v>
      </c>
      <c r="AE367" s="20">
        <v>0</v>
      </c>
      <c r="AF367" s="20">
        <v>0</v>
      </c>
      <c r="AG367" s="51">
        <f t="shared" si="18"/>
        <v>7513877.5599999949</v>
      </c>
      <c r="AH367" s="20">
        <v>0</v>
      </c>
      <c r="AI367" s="20">
        <v>0</v>
      </c>
      <c r="AJ367" s="20">
        <v>0</v>
      </c>
      <c r="AK367" s="20">
        <f t="shared" si="16"/>
        <v>0</v>
      </c>
      <c r="AL367" s="26">
        <f t="shared" si="17"/>
        <v>0</v>
      </c>
    </row>
    <row r="368" spans="1:38" x14ac:dyDescent="0.3">
      <c r="A368" s="1">
        <v>359</v>
      </c>
      <c r="B368" s="1" t="s">
        <v>114</v>
      </c>
      <c r="C368" s="1" t="s">
        <v>2347</v>
      </c>
      <c r="D368" s="1" t="s">
        <v>2344</v>
      </c>
      <c r="E368" s="1" t="s">
        <v>95</v>
      </c>
      <c r="F368" s="1" t="s">
        <v>2348</v>
      </c>
      <c r="H368" s="1">
        <v>6732</v>
      </c>
      <c r="I368" s="3" t="s">
        <v>2340</v>
      </c>
      <c r="J368" s="1" t="s">
        <v>2345</v>
      </c>
      <c r="K368" s="1" t="s">
        <v>2979</v>
      </c>
      <c r="L368" s="1" t="s">
        <v>2350</v>
      </c>
      <c r="O368" s="1" t="s">
        <v>42</v>
      </c>
      <c r="Q368" s="1" t="s">
        <v>2346</v>
      </c>
      <c r="R368" s="1" t="s">
        <v>2353</v>
      </c>
      <c r="S368" s="1" t="s">
        <v>2354</v>
      </c>
      <c r="T368" s="49">
        <v>44424489.799999997</v>
      </c>
      <c r="U368" s="20">
        <v>932824.49</v>
      </c>
      <c r="V368" s="20">
        <v>0</v>
      </c>
      <c r="W368" s="20">
        <v>753110.2</v>
      </c>
      <c r="X368" s="20">
        <v>24349028.57</v>
      </c>
      <c r="Y368" s="20">
        <v>10875648.98</v>
      </c>
      <c r="Z368" s="20">
        <v>0</v>
      </c>
      <c r="AA368" s="20">
        <v>0</v>
      </c>
      <c r="AB368" s="20">
        <v>0</v>
      </c>
      <c r="AC368" s="20">
        <v>0</v>
      </c>
      <c r="AD368" s="20">
        <v>0</v>
      </c>
      <c r="AE368" s="20">
        <v>0</v>
      </c>
      <c r="AF368" s="20">
        <v>0</v>
      </c>
      <c r="AG368" s="51">
        <f t="shared" si="18"/>
        <v>7513877.5599999949</v>
      </c>
      <c r="AH368" s="20">
        <v>0</v>
      </c>
      <c r="AI368" s="20">
        <v>0</v>
      </c>
      <c r="AJ368" s="20">
        <v>0</v>
      </c>
      <c r="AK368" s="20">
        <f t="shared" si="16"/>
        <v>0</v>
      </c>
      <c r="AL368" s="26">
        <f t="shared" si="17"/>
        <v>0</v>
      </c>
    </row>
    <row r="369" spans="1:39" x14ac:dyDescent="0.3">
      <c r="A369" s="1">
        <v>360</v>
      </c>
      <c r="B369" s="1" t="s">
        <v>114</v>
      </c>
      <c r="C369" s="1" t="s">
        <v>2347</v>
      </c>
      <c r="D369" s="1" t="s">
        <v>2344</v>
      </c>
      <c r="E369" s="1" t="s">
        <v>95</v>
      </c>
      <c r="F369" s="1" t="s">
        <v>2348</v>
      </c>
      <c r="H369" s="1">
        <v>6966</v>
      </c>
      <c r="I369" s="3" t="s">
        <v>2340</v>
      </c>
      <c r="J369" s="1" t="s">
        <v>2345</v>
      </c>
      <c r="K369" s="1" t="s">
        <v>2980</v>
      </c>
      <c r="L369" s="1" t="s">
        <v>2350</v>
      </c>
      <c r="O369" s="1" t="s">
        <v>42</v>
      </c>
      <c r="Q369" s="1" t="s">
        <v>2346</v>
      </c>
      <c r="R369" s="1" t="s">
        <v>2353</v>
      </c>
      <c r="S369" s="1" t="s">
        <v>2354</v>
      </c>
      <c r="T369" s="49">
        <v>44424489.799999997</v>
      </c>
      <c r="U369" s="20">
        <v>932824.49</v>
      </c>
      <c r="V369" s="20">
        <v>0</v>
      </c>
      <c r="W369" s="20">
        <v>753110.2</v>
      </c>
      <c r="X369" s="20">
        <v>24349028.57</v>
      </c>
      <c r="Y369" s="20">
        <v>10875648.98</v>
      </c>
      <c r="Z369" s="20">
        <v>0</v>
      </c>
      <c r="AA369" s="20">
        <v>0</v>
      </c>
      <c r="AB369" s="20">
        <v>0</v>
      </c>
      <c r="AC369" s="20">
        <v>0</v>
      </c>
      <c r="AD369" s="20">
        <v>0</v>
      </c>
      <c r="AE369" s="20">
        <v>0</v>
      </c>
      <c r="AF369" s="20">
        <v>0</v>
      </c>
      <c r="AG369" s="51">
        <f t="shared" si="18"/>
        <v>7513877.5599999949</v>
      </c>
      <c r="AH369" s="20">
        <v>0</v>
      </c>
      <c r="AI369" s="20">
        <v>0</v>
      </c>
      <c r="AJ369" s="20">
        <v>0</v>
      </c>
      <c r="AK369" s="20">
        <f t="shared" si="16"/>
        <v>0</v>
      </c>
      <c r="AL369" s="26">
        <f t="shared" si="17"/>
        <v>0</v>
      </c>
    </row>
    <row r="370" spans="1:39" x14ac:dyDescent="0.3">
      <c r="A370" s="1">
        <v>361</v>
      </c>
      <c r="B370" s="1" t="s">
        <v>114</v>
      </c>
      <c r="C370" s="1" t="s">
        <v>2347</v>
      </c>
      <c r="D370" s="1" t="s">
        <v>2344</v>
      </c>
      <c r="E370" s="1" t="s">
        <v>95</v>
      </c>
      <c r="F370" s="1" t="s">
        <v>2348</v>
      </c>
      <c r="H370" s="1" t="s">
        <v>2981</v>
      </c>
      <c r="I370" s="3" t="s">
        <v>2340</v>
      </c>
      <c r="J370" s="1" t="s">
        <v>2345</v>
      </c>
      <c r="K370" s="1" t="s">
        <v>2982</v>
      </c>
      <c r="L370" s="1" t="s">
        <v>2983</v>
      </c>
      <c r="O370" s="1" t="s">
        <v>42</v>
      </c>
      <c r="Q370" s="1" t="s">
        <v>2346</v>
      </c>
      <c r="R370" s="1" t="s">
        <v>2353</v>
      </c>
      <c r="S370" s="1" t="s">
        <v>2354</v>
      </c>
      <c r="T370" s="49">
        <v>44424489.799999997</v>
      </c>
      <c r="U370" s="20">
        <v>932824.49</v>
      </c>
      <c r="V370" s="20">
        <v>0</v>
      </c>
      <c r="W370" s="20">
        <f>753110.2+37323.4</f>
        <v>790433.6</v>
      </c>
      <c r="X370" s="20">
        <v>24349028.57</v>
      </c>
      <c r="Y370" s="20">
        <v>10875648.98</v>
      </c>
      <c r="Z370" s="20">
        <v>0</v>
      </c>
      <c r="AA370" s="20">
        <v>0</v>
      </c>
      <c r="AB370" s="20">
        <v>0</v>
      </c>
      <c r="AC370" s="20">
        <v>0</v>
      </c>
      <c r="AD370" s="20">
        <v>0</v>
      </c>
      <c r="AE370" s="20">
        <v>0</v>
      </c>
      <c r="AF370" s="20">
        <v>0</v>
      </c>
      <c r="AG370" s="51">
        <f t="shared" si="18"/>
        <v>7476554.1599999964</v>
      </c>
      <c r="AH370" s="20">
        <v>0</v>
      </c>
      <c r="AI370" s="20">
        <v>0</v>
      </c>
      <c r="AJ370" s="20">
        <v>0</v>
      </c>
      <c r="AK370" s="20">
        <f t="shared" si="16"/>
        <v>0</v>
      </c>
      <c r="AL370" s="26">
        <f t="shared" si="17"/>
        <v>0</v>
      </c>
    </row>
    <row r="371" spans="1:39" x14ac:dyDescent="0.3">
      <c r="A371" s="1">
        <v>362</v>
      </c>
      <c r="B371" s="1" t="s">
        <v>114</v>
      </c>
      <c r="C371" s="1" t="s">
        <v>2347</v>
      </c>
      <c r="D371" s="1" t="s">
        <v>2344</v>
      </c>
      <c r="E371" s="1" t="s">
        <v>95</v>
      </c>
      <c r="F371" s="1" t="s">
        <v>2348</v>
      </c>
      <c r="H371" s="1">
        <v>9210</v>
      </c>
      <c r="I371" s="3" t="s">
        <v>2340</v>
      </c>
      <c r="J371" s="1" t="s">
        <v>2345</v>
      </c>
      <c r="K371" s="1" t="s">
        <v>2984</v>
      </c>
      <c r="L371" s="1" t="s">
        <v>2350</v>
      </c>
      <c r="O371" s="1" t="s">
        <v>42</v>
      </c>
      <c r="Q371" s="1" t="s">
        <v>2346</v>
      </c>
      <c r="R371" s="1" t="s">
        <v>2353</v>
      </c>
      <c r="S371" s="1" t="s">
        <v>2354</v>
      </c>
      <c r="T371" s="49">
        <v>44424489.799999997</v>
      </c>
      <c r="U371" s="20">
        <v>932824.49</v>
      </c>
      <c r="V371" s="20">
        <v>0</v>
      </c>
      <c r="W371" s="20">
        <v>1753110.2</v>
      </c>
      <c r="X371" s="20">
        <v>14349028.57</v>
      </c>
      <c r="Y371" s="20">
        <v>10875648.98</v>
      </c>
      <c r="Z371" s="20">
        <v>0</v>
      </c>
      <c r="AA371" s="20">
        <v>0</v>
      </c>
      <c r="AB371" s="20">
        <v>0</v>
      </c>
      <c r="AC371" s="20">
        <v>0</v>
      </c>
      <c r="AD371" s="20">
        <v>0</v>
      </c>
      <c r="AE371" s="20">
        <v>0</v>
      </c>
      <c r="AF371" s="20">
        <v>0</v>
      </c>
      <c r="AG371" s="51">
        <f t="shared" si="18"/>
        <v>16513877.559999995</v>
      </c>
      <c r="AH371" s="20">
        <v>0</v>
      </c>
      <c r="AI371" s="20">
        <v>0</v>
      </c>
      <c r="AJ371" s="20">
        <v>0</v>
      </c>
      <c r="AK371" s="20">
        <f t="shared" si="16"/>
        <v>0</v>
      </c>
      <c r="AL371" s="26">
        <f t="shared" si="17"/>
        <v>0</v>
      </c>
    </row>
    <row r="372" spans="1:39" x14ac:dyDescent="0.3">
      <c r="A372" s="1">
        <v>363</v>
      </c>
      <c r="B372" s="1" t="s">
        <v>114</v>
      </c>
      <c r="C372" s="1" t="s">
        <v>2347</v>
      </c>
      <c r="D372" s="1" t="s">
        <v>2344</v>
      </c>
      <c r="E372" s="1" t="s">
        <v>95</v>
      </c>
      <c r="F372" s="1" t="s">
        <v>2348</v>
      </c>
      <c r="H372" s="1" t="s">
        <v>2985</v>
      </c>
      <c r="I372" s="3" t="s">
        <v>2340</v>
      </c>
      <c r="J372" s="1" t="s">
        <v>2345</v>
      </c>
      <c r="K372" s="1" t="s">
        <v>2986</v>
      </c>
      <c r="L372" s="1" t="s">
        <v>2987</v>
      </c>
      <c r="O372" s="1" t="s">
        <v>42</v>
      </c>
      <c r="Q372" s="1" t="s">
        <v>2346</v>
      </c>
      <c r="R372" s="1" t="s">
        <v>2353</v>
      </c>
      <c r="S372" s="1" t="s">
        <v>2354</v>
      </c>
      <c r="T372" s="49">
        <v>44424489.799999997</v>
      </c>
      <c r="U372" s="20">
        <v>932824.49</v>
      </c>
      <c r="V372" s="20">
        <v>0</v>
      </c>
      <c r="W372" s="20">
        <v>1753110.2</v>
      </c>
      <c r="X372" s="20">
        <v>14349028.57</v>
      </c>
      <c r="Y372" s="20">
        <v>10875648.98</v>
      </c>
      <c r="Z372" s="20">
        <v>0</v>
      </c>
      <c r="AA372" s="20">
        <v>0</v>
      </c>
      <c r="AB372" s="20">
        <v>0</v>
      </c>
      <c r="AC372" s="20">
        <v>0</v>
      </c>
      <c r="AD372" s="20">
        <v>0</v>
      </c>
      <c r="AE372" s="20">
        <v>0</v>
      </c>
      <c r="AF372" s="20">
        <v>0</v>
      </c>
      <c r="AG372" s="51">
        <f t="shared" si="18"/>
        <v>16513877.559999995</v>
      </c>
      <c r="AH372" s="20">
        <v>0</v>
      </c>
      <c r="AI372" s="20">
        <v>0</v>
      </c>
      <c r="AJ372" s="20">
        <v>0</v>
      </c>
      <c r="AK372" s="20">
        <f t="shared" si="16"/>
        <v>0</v>
      </c>
      <c r="AL372" s="26">
        <f t="shared" si="17"/>
        <v>0</v>
      </c>
    </row>
    <row r="373" spans="1:39" x14ac:dyDescent="0.3">
      <c r="A373" s="1">
        <v>364</v>
      </c>
      <c r="B373" s="1" t="s">
        <v>114</v>
      </c>
      <c r="C373" s="1" t="s">
        <v>2347</v>
      </c>
      <c r="D373" s="1" t="s">
        <v>2344</v>
      </c>
      <c r="E373" s="1" t="s">
        <v>95</v>
      </c>
      <c r="F373" s="1" t="s">
        <v>2348</v>
      </c>
      <c r="H373" s="1" t="s">
        <v>2988</v>
      </c>
      <c r="I373" s="3" t="s">
        <v>2340</v>
      </c>
      <c r="J373" s="1" t="s">
        <v>2345</v>
      </c>
      <c r="K373" s="1" t="s">
        <v>2989</v>
      </c>
      <c r="L373" s="1" t="s">
        <v>2990</v>
      </c>
      <c r="O373" s="1" t="s">
        <v>42</v>
      </c>
      <c r="Q373" s="1" t="s">
        <v>2346</v>
      </c>
      <c r="R373" s="1" t="s">
        <v>2353</v>
      </c>
      <c r="S373" s="1" t="s">
        <v>2354</v>
      </c>
      <c r="T373" s="49">
        <v>44424489.799999997</v>
      </c>
      <c r="U373" s="20">
        <v>932824.49</v>
      </c>
      <c r="V373" s="20">
        <v>0</v>
      </c>
      <c r="W373" s="20">
        <v>1753110.2</v>
      </c>
      <c r="X373" s="20">
        <v>14349028.57</v>
      </c>
      <c r="Y373" s="20">
        <v>10875648.98</v>
      </c>
      <c r="Z373" s="20">
        <v>0</v>
      </c>
      <c r="AA373" s="20">
        <v>0</v>
      </c>
      <c r="AB373" s="20">
        <v>0</v>
      </c>
      <c r="AC373" s="20">
        <v>0</v>
      </c>
      <c r="AD373" s="20">
        <v>0</v>
      </c>
      <c r="AE373" s="20">
        <v>0</v>
      </c>
      <c r="AF373" s="20">
        <v>0</v>
      </c>
      <c r="AG373" s="51">
        <f t="shared" si="18"/>
        <v>16513877.559999995</v>
      </c>
      <c r="AH373" s="20">
        <v>0</v>
      </c>
      <c r="AI373" s="20">
        <v>0</v>
      </c>
      <c r="AJ373" s="20">
        <v>0</v>
      </c>
      <c r="AK373" s="20">
        <f t="shared" si="16"/>
        <v>0</v>
      </c>
      <c r="AL373" s="26">
        <f t="shared" si="17"/>
        <v>0</v>
      </c>
    </row>
    <row r="374" spans="1:39" x14ac:dyDescent="0.3">
      <c r="A374" s="1">
        <v>365</v>
      </c>
      <c r="B374" s="1" t="s">
        <v>114</v>
      </c>
      <c r="C374" s="1" t="s">
        <v>2347</v>
      </c>
      <c r="D374" s="1" t="s">
        <v>2344</v>
      </c>
      <c r="E374" s="1" t="s">
        <v>95</v>
      </c>
      <c r="F374" s="1" t="s">
        <v>2348</v>
      </c>
      <c r="H374" s="1">
        <v>8951</v>
      </c>
      <c r="I374" s="3" t="s">
        <v>2340</v>
      </c>
      <c r="J374" s="1" t="s">
        <v>2345</v>
      </c>
      <c r="K374" s="1" t="s">
        <v>2991</v>
      </c>
      <c r="L374" s="1" t="s">
        <v>2350</v>
      </c>
      <c r="O374" s="1" t="s">
        <v>42</v>
      </c>
      <c r="Q374" s="1" t="s">
        <v>2346</v>
      </c>
      <c r="R374" s="1" t="s">
        <v>2353</v>
      </c>
      <c r="S374" s="1" t="s">
        <v>2354</v>
      </c>
      <c r="T374" s="49">
        <v>44424489.799999997</v>
      </c>
      <c r="U374" s="20">
        <v>932824.49</v>
      </c>
      <c r="V374" s="20">
        <v>0</v>
      </c>
      <c r="W374" s="20">
        <v>1753110.2</v>
      </c>
      <c r="X374" s="20">
        <v>14349028.57</v>
      </c>
      <c r="Y374" s="20">
        <v>10875648.98</v>
      </c>
      <c r="Z374" s="20">
        <v>0</v>
      </c>
      <c r="AA374" s="20">
        <v>0</v>
      </c>
      <c r="AB374" s="20">
        <v>0</v>
      </c>
      <c r="AC374" s="20">
        <v>0</v>
      </c>
      <c r="AD374" s="20">
        <v>0</v>
      </c>
      <c r="AE374" s="20">
        <v>0</v>
      </c>
      <c r="AF374" s="20">
        <v>0</v>
      </c>
      <c r="AG374" s="51">
        <f t="shared" si="18"/>
        <v>16513877.559999995</v>
      </c>
      <c r="AH374" s="20">
        <v>0</v>
      </c>
      <c r="AI374" s="20">
        <v>0</v>
      </c>
      <c r="AJ374" s="20">
        <v>0</v>
      </c>
      <c r="AK374" s="20">
        <f t="shared" si="16"/>
        <v>0</v>
      </c>
      <c r="AL374" s="26">
        <f t="shared" si="17"/>
        <v>0</v>
      </c>
    </row>
    <row r="375" spans="1:39" x14ac:dyDescent="0.3">
      <c r="A375" s="1">
        <v>366</v>
      </c>
      <c r="B375" s="1" t="s">
        <v>114</v>
      </c>
      <c r="C375" s="1" t="s">
        <v>2347</v>
      </c>
      <c r="D375" s="1" t="s">
        <v>2344</v>
      </c>
      <c r="E375" s="1" t="s">
        <v>95</v>
      </c>
      <c r="F375" s="1" t="s">
        <v>2348</v>
      </c>
      <c r="H375" s="1">
        <v>6740</v>
      </c>
      <c r="I375" s="3" t="s">
        <v>2340</v>
      </c>
      <c r="J375" s="1" t="s">
        <v>2345</v>
      </c>
      <c r="K375" s="1" t="s">
        <v>2992</v>
      </c>
      <c r="L375" s="1" t="s">
        <v>2350</v>
      </c>
      <c r="O375" s="1" t="s">
        <v>42</v>
      </c>
      <c r="Q375" s="1" t="s">
        <v>2346</v>
      </c>
      <c r="R375" s="1" t="s">
        <v>2353</v>
      </c>
      <c r="S375" s="1" t="s">
        <v>2354</v>
      </c>
      <c r="T375" s="49">
        <v>44424489.799999997</v>
      </c>
      <c r="U375" s="20">
        <v>932824.49</v>
      </c>
      <c r="V375" s="20">
        <v>0</v>
      </c>
      <c r="W375" s="20">
        <v>1753110.2</v>
      </c>
      <c r="X375" s="20">
        <v>14349028.57</v>
      </c>
      <c r="Y375" s="20">
        <v>10875648.98</v>
      </c>
      <c r="Z375" s="20">
        <v>0</v>
      </c>
      <c r="AA375" s="20">
        <v>0</v>
      </c>
      <c r="AB375" s="20">
        <v>0</v>
      </c>
      <c r="AC375" s="20">
        <v>0</v>
      </c>
      <c r="AD375" s="20">
        <v>0</v>
      </c>
      <c r="AE375" s="20">
        <v>0</v>
      </c>
      <c r="AF375" s="20">
        <v>0</v>
      </c>
      <c r="AG375" s="51">
        <f t="shared" si="18"/>
        <v>16513877.559999995</v>
      </c>
      <c r="AH375" s="20">
        <v>0</v>
      </c>
      <c r="AI375" s="20">
        <v>0</v>
      </c>
      <c r="AJ375" s="20">
        <v>0</v>
      </c>
      <c r="AK375" s="20">
        <f t="shared" si="16"/>
        <v>0</v>
      </c>
      <c r="AL375" s="26">
        <f t="shared" si="17"/>
        <v>0</v>
      </c>
    </row>
    <row r="376" spans="1:39" x14ac:dyDescent="0.3">
      <c r="A376" s="1">
        <v>367</v>
      </c>
      <c r="B376" s="1" t="s">
        <v>114</v>
      </c>
      <c r="C376" s="1" t="s">
        <v>2347</v>
      </c>
      <c r="D376" s="1" t="s">
        <v>2344</v>
      </c>
      <c r="E376" s="1" t="s">
        <v>95</v>
      </c>
      <c r="F376" s="1" t="s">
        <v>2348</v>
      </c>
      <c r="H376" s="1">
        <v>6387</v>
      </c>
      <c r="I376" s="3" t="s">
        <v>2340</v>
      </c>
      <c r="J376" s="1" t="s">
        <v>2345</v>
      </c>
      <c r="K376" s="1" t="s">
        <v>2993</v>
      </c>
      <c r="L376" s="1" t="s">
        <v>2350</v>
      </c>
      <c r="O376" s="1" t="s">
        <v>42</v>
      </c>
      <c r="Q376" s="1" t="s">
        <v>2346</v>
      </c>
      <c r="R376" s="1" t="s">
        <v>2353</v>
      </c>
      <c r="S376" s="1" t="s">
        <v>2354</v>
      </c>
      <c r="T376" s="49">
        <v>44424489.799999997</v>
      </c>
      <c r="U376" s="20">
        <v>932824.49</v>
      </c>
      <c r="V376" s="20">
        <v>0</v>
      </c>
      <c r="W376" s="20">
        <v>1753110.2</v>
      </c>
      <c r="X376" s="20">
        <v>14349028.57</v>
      </c>
      <c r="Y376" s="20">
        <v>10875648.98</v>
      </c>
      <c r="Z376" s="20">
        <v>0</v>
      </c>
      <c r="AA376" s="20">
        <v>0</v>
      </c>
      <c r="AB376" s="20">
        <v>0</v>
      </c>
      <c r="AC376" s="20">
        <v>0</v>
      </c>
      <c r="AD376" s="20">
        <v>0</v>
      </c>
      <c r="AE376" s="20">
        <v>0</v>
      </c>
      <c r="AF376" s="20">
        <v>0</v>
      </c>
      <c r="AG376" s="51">
        <f t="shared" si="18"/>
        <v>16513877.559999995</v>
      </c>
      <c r="AH376" s="20">
        <v>0</v>
      </c>
      <c r="AI376" s="20">
        <v>0</v>
      </c>
      <c r="AJ376" s="20">
        <v>0</v>
      </c>
      <c r="AK376" s="20">
        <f t="shared" si="16"/>
        <v>0</v>
      </c>
      <c r="AL376" s="26">
        <f t="shared" si="17"/>
        <v>0</v>
      </c>
    </row>
    <row r="377" spans="1:39" x14ac:dyDescent="0.3">
      <c r="A377" s="1">
        <v>368</v>
      </c>
      <c r="B377" s="1" t="s">
        <v>114</v>
      </c>
      <c r="C377" s="1" t="s">
        <v>2347</v>
      </c>
      <c r="D377" s="1" t="s">
        <v>2344</v>
      </c>
      <c r="E377" s="1" t="s">
        <v>95</v>
      </c>
      <c r="F377" s="1" t="s">
        <v>2348</v>
      </c>
      <c r="H377" s="1" t="s">
        <v>2994</v>
      </c>
      <c r="I377" s="3" t="s">
        <v>2340</v>
      </c>
      <c r="J377" s="1" t="s">
        <v>2345</v>
      </c>
      <c r="K377" s="1" t="s">
        <v>2995</v>
      </c>
      <c r="L377" s="1" t="s">
        <v>2996</v>
      </c>
      <c r="O377" s="1" t="s">
        <v>42</v>
      </c>
      <c r="Q377" s="1" t="s">
        <v>2346</v>
      </c>
      <c r="R377" s="1" t="s">
        <v>2353</v>
      </c>
      <c r="S377" s="1" t="s">
        <v>2354</v>
      </c>
      <c r="T377" s="49">
        <v>44424489.799999997</v>
      </c>
      <c r="U377" s="20">
        <v>932824.49</v>
      </c>
      <c r="V377" s="20">
        <v>0</v>
      </c>
      <c r="W377" s="20">
        <v>1753110.2</v>
      </c>
      <c r="X377" s="20">
        <v>14349028.57</v>
      </c>
      <c r="Y377" s="20">
        <v>10875648.98</v>
      </c>
      <c r="Z377" s="20">
        <v>0</v>
      </c>
      <c r="AA377" s="20">
        <v>0</v>
      </c>
      <c r="AB377" s="20">
        <v>0</v>
      </c>
      <c r="AC377" s="20">
        <v>0</v>
      </c>
      <c r="AD377" s="20">
        <v>0</v>
      </c>
      <c r="AE377" s="20">
        <v>0</v>
      </c>
      <c r="AF377" s="20">
        <v>0</v>
      </c>
      <c r="AG377" s="51">
        <f t="shared" si="18"/>
        <v>16513877.559999995</v>
      </c>
      <c r="AH377" s="20">
        <v>0</v>
      </c>
      <c r="AI377" s="20">
        <v>0</v>
      </c>
      <c r="AJ377" s="20">
        <v>0</v>
      </c>
      <c r="AK377" s="20">
        <f t="shared" si="16"/>
        <v>0</v>
      </c>
      <c r="AL377" s="26">
        <f t="shared" si="17"/>
        <v>0</v>
      </c>
    </row>
    <row r="378" spans="1:39" x14ac:dyDescent="0.3">
      <c r="A378" s="1">
        <v>369</v>
      </c>
      <c r="B378" s="1" t="s">
        <v>114</v>
      </c>
      <c r="C378" s="1" t="s">
        <v>2347</v>
      </c>
      <c r="D378" s="1" t="s">
        <v>2344</v>
      </c>
      <c r="E378" s="1" t="s">
        <v>95</v>
      </c>
      <c r="F378" s="1" t="s">
        <v>2348</v>
      </c>
      <c r="H378" s="1">
        <v>8360</v>
      </c>
      <c r="I378" s="3" t="s">
        <v>2340</v>
      </c>
      <c r="J378" s="1" t="s">
        <v>2345</v>
      </c>
      <c r="K378" s="1" t="s">
        <v>2997</v>
      </c>
      <c r="L378" s="1" t="s">
        <v>2350</v>
      </c>
      <c r="O378" s="1" t="s">
        <v>42</v>
      </c>
      <c r="Q378" s="1" t="s">
        <v>2346</v>
      </c>
      <c r="R378" s="1" t="s">
        <v>2353</v>
      </c>
      <c r="S378" s="1" t="s">
        <v>2354</v>
      </c>
      <c r="T378" s="49">
        <v>53128756.019999996</v>
      </c>
      <c r="U378" s="20">
        <v>932824.49</v>
      </c>
      <c r="V378" s="20">
        <v>0</v>
      </c>
      <c r="W378" s="20">
        <v>1753110.2</v>
      </c>
      <c r="X378" s="20">
        <v>14349028.57</v>
      </c>
      <c r="Y378" s="20">
        <v>10875648.98</v>
      </c>
      <c r="Z378" s="20">
        <v>0</v>
      </c>
      <c r="AA378" s="20">
        <v>0</v>
      </c>
      <c r="AB378" s="20">
        <v>0</v>
      </c>
      <c r="AC378" s="20">
        <v>0</v>
      </c>
      <c r="AD378" s="20">
        <v>0</v>
      </c>
      <c r="AE378" s="20">
        <v>0</v>
      </c>
      <c r="AF378" s="20">
        <v>0</v>
      </c>
      <c r="AG378" s="51">
        <f t="shared" si="18"/>
        <v>25218143.779999994</v>
      </c>
      <c r="AH378" s="20">
        <v>0</v>
      </c>
      <c r="AI378" s="20">
        <v>0</v>
      </c>
      <c r="AJ378" s="20">
        <v>0</v>
      </c>
      <c r="AK378" s="20">
        <f t="shared" si="16"/>
        <v>0</v>
      </c>
      <c r="AL378" s="26">
        <f t="shared" si="17"/>
        <v>0</v>
      </c>
    </row>
    <row r="379" spans="1:39" x14ac:dyDescent="0.3">
      <c r="A379" s="1">
        <v>370</v>
      </c>
      <c r="B379" s="1" t="s">
        <v>114</v>
      </c>
      <c r="C379" s="1" t="s">
        <v>2347</v>
      </c>
      <c r="D379" s="1" t="s">
        <v>2344</v>
      </c>
      <c r="E379" s="1" t="s">
        <v>95</v>
      </c>
      <c r="F379" s="1" t="s">
        <v>2348</v>
      </c>
      <c r="H379" s="1" t="s">
        <v>2998</v>
      </c>
      <c r="I379" s="3" t="s">
        <v>2340</v>
      </c>
      <c r="J379" s="1" t="s">
        <v>2345</v>
      </c>
      <c r="K379" s="1" t="s">
        <v>2999</v>
      </c>
      <c r="L379" s="1" t="s">
        <v>3000</v>
      </c>
      <c r="O379" s="1" t="s">
        <v>42</v>
      </c>
      <c r="Q379" s="1" t="s">
        <v>2346</v>
      </c>
      <c r="R379" s="1" t="s">
        <v>2353</v>
      </c>
      <c r="S379" s="1" t="s">
        <v>2354</v>
      </c>
      <c r="T379" s="49">
        <v>84424489.799999997</v>
      </c>
      <c r="U379" s="20">
        <v>932824.49</v>
      </c>
      <c r="V379" s="20">
        <v>0</v>
      </c>
      <c r="W379" s="20">
        <v>1753110.2</v>
      </c>
      <c r="X379" s="20">
        <v>14349028.57</v>
      </c>
      <c r="Y379" s="20">
        <v>10875648.98</v>
      </c>
      <c r="Z379" s="20">
        <v>0</v>
      </c>
      <c r="AA379" s="20">
        <v>0</v>
      </c>
      <c r="AB379" s="20">
        <v>0</v>
      </c>
      <c r="AC379" s="20">
        <v>0</v>
      </c>
      <c r="AD379" s="20">
        <v>0</v>
      </c>
      <c r="AE379" s="20">
        <v>0</v>
      </c>
      <c r="AF379" s="20">
        <v>0</v>
      </c>
      <c r="AG379" s="51">
        <f t="shared" si="18"/>
        <v>56513877.559999995</v>
      </c>
      <c r="AH379" s="20">
        <v>0</v>
      </c>
      <c r="AI379" s="20">
        <v>0</v>
      </c>
      <c r="AJ379" s="20">
        <v>0</v>
      </c>
      <c r="AK379" s="20">
        <f t="shared" si="16"/>
        <v>0</v>
      </c>
      <c r="AL379" s="26">
        <f t="shared" si="17"/>
        <v>0</v>
      </c>
    </row>
    <row r="380" spans="1:39" x14ac:dyDescent="0.3">
      <c r="A380" s="1">
        <v>371</v>
      </c>
      <c r="B380" s="1" t="s">
        <v>114</v>
      </c>
      <c r="C380" s="1" t="s">
        <v>2347</v>
      </c>
      <c r="D380" s="1" t="s">
        <v>2344</v>
      </c>
      <c r="E380" s="1" t="s">
        <v>95</v>
      </c>
      <c r="F380" s="1" t="s">
        <v>2348</v>
      </c>
      <c r="H380" s="1" t="s">
        <v>3001</v>
      </c>
      <c r="I380" s="3" t="s">
        <v>2340</v>
      </c>
      <c r="J380" s="1" t="s">
        <v>2345</v>
      </c>
      <c r="K380" s="1" t="s">
        <v>3002</v>
      </c>
      <c r="L380" s="1" t="s">
        <v>3003</v>
      </c>
      <c r="O380" s="1" t="s">
        <v>42</v>
      </c>
      <c r="Q380" s="1" t="s">
        <v>2346</v>
      </c>
      <c r="R380" s="1" t="s">
        <v>2353</v>
      </c>
      <c r="S380" s="1" t="s">
        <v>2354</v>
      </c>
      <c r="T380" s="49">
        <v>84424489.799999997</v>
      </c>
      <c r="U380" s="20">
        <v>12126718.32</v>
      </c>
      <c r="V380" s="20">
        <v>0</v>
      </c>
      <c r="W380" s="20">
        <v>753110.2</v>
      </c>
      <c r="X380" s="20">
        <v>14349028.57</v>
      </c>
      <c r="Y380" s="20">
        <v>10875648.98</v>
      </c>
      <c r="Z380" s="20">
        <v>0</v>
      </c>
      <c r="AA380" s="20">
        <v>0</v>
      </c>
      <c r="AB380" s="20">
        <v>0</v>
      </c>
      <c r="AC380" s="20">
        <v>0</v>
      </c>
      <c r="AD380" s="20">
        <v>0</v>
      </c>
      <c r="AE380" s="20">
        <v>0</v>
      </c>
      <c r="AF380" s="20">
        <v>0</v>
      </c>
      <c r="AG380" s="51">
        <f t="shared" si="18"/>
        <v>46319983.729999997</v>
      </c>
      <c r="AH380" s="20">
        <v>0</v>
      </c>
      <c r="AI380" s="20">
        <v>0</v>
      </c>
      <c r="AJ380" s="20">
        <v>0</v>
      </c>
      <c r="AK380" s="20">
        <f t="shared" ref="AK380:AK386" si="19">IFERROR(SUM(AH380:AJ380)/COUNTIFS(AH380:AJ380,"&lt;&gt;0"),0)</f>
        <v>0</v>
      </c>
      <c r="AL380" s="26">
        <f t="shared" ref="AL380:AL386" si="20">IFERROR((T380/AK380)-100%,0)</f>
        <v>0</v>
      </c>
    </row>
    <row r="381" spans="1:39" x14ac:dyDescent="0.3">
      <c r="A381" s="1">
        <v>372</v>
      </c>
      <c r="B381" s="1" t="s">
        <v>114</v>
      </c>
      <c r="C381" s="1" t="s">
        <v>2347</v>
      </c>
      <c r="D381" s="1" t="s">
        <v>2344</v>
      </c>
      <c r="E381" s="1" t="s">
        <v>628</v>
      </c>
      <c r="F381" s="1" t="s">
        <v>573</v>
      </c>
      <c r="G381" s="1" t="s">
        <v>628</v>
      </c>
      <c r="H381" s="1" t="s">
        <v>3004</v>
      </c>
      <c r="I381" s="3" t="s">
        <v>30</v>
      </c>
      <c r="J381" s="1" t="s">
        <v>2345</v>
      </c>
      <c r="K381" s="1" t="s">
        <v>629</v>
      </c>
      <c r="L381" s="1" t="s">
        <v>3005</v>
      </c>
      <c r="O381" s="1" t="s">
        <v>42</v>
      </c>
      <c r="Q381" s="1" t="s">
        <v>2346</v>
      </c>
      <c r="R381" s="1" t="s">
        <v>2353</v>
      </c>
      <c r="S381" s="1" t="s">
        <v>2354</v>
      </c>
      <c r="T381" s="49">
        <v>14529669.859999999</v>
      </c>
      <c r="U381" s="20">
        <v>0</v>
      </c>
      <c r="V381" s="20">
        <v>0</v>
      </c>
      <c r="W381" s="20">
        <v>0</v>
      </c>
      <c r="X381" s="20">
        <v>0</v>
      </c>
      <c r="Y381" s="20">
        <v>0</v>
      </c>
      <c r="Z381" s="20">
        <v>181672.55</v>
      </c>
      <c r="AA381" s="20">
        <v>229272.93</v>
      </c>
      <c r="AB381" s="20">
        <v>232176.83</v>
      </c>
      <c r="AC381" s="20">
        <v>2096831.13</v>
      </c>
      <c r="AD381" s="20">
        <v>1996119.17</v>
      </c>
      <c r="AE381" s="20">
        <v>0</v>
      </c>
      <c r="AF381" s="20">
        <v>0</v>
      </c>
      <c r="AG381" s="51">
        <f t="shared" si="18"/>
        <v>9793597.25</v>
      </c>
      <c r="AH381" s="20">
        <v>7570500</v>
      </c>
      <c r="AI381" s="20">
        <v>0</v>
      </c>
      <c r="AJ381" s="20">
        <v>0</v>
      </c>
      <c r="AK381" s="20">
        <f t="shared" si="19"/>
        <v>7570500</v>
      </c>
      <c r="AL381" s="26">
        <f t="shared" si="20"/>
        <v>0.91924837989564745</v>
      </c>
      <c r="AM381" s="1" t="s">
        <v>3021</v>
      </c>
    </row>
    <row r="382" spans="1:39" x14ac:dyDescent="0.3">
      <c r="A382" s="1">
        <v>373</v>
      </c>
      <c r="B382" s="1" t="s">
        <v>114</v>
      </c>
      <c r="C382" s="1" t="s">
        <v>2347</v>
      </c>
      <c r="D382" s="1" t="s">
        <v>2344</v>
      </c>
      <c r="F382" s="1" t="s">
        <v>2375</v>
      </c>
      <c r="H382" s="1" t="s">
        <v>3006</v>
      </c>
      <c r="I382" s="3" t="s">
        <v>30</v>
      </c>
      <c r="J382" s="1" t="s">
        <v>2345</v>
      </c>
      <c r="K382" s="1" t="s">
        <v>3007</v>
      </c>
      <c r="L382" s="1" t="s">
        <v>3007</v>
      </c>
      <c r="O382" s="1" t="s">
        <v>42</v>
      </c>
      <c r="Q382" s="1" t="s">
        <v>2346</v>
      </c>
      <c r="R382" s="1" t="s">
        <v>2353</v>
      </c>
      <c r="S382" s="1" t="s">
        <v>2354</v>
      </c>
      <c r="T382" s="49">
        <v>10870129.869999999</v>
      </c>
      <c r="U382" s="20">
        <v>0</v>
      </c>
      <c r="V382" s="20">
        <v>0</v>
      </c>
      <c r="W382" s="20">
        <v>0</v>
      </c>
      <c r="X382" s="20">
        <v>0</v>
      </c>
      <c r="Y382" s="20">
        <v>0</v>
      </c>
      <c r="Z382" s="20">
        <v>703796.1872388511</v>
      </c>
      <c r="AA382" s="20">
        <v>92628.51</v>
      </c>
      <c r="AB382" s="20">
        <v>2093801.72</v>
      </c>
      <c r="AC382" s="20">
        <v>5847140.4500000002</v>
      </c>
      <c r="AD382" s="20">
        <v>1806451.81</v>
      </c>
      <c r="AE382" s="20">
        <v>0</v>
      </c>
      <c r="AF382" s="20">
        <v>0</v>
      </c>
      <c r="AG382" s="51">
        <f t="shared" si="18"/>
        <v>326311.19276114739</v>
      </c>
      <c r="AH382" s="20">
        <v>0</v>
      </c>
      <c r="AI382" s="20">
        <v>0</v>
      </c>
      <c r="AJ382" s="20">
        <v>0</v>
      </c>
      <c r="AK382" s="20">
        <f t="shared" si="19"/>
        <v>0</v>
      </c>
      <c r="AL382" s="26">
        <f t="shared" si="20"/>
        <v>0</v>
      </c>
    </row>
    <row r="383" spans="1:39" x14ac:dyDescent="0.3">
      <c r="A383" s="1">
        <v>374</v>
      </c>
      <c r="B383" s="1" t="s">
        <v>114</v>
      </c>
      <c r="C383" s="1" t="s">
        <v>2347</v>
      </c>
      <c r="D383" s="1" t="s">
        <v>2344</v>
      </c>
      <c r="F383" s="1" t="s">
        <v>2375</v>
      </c>
      <c r="H383" s="1" t="s">
        <v>3008</v>
      </c>
      <c r="I383" s="3" t="s">
        <v>30</v>
      </c>
      <c r="J383" s="1" t="s">
        <v>2345</v>
      </c>
      <c r="K383" s="1" t="s">
        <v>3009</v>
      </c>
      <c r="L383" s="1" t="s">
        <v>3009</v>
      </c>
      <c r="O383" s="1" t="s">
        <v>42</v>
      </c>
      <c r="Q383" s="1" t="s">
        <v>2346</v>
      </c>
      <c r="R383" s="1" t="s">
        <v>2353</v>
      </c>
      <c r="S383" s="1" t="s">
        <v>2354</v>
      </c>
      <c r="T383" s="49">
        <v>10870129.869999999</v>
      </c>
      <c r="U383" s="20">
        <v>0</v>
      </c>
      <c r="V383" s="20">
        <v>0</v>
      </c>
      <c r="W383" s="20">
        <v>0</v>
      </c>
      <c r="X383" s="20">
        <v>0</v>
      </c>
      <c r="Y383" s="20">
        <v>0</v>
      </c>
      <c r="Z383" s="20">
        <v>703796.1872388511</v>
      </c>
      <c r="AA383" s="20">
        <v>92628.51</v>
      </c>
      <c r="AB383" s="20">
        <v>2093801.72</v>
      </c>
      <c r="AC383" s="20">
        <v>5847140.4500000002</v>
      </c>
      <c r="AD383" s="20">
        <v>1806451.81</v>
      </c>
      <c r="AE383" s="20">
        <v>0</v>
      </c>
      <c r="AF383" s="20">
        <v>0</v>
      </c>
      <c r="AG383" s="51">
        <f t="shared" si="18"/>
        <v>326311.19276114739</v>
      </c>
      <c r="AH383" s="20">
        <v>0</v>
      </c>
      <c r="AI383" s="20">
        <v>0</v>
      </c>
      <c r="AJ383" s="20">
        <v>0</v>
      </c>
      <c r="AK383" s="20">
        <f t="shared" si="19"/>
        <v>0</v>
      </c>
      <c r="AL383" s="26">
        <f t="shared" si="20"/>
        <v>0</v>
      </c>
    </row>
    <row r="384" spans="1:39" x14ac:dyDescent="0.3">
      <c r="A384" s="1">
        <v>375</v>
      </c>
      <c r="B384" s="1" t="s">
        <v>114</v>
      </c>
      <c r="C384" s="1" t="s">
        <v>2347</v>
      </c>
      <c r="D384" s="1" t="s">
        <v>2344</v>
      </c>
      <c r="E384" s="1" t="s">
        <v>95</v>
      </c>
      <c r="F384" s="1" t="s">
        <v>2348</v>
      </c>
      <c r="H384" s="1" t="s">
        <v>3010</v>
      </c>
      <c r="I384" s="3" t="s">
        <v>2340</v>
      </c>
      <c r="J384" s="1" t="s">
        <v>2345</v>
      </c>
      <c r="K384" s="1" t="s">
        <v>3011</v>
      </c>
      <c r="L384" s="1" t="s">
        <v>3012</v>
      </c>
      <c r="M384" s="1" t="s">
        <v>2548</v>
      </c>
      <c r="N384" s="1" t="s">
        <v>2549</v>
      </c>
      <c r="O384" s="1" t="s">
        <v>42</v>
      </c>
      <c r="Q384" s="1" t="s">
        <v>2346</v>
      </c>
      <c r="R384" s="1" t="s">
        <v>2353</v>
      </c>
      <c r="S384" s="1" t="s">
        <v>2354</v>
      </c>
      <c r="T384" s="49">
        <v>34424489.799999997</v>
      </c>
      <c r="U384" s="20">
        <v>932824.49</v>
      </c>
      <c r="V384" s="20">
        <v>0</v>
      </c>
      <c r="W384" s="20">
        <v>753110.2</v>
      </c>
      <c r="X384" s="20">
        <v>14349028.57</v>
      </c>
      <c r="Y384" s="20">
        <v>10875648.98</v>
      </c>
      <c r="Z384" s="20">
        <v>0</v>
      </c>
      <c r="AA384" s="20">
        <v>0</v>
      </c>
      <c r="AB384" s="20">
        <v>0</v>
      </c>
      <c r="AC384" s="20">
        <v>0</v>
      </c>
      <c r="AD384" s="20">
        <v>0</v>
      </c>
      <c r="AE384" s="20">
        <v>0</v>
      </c>
      <c r="AF384" s="20">
        <v>0</v>
      </c>
      <c r="AG384" s="51">
        <f t="shared" si="18"/>
        <v>7513877.5599999949</v>
      </c>
      <c r="AH384" s="20">
        <v>0</v>
      </c>
      <c r="AI384" s="20">
        <v>0</v>
      </c>
      <c r="AJ384" s="20">
        <v>0</v>
      </c>
      <c r="AK384" s="20">
        <f t="shared" si="19"/>
        <v>0</v>
      </c>
      <c r="AL384" s="26">
        <f t="shared" si="20"/>
        <v>0</v>
      </c>
    </row>
    <row r="385" spans="1:38" x14ac:dyDescent="0.3">
      <c r="A385" s="1">
        <v>376</v>
      </c>
      <c r="B385" s="1" t="s">
        <v>114</v>
      </c>
      <c r="C385" s="1" t="s">
        <v>2347</v>
      </c>
      <c r="D385" s="1" t="s">
        <v>2344</v>
      </c>
      <c r="E385" s="1" t="s">
        <v>2778</v>
      </c>
      <c r="F385" s="1" t="s">
        <v>2375</v>
      </c>
      <c r="H385" s="1" t="s">
        <v>3013</v>
      </c>
      <c r="I385" s="3" t="s">
        <v>30</v>
      </c>
      <c r="J385" s="1" t="s">
        <v>2345</v>
      </c>
      <c r="K385" s="1" t="s">
        <v>3014</v>
      </c>
      <c r="L385" s="1" t="s">
        <v>3015</v>
      </c>
      <c r="M385" s="1" t="s">
        <v>2618</v>
      </c>
      <c r="N385" s="1" t="s">
        <v>2619</v>
      </c>
      <c r="O385" s="1" t="s">
        <v>42</v>
      </c>
      <c r="Q385" s="1" t="s">
        <v>2346</v>
      </c>
      <c r="R385" s="1" t="s">
        <v>2353</v>
      </c>
      <c r="S385" s="1" t="s">
        <v>2354</v>
      </c>
      <c r="T385" s="49">
        <v>5870129.8700000001</v>
      </c>
      <c r="U385" s="20">
        <v>0</v>
      </c>
      <c r="V385" s="20">
        <v>0</v>
      </c>
      <c r="W385" s="20">
        <v>0</v>
      </c>
      <c r="X385" s="20">
        <v>0</v>
      </c>
      <c r="Y385" s="20">
        <v>0</v>
      </c>
      <c r="Z385" s="20">
        <v>703796.1872388511</v>
      </c>
      <c r="AA385" s="20">
        <v>92628.52</v>
      </c>
      <c r="AB385" s="20">
        <v>2093801.72</v>
      </c>
      <c r="AC385" s="20">
        <v>1847140.45</v>
      </c>
      <c r="AD385" s="20">
        <v>806451.82</v>
      </c>
      <c r="AE385" s="20">
        <v>0</v>
      </c>
      <c r="AF385" s="20">
        <v>0</v>
      </c>
      <c r="AG385" s="51">
        <f>T385-SUM(U385:AF385)</f>
        <v>326311.17276114877</v>
      </c>
      <c r="AH385" s="20">
        <v>0</v>
      </c>
      <c r="AI385" s="20">
        <v>0</v>
      </c>
      <c r="AJ385" s="20">
        <v>0</v>
      </c>
      <c r="AK385" s="20">
        <f t="shared" si="19"/>
        <v>0</v>
      </c>
      <c r="AL385" s="26">
        <f t="shared" si="20"/>
        <v>0</v>
      </c>
    </row>
    <row r="386" spans="1:38" x14ac:dyDescent="0.3">
      <c r="A386" s="1">
        <v>377</v>
      </c>
      <c r="B386" s="1" t="s">
        <v>114</v>
      </c>
      <c r="C386" s="1" t="s">
        <v>2347</v>
      </c>
      <c r="D386" s="1" t="s">
        <v>2344</v>
      </c>
      <c r="E386" s="1" t="s">
        <v>724</v>
      </c>
      <c r="F386" s="1" t="s">
        <v>573</v>
      </c>
      <c r="H386" s="1" t="s">
        <v>3016</v>
      </c>
      <c r="I386" s="3" t="s">
        <v>30</v>
      </c>
      <c r="J386" s="1" t="s">
        <v>2345</v>
      </c>
      <c r="K386" s="1" t="s">
        <v>3017</v>
      </c>
      <c r="L386" s="1" t="s">
        <v>3018</v>
      </c>
      <c r="N386" s="1" t="s">
        <v>2698</v>
      </c>
      <c r="O386" s="1" t="s">
        <v>42</v>
      </c>
      <c r="Q386" s="1" t="s">
        <v>2346</v>
      </c>
      <c r="R386" s="1" t="s">
        <v>2353</v>
      </c>
      <c r="S386" s="1" t="s">
        <v>2354</v>
      </c>
      <c r="T386" s="49">
        <v>7333333.3200000003</v>
      </c>
      <c r="U386" s="20">
        <v>0</v>
      </c>
      <c r="V386" s="20">
        <v>0</v>
      </c>
      <c r="W386" s="20">
        <v>0</v>
      </c>
      <c r="X386" s="20">
        <v>0</v>
      </c>
      <c r="Y386" s="20">
        <v>0</v>
      </c>
      <c r="Z386" s="20">
        <v>91692.76</v>
      </c>
      <c r="AA386" s="20">
        <v>115717.35</v>
      </c>
      <c r="AB386" s="20">
        <v>117183</v>
      </c>
      <c r="AC386" s="20">
        <v>1058300.82</v>
      </c>
      <c r="AD386" s="20">
        <v>1806451.81</v>
      </c>
      <c r="AE386" s="20">
        <v>0</v>
      </c>
      <c r="AF386" s="20">
        <v>0</v>
      </c>
      <c r="AG386" s="51">
        <f>T386-SUM(U386:AF386)</f>
        <v>4143987.58</v>
      </c>
      <c r="AH386" s="20">
        <v>0</v>
      </c>
      <c r="AI386" s="20">
        <v>0</v>
      </c>
      <c r="AJ386" s="20">
        <v>0</v>
      </c>
      <c r="AK386" s="20">
        <f t="shared" si="19"/>
        <v>0</v>
      </c>
      <c r="AL386" s="26">
        <f t="shared" si="20"/>
        <v>0</v>
      </c>
    </row>
  </sheetData>
  <autoFilter ref="A9:AV386" xr:uid="{F4556CAF-8ED4-47C9-BF00-5183C332AC97}"/>
  <mergeCells count="32">
    <mergeCell ref="O6:O9"/>
    <mergeCell ref="AP5:AQ5"/>
    <mergeCell ref="A6:A9"/>
    <mergeCell ref="B6:B9"/>
    <mergeCell ref="C6:C9"/>
    <mergeCell ref="D6:D9"/>
    <mergeCell ref="E6:E9"/>
    <mergeCell ref="F6:F9"/>
    <mergeCell ref="G6:G9"/>
    <mergeCell ref="H6:H9"/>
    <mergeCell ref="I6:I9"/>
    <mergeCell ref="J6:J9"/>
    <mergeCell ref="K6:K9"/>
    <mergeCell ref="L6:L9"/>
    <mergeCell ref="M6:M9"/>
    <mergeCell ref="N6:N9"/>
    <mergeCell ref="P6:P9"/>
    <mergeCell ref="Q6:Q9"/>
    <mergeCell ref="R6:R9"/>
    <mergeCell ref="S6:S9"/>
    <mergeCell ref="U6:AF6"/>
    <mergeCell ref="AT6:AV6"/>
    <mergeCell ref="T7:T9"/>
    <mergeCell ref="U7:W7"/>
    <mergeCell ref="Z7:AB7"/>
    <mergeCell ref="AE7:AF7"/>
    <mergeCell ref="AH7:AM7"/>
    <mergeCell ref="AP7:AP9"/>
    <mergeCell ref="AQ7:AS7"/>
    <mergeCell ref="AT7:AT9"/>
    <mergeCell ref="AU7:AV7"/>
    <mergeCell ref="AP6:AS6"/>
  </mergeCells>
  <phoneticPr fontId="23" type="noConversion"/>
  <conditionalFormatting sqref="K5:K9">
    <cfRule type="duplicateValues" dxfId="2" priority="3"/>
  </conditionalFormatting>
  <conditionalFormatting sqref="K31:K385">
    <cfRule type="duplicateValues" dxfId="1" priority="39"/>
  </conditionalFormatting>
  <conditionalFormatting sqref="K10:K386">
    <cfRule type="duplicateValues" dxfId="0" priority="42"/>
  </conditionalFormatting>
  <pageMargins left="0.7" right="0.7" top="0.75" bottom="0.75" header="0.3" footer="0.3"/>
</worksheet>
</file>

<file path=docMetadata/LabelInfo.xml><?xml version="1.0" encoding="utf-8"?>
<clbl:labelList xmlns:clbl="http://schemas.microsoft.com/office/2020/mipLabelMetadata">
  <clbl:label id="{f9a11d4a-cbaf-4ced-811b-d71a1b7f8ff0}" enabled="0" method="" siteId="{f9a11d4a-cbaf-4ced-811b-d71a1b7f8ff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3.Data sent</vt:lpstr>
      <vt:lpstr>FORM CHI TIEU PG</vt:lpstr>
    </vt:vector>
  </TitlesOfParts>
  <Company>VINAMILK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 Ngoc Tuyet</dc:creator>
  <cp:lastModifiedBy>Giang Giang</cp:lastModifiedBy>
  <dcterms:created xsi:type="dcterms:W3CDTF">2026-09-14T07:30:10Z</dcterms:created>
  <dcterms:modified xsi:type="dcterms:W3CDTF">2026-09-18T12:35:02Z</dcterms:modified>
</cp:coreProperties>
</file>